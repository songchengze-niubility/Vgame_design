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Vgame_design\numerical-workflows\v2\framework\01_源表\"/>
    </mc:Choice>
  </mc:AlternateContent>
  <bookViews>
    <workbookView/>
  </bookViews>
  <sheets>
    <sheet name="使用说明" sheetId="1" r:id="rId1"/>
    <sheet name="玩法汇总" sheetId="2" r:id="rId2"/>
    <sheet name="主线" sheetId="3" r:id="rId3"/>
    <sheet name="困难主线" sheetId="4" r:id="rId4"/>
    <sheet name="角色经验" sheetId="5" r:id="rId5"/>
    <sheet name="金币" sheetId="6" r:id="rId6"/>
    <sheet name="收容经验" sheetId="7" r:id="rId7"/>
    <sheet name="旅券" sheetId="8" r:id="rId8"/>
    <sheet name="映射" sheetId="9" r:id="rId9"/>
    <sheet name="爬塔" sheetId="10" r:id="rId10"/>
    <sheet name="Boss挑战" sheetId="11" r:id="rId11"/>
    <sheet name="肉鸽" sheetId="12" r:id="rId12"/>
    <sheet name="大秘境" sheetId="13" r:id="rId13"/>
    <sheet name="PVPVE" sheetId="14" r:id="rId14"/>
    <sheet name="_玩家曲线" sheetId="15" r:id="rId15"/>
    <sheet name="_怪物模型" sheetId="16" r:id="rId16"/>
    <sheet name="_字典" sheetId="17" r:id="rId17"/>
    <sheet name="舱室材料" sheetId="18" r:id="rId18"/>
    <sheet name="无限之旅" sheetId="19" r:id="rId19"/>
    <sheet name="其他战斗玩法" sheetId="20" r:id="rId20"/>
    <sheet name="_统一战力" sheetId="21" r:id="rId21"/>
    <sheet name="_爬塔队伍" sheetId="22" r:id="rId22"/>
    <sheet name="本轮统一对比" sheetId="23" r:id="rId23"/>
    <sheet name="统一口径说明" sheetId="24" r:id="rId24"/>
    <sheet name="_怪物类型" sheetId="25" r:id="rId25"/>
    <sheet name="映射等级节点" sheetId="26" r:id="rId26"/>
    <sheet name="爬塔本次调整" sheetId="27" r:id="rId27"/>
    <sheet name="推荐战力参数" sheetId="28" r:id="rId28"/>
    <sheet name="爬塔战力校准" sheetId="29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4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5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6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7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8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9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10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11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12.xml><?xml version="1.0" encoding="utf-8"?>
<comments xmlns="http://schemas.openxmlformats.org/spreadsheetml/2006/main">
  <authors>
    <author>Codex</author>
  </authors>
  <commentList>
    <comment ref="E4" authorId="0">
      <text>
        <r>
          <rPr>
            <sz val="10"/>
            <rFont val="宋体"/>
            <charset val="134"/>
          </rPr>
          <t>同一行可映射多个配置LevelId；表示这些关卡共用同一档怪物等级。</t>
        </r>
      </text>
    </comment>
    <comment ref="F4" authorId="0">
      <text>
        <r>
          <rPr>
            <sz val="10"/>
            <rFont val="宋体"/>
            <charset val="134"/>
          </rPr>
          <t>选择战斗公式怪物标准模型中的怪物类型；主表已按玩法内容给出默认类型。</t>
        </r>
      </text>
    </comment>
    <comment ref="G4" authorId="0">
      <text>
        <r>
          <rPr>
            <sz val="10"/>
            <rFont val="宋体"/>
            <charset val="134"/>
          </rPr>
          <t>主线使用同关玩家快照；其他玩法使用开放节点或共用档位的默认快照。</t>
        </r>
      </text>
    </comment>
    <comment ref="H4" authorId="0">
      <text>
        <r>
          <rPr>
            <sz val="10"/>
            <rFont val="宋体"/>
            <charset val="134"/>
          </rPr>
          <t>可选覆盖。填1-285；留空时使用G列默认对照关卡。</t>
        </r>
      </text>
    </comment>
    <comment ref="J4" authorId="0">
      <text>
        <r>
          <rPr>
            <sz val="10"/>
            <rFont val="宋体"/>
            <charset val="134"/>
          </rPr>
          <t>主要输入项。填战斗公式“怪物标准模型”的Lv1-Lv500整数等级。</t>
        </r>
      </text>
    </comment>
    <comment ref="N4" authorId="0">
      <text>
        <r>
          <rPr>
            <sz val="10"/>
            <rFont val="宋体"/>
            <charset val="134"/>
          </rPr>
          <t>整关所有敌人/波次总EHP相对一只标准怪EHP的倍数；留空按1。</t>
        </r>
      </text>
    </comment>
    <comment ref="O4" authorId="0">
      <text>
        <r>
          <rPr>
            <sz val="10"/>
            <rFont val="宋体"/>
            <charset val="134"/>
          </rPr>
          <t>用来近似多怪同时攻击、技能频率等压力；留空按1。</t>
        </r>
      </text>
    </comment>
    <comment ref="P4" authorId="0">
      <text>
        <r>
          <rPr>
            <sz val="10"/>
            <rFont val="宋体"/>
            <charset val="134"/>
          </rPr>
          <t>可选目标TTK/目标通关时间。填写后AA列才会给出简单/适中/困难判断。</t>
        </r>
      </text>
    </comment>
    <comment ref="X4" authorId="0">
      <text>
        <r>
          <rPr>
            <sz val="10"/>
            <rFont val="宋体"/>
            <charset val="134"/>
          </rPr>
          <t>整关目标EHP÷玩家DPS。N列为空时等于一只标准怪的TTK。</t>
        </r>
      </text>
    </comment>
    <comment ref="Y4" authorId="0">
      <text>
        <r>
          <rPr>
            <sz val="10"/>
            <rFont val="宋体"/>
            <charset val="134"/>
          </rPr>
          <t>玩家队伍EHP÷(怪物实际攻击×攻击压力倍率)，仅作生存压力近似。</t>
        </r>
      </text>
    </comment>
  </commentList>
</comments>
</file>

<file path=xl/comments13.xml><?xml version="1.0" encoding="utf-8"?>
<comments xmlns="http://schemas.openxmlformats.org/spreadsheetml/2006/main">
  <authors>
    <author>tc={2B79EE48-970E-C406-6E82-9DA33AA690E0}</author>
  </authors>
  <commentList>
    <comment ref="B4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来源：2026-08-27用户确认映射装备推荐战力乘0.5；只作用于推荐战力，保留现有等级与怪物属性。</t>
        </r>
      </text>
    </comment>
  </commentList>
</comments>
</file>

<file path=xl/comments14.xml><?xml version="1.0" encoding="utf-8"?>
<comments xmlns="http://schemas.openxmlformats.org/spreadsheetml/2006/main">
  <authors>
    <author>tc={283822B6-EB47-6272-1443-BEDE88265D80}</author>
  </authors>
  <commentList>
    <comment ref="I4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基准：爬塔280级首次调参前快照，原31～326级、五人整队属性。由每人HP/(1-减伤)求和后除以当时玩家DPS；生存秒由玩家EHP/整队攻击计算。历史基准固定，不随当前难度重置。</t>
        </r>
      </text>
    </comment>
  </commentList>
</comments>
</file>

<file path=xl/sharedStrings.xml><?xml version="1.0" encoding="utf-8"?>
<sst xmlns="http://schemas.openxmlformats.org/spreadsheetml/2006/main" count="16385" uniqueCount="6252">
  <si>
    <t>Vgame 全玩法难度填写表｜使用说明</t>
  </si>
  <si>
    <t>修正版V4已同步最新养成分配与平滑有效人数系数，并按原TTK/生存压力反推全部玩法怪物等级。黄色J列仍可直接覆盖，公式会自动更新；PVPVE继续使用双方属性对算。</t>
  </si>
  <si>
    <t>① 必填</t>
  </si>
  <si>
    <t>J列已填首版怪物等级，范围Lv1～Lv500；PVPVE不使用怪物等级，无限挑战本轮不纳入。</t>
  </si>
  <si>
    <t>② 可选</t>
  </si>
  <si>
    <t>G列是首版使用的玩家对照节点；H列仍可手动覆盖。F列怪物类型和K～P系数/目标时间保持可选。</t>
  </si>
  <si>
    <t>③ 结果</t>
  </si>
  <si>
    <t>Q～AC列是公式。X为预测TTK；Y为按怪物攻击估算的玩家存活时间；AA给出简要判断。</t>
  </si>
  <si>
    <t>④ 整关</t>
  </si>
  <si>
    <t>标准模型是一只怪。若要估整关，把N列【整关EHP倍率】填成波次总EHP÷标准怪EHP；攻击压力用O列修正。</t>
  </si>
  <si>
    <t>⑤ 对照</t>
  </si>
  <si>
    <t>G列是默认玩家养成快照，主线按同关；其他玩法按开放节点/共用档位预置。若你不同意，直接在H列覆盖。</t>
  </si>
  <si>
    <t>⑥ 汇总</t>
  </si>
  <si>
    <t>“玩法汇总”会跨页签检查完成率、最低/最高等级、等级倒退和超范围。</t>
  </si>
  <si>
    <t>颜色约定</t>
  </si>
  <si>
    <t>黄色 + 蓝字</t>
  </si>
  <si>
    <t>怪物等级：主要填写区</t>
  </si>
  <si>
    <t>浅蓝 + 蓝字</t>
  </si>
  <si>
    <t>可选输入/覆盖项</t>
  </si>
  <si>
    <t>绿字</t>
  </si>
  <si>
    <t>引用本工作簿隐藏基线的公式</t>
  </si>
  <si>
    <t>黑字</t>
  </si>
  <si>
    <t>普通计算公式</t>
  </si>
  <si>
    <t>数据来源（复制为 VeryHidden 静态基线，工作簿无外链）</t>
  </si>
  <si>
    <t>用途</t>
  </si>
  <si>
    <t>文件</t>
  </si>
  <si>
    <t>页签/字段</t>
  </si>
  <si>
    <t>SHA256</t>
  </si>
  <si>
    <t>更新时间</t>
  </si>
  <si>
    <t>玩家曲线</t>
  </si>
  <si>
    <t>D:\数值文档\数值文档\框架v2\01_源表\养成属性分配.xlsx</t>
  </si>
  <si>
    <t>玩家战力曲线 B/AL/AN/AO；关卡S1-279；有效人数系数见F；等价怪物等级按AO目标EHP重新匹配</t>
  </si>
  <si>
    <t>3453bacda197ab04334c73cf1f2e1e856f21e5be683d7537720aa68af2e6b0ec</t>
  </si>
  <si>
    <t>怪物模型</t>
  </si>
  <si>
    <t>D:\数值文档\数值文档\框架v2\01_源表\战斗公式.xlsx</t>
  </si>
  <si>
    <t>怪物标准模型 Lv1-500 / AS:BA</t>
  </si>
  <si>
    <t>8c573a872e8e3b1029b738b372c1fc5d652d0d256da8197d768a4bfca6776c69</t>
  </si>
  <si>
    <t>关卡节点</t>
  </si>
  <si>
    <t>D:\Vgame\Config\GameConfig\Datas\level\LevelNode.xlsx</t>
  </si>
  <si>
    <t>LevelNode / LevelId / IsBoss</t>
  </si>
  <si>
    <t>5546d887be1fec3387c6f1c5e973b2eac02afb36e5914621807b43783192a360</t>
  </si>
  <si>
    <t>开放条件</t>
  </si>
  <si>
    <t>D:\Vgame\Config\GameConfig\Datas\system_open\SystemOpen.xlsx</t>
  </si>
  <si>
    <t>SystemOpen / UnlockId / CloseSys</t>
  </si>
  <si>
    <t>7d50f24030fbb173425c5f62ea28d4f0662d64d928be28dc05de27c716b27bf5</t>
  </si>
  <si>
    <t>口径边界</t>
  </si>
  <si>
    <t>• 本表共有343个节点行：主线99关、其余玩法244行；需要怪物等级的节点341个，PVPVE 2个入口不使用等级。</t>
  </si>
  <si>
    <t>• 旅券按10档×4主题共用、映射按30档×5类型共用、爬塔按100层×4赛季包共用、Boss挑战按10档×7个Boss共用。</t>
  </si>
  <si>
    <t>• 肉鸽按5个难度行；大秘境按25层×4环境共用；PVPVE只保留入口，不使用怪物等级。</t>
  </si>
  <si>
    <t>• 本表是MVP静态基线。玩家源表或怪物公式更新后，需要重新同步隐藏基线，工作簿不会自动外链更新。</t>
  </si>
  <si>
    <t>玩法页签快捷入口</t>
  </si>
  <si>
    <t>主线</t>
  </si>
  <si>
    <t>点击进入</t>
  </si>
  <si>
    <t>困难主线</t>
  </si>
  <si>
    <t>角色经验</t>
  </si>
  <si>
    <t>金币</t>
  </si>
  <si>
    <t>收容经验</t>
  </si>
  <si>
    <t>旅券</t>
  </si>
  <si>
    <t>映射</t>
  </si>
  <si>
    <t>爬塔</t>
  </si>
  <si>
    <t>Boss挑战</t>
  </si>
  <si>
    <t>肉鸽</t>
  </si>
  <si>
    <t>大秘境</t>
  </si>
  <si>
    <t>PVPVE</t>
  </si>
  <si>
    <t>修正版V4难度同步口径｜2026-08-10</t>
  </si>
  <si>
    <t>主线按当前99关顺序逐关对齐玩家曲线S1-S99；V4怪物等级Lv5-Lv236，保留原逐关TTK与Boss生存压力。</t>
  </si>
  <si>
    <t>困难主线在5-15/S69后统一开放；35关连续对照S71-S105，V4使用Lv186-Lv247，仍略高于同期主线。</t>
  </si>
  <si>
    <t>基础资源本</t>
  </si>
  <si>
    <t>角色经验、金币、收容经验定位为稳定供给；9档使用Lv27/Lv32/Lv51/Lv67/Lv85/Lv104/Lv126/Lv148/Lv171缓升，首档继续送进度。</t>
  </si>
  <si>
    <t>旅券/映射</t>
  </si>
  <si>
    <t>旅券使用Lv169-Lv369；映射使用Lv37-Lv370。两者保留原开放顺序、前段赠送进度与长期定位。</t>
  </si>
  <si>
    <t>爬塔/Boss</t>
  </si>
  <si>
    <t>爬塔前20层由Lv37缓升至Lv169、100层Lv370；Boss挑战使用Lv111-Lv361。</t>
  </si>
  <si>
    <t>肉鸽5档使用Lv140/Lv199/Lv274/Lv330/Lv351，继续为玩法开启与局内成长预留容错。</t>
  </si>
  <si>
    <t>大秘境按Lv37/S95开放口径，25层使用Lv234-Lv370；当前系统关闭状态不变。</t>
  </si>
  <si>
    <t>边界</t>
  </si>
  <si>
    <t>本版只同步怪物等级与派生属性，不改波次、技能和玩法系数。养成源表AP46当前为手填2，本表按AO目标EHP重匹配为Lv93，未修改养成源表。</t>
  </si>
  <si>
    <t>推荐战力更新：映射系数在“推荐战力参数”B4修改；爬塔计算过程见“爬塔战力校准”。仅源表，未同步SVN。</t>
  </si>
  <si>
    <t>全玩法难度填写进度</t>
  </si>
  <si>
    <t>每个玩法已拆成独立页签。点击A列玩法名可直接跳转；这里统一检查完成率、等级范围和同玩法内的等级倒退。</t>
  </si>
  <si>
    <t>玩法</t>
  </si>
  <si>
    <t>状态</t>
  </si>
  <si>
    <t>节点口径</t>
  </si>
  <si>
    <t>节点数</t>
  </si>
  <si>
    <t>需填等级</t>
  </si>
  <si>
    <t>已填有效</t>
  </si>
  <si>
    <t>完成率</t>
  </si>
  <si>
    <t>最低等级</t>
  </si>
  <si>
    <t>最高等级</t>
  </si>
  <si>
    <t>等级下降</t>
  </si>
  <si>
    <t>超范围</t>
  </si>
  <si>
    <t>备注</t>
  </si>
  <si>
    <t>修正版V4已同步</t>
  </si>
  <si>
    <t>99个当前关卡</t>
  </si>
  <si>
    <t>当前99关轴S1-S99，怪物等级Lv5-Lv236；V4已同步最新玩家曲线</t>
  </si>
  <si>
    <t>35个LevelNode</t>
  </si>
  <si>
    <t>通关5-15/S69后开放；35关对照S71-S105，Lv186-Lv247，略高于同期主线</t>
  </si>
  <si>
    <t>9档</t>
  </si>
  <si>
    <t>2-4后开放；首档送进度，9档Lv27-Lv171缓升，定位稳定刷取</t>
  </si>
  <si>
    <t>10档×4主题共用</t>
  </si>
  <si>
    <t>Lv38/S100开放；首档Lv169送进度，前3档缓升，10档Lv369</t>
  </si>
  <si>
    <t>30档×5类型共用</t>
  </si>
  <si>
    <t>2-12/S24开放；首档Lv37送进度，前5档缓升，30档Lv370</t>
  </si>
  <si>
    <t>100层×4赛季包共用</t>
  </si>
  <si>
    <t>2-12/S24开放；前20层Lv37-Lv169缓升，100层Lv370</t>
  </si>
  <si>
    <t>10档×7个Boss共用</t>
  </si>
  <si>
    <t>4-15/S54开放；首档Lv111送进度，前5档缓升，10档Lv361</t>
  </si>
  <si>
    <t>5档</t>
  </si>
  <si>
    <t>Lv35/S85开放；5档Lv140/Lv199/Lv274/Lv330/Lv351，保留局内成长空间</t>
  </si>
  <si>
    <t>当前关闭｜修正版V4已同步</t>
  </si>
  <si>
    <t>25层×4环境共用</t>
  </si>
  <si>
    <t>Lv37/S95开放；25层Lv234-Lv370，关闭状态不变</t>
  </si>
  <si>
    <t>特殊口径</t>
  </si>
  <si>
    <t>2个入口</t>
  </si>
  <si>
    <t>双方属性对算，不使用怪物等级</t>
  </si>
  <si>
    <t>合计</t>
  </si>
  <si>
    <t>本轮新增</t>
  </si>
  <si>
    <t>舱室材料 / 无限之旅 / 其他战斗玩法，详见对应页及本轮统一对比</t>
  </si>
  <si>
    <t>全玩法难度填写｜主线</t>
  </si>
  <si>
    <t>当前页已按开启顺序和玩法定位填入首版怪物等级。黄色J列可直接覆盖；G列是本版使用的玩家曲线对照节点。</t>
  </si>
  <si>
    <t>公式口径：怪物实际属性=战斗公式标准模型×可选系数；怪物EHP=实际生命÷(1-防御减伤)×整关EHP倍率；TTK=怪物EHP÷玩家DPS。</t>
  </si>
  <si>
    <t>子玩法/共用范围</t>
  </si>
  <si>
    <t>节点名称</t>
  </si>
  <si>
    <t>LevelId/配置映射</t>
  </si>
  <si>
    <t>怪物类型</t>
  </si>
  <si>
    <t>默认对照关卡</t>
  </si>
  <si>
    <t>手动对照关卡</t>
  </si>
  <si>
    <t>实际对照关卡</t>
  </si>
  <si>
    <t>怪物等级</t>
  </si>
  <si>
    <t>生命系数</t>
  </si>
  <si>
    <t>攻击系数</t>
  </si>
  <si>
    <t>防御系数</t>
  </si>
  <si>
    <t>整关EHP倍率</t>
  </si>
  <si>
    <t>攻击压力倍率</t>
  </si>
  <si>
    <t>目标时间(s)</t>
  </si>
  <si>
    <t>玩家DPS</t>
  </si>
  <si>
    <t>玩家队伍EHP</t>
  </si>
  <si>
    <t>怪物实际生命</t>
  </si>
  <si>
    <t>怪物实际攻击</t>
  </si>
  <si>
    <t>怪物实际防御</t>
  </si>
  <si>
    <t>怪物减伤率</t>
  </si>
  <si>
    <t>整关目标EHP</t>
  </si>
  <si>
    <t>预测TTK(s)</t>
  </si>
  <si>
    <t>预测存活(s)</t>
  </si>
  <si>
    <t>TTK/目标</t>
  </si>
  <si>
    <t>难度判断</t>
  </si>
  <si>
    <t>等级检查</t>
  </si>
  <si>
    <t>等级趋势</t>
  </si>
  <si>
    <t>玩法推荐战力</t>
  </si>
  <si>
    <t>标准等级战力</t>
  </si>
  <si>
    <t>当前配置</t>
  </si>
  <si>
    <t>序章</t>
  </si>
  <si>
    <t>0-1</t>
  </si>
  <si>
    <t>100001</t>
  </si>
  <si>
    <t>普通怪</t>
  </si>
  <si>
    <t>2026-08-27 新玩家节点曲线校准；对照S1；等级5→5；保留原难度定位。  2026-08-31 推荐战力：本章Boss反查锚点p1-&gt;p2线性递增（60s击杀/扛20s）；</t>
  </si>
  <si>
    <t>0-2</t>
  </si>
  <si>
    <t>100002</t>
  </si>
  <si>
    <t>2026-08-27 新玩家节点曲线校准；对照S2；等级6→6；保留原难度定位。  2026-08-31 推荐战力：本章Boss反查锚点p1-&gt;p2线性递增（60s击杀/扛20s）；</t>
  </si>
  <si>
    <t>0-3</t>
  </si>
  <si>
    <t>100003</t>
  </si>
  <si>
    <t>2026-08-27 新玩家节点曲线校准；对照S3；等级8→8；保留原难度定位。  2026-08-31 推荐战力：本章Boss反查锚点p1-&gt;p2线性递增（60s击杀/扛20s）；</t>
  </si>
  <si>
    <t>0-4</t>
  </si>
  <si>
    <t>100004</t>
  </si>
  <si>
    <t>Boss</t>
  </si>
  <si>
    <t>2026-08-27 新玩家节点曲线校准；对照S4；等级8→8；保留原难度定位。  2026-08-31 推荐战力：本章Boss反查锚点p1-&gt;p2线性递增（60s击杀/扛20s）；</t>
  </si>
  <si>
    <t>第一章</t>
  </si>
  <si>
    <t>1-1</t>
  </si>
  <si>
    <t>100101</t>
  </si>
  <si>
    <t>2026-08-27 新玩家节点曲线校准；对照S5；等级11→11；保留原难度定位。  2026-08-31 推荐战力：本章Boss反查锚点p2-&gt;p8线性递增（60s击杀/扛20s）；</t>
  </si>
  <si>
    <t>1-2</t>
  </si>
  <si>
    <t>100102</t>
  </si>
  <si>
    <t>2026-08-27 新玩家节点曲线校准；对照S6；等级13→13；保留原难度定位。  2026-08-31 推荐战力：本章Boss反查锚点p2-&gt;p8线性递增（60s击杀/扛20s）；</t>
  </si>
  <si>
    <t>1-3</t>
  </si>
  <si>
    <t>100103</t>
  </si>
  <si>
    <t>2026-08-27 新玩家节点曲线校准；对照S7；等级15→15；保留原难度定位。  2026-08-31 推荐战力：本章Boss反查锚点p2-&gt;p8线性递增（60s击杀/扛20s）；</t>
  </si>
  <si>
    <t>1-4</t>
  </si>
  <si>
    <t>100104</t>
  </si>
  <si>
    <t>2026-08-27 新玩家节点曲线校准；对照S8；等级16→16；保留原难度定位。  2026-08-31 推荐战力：本章Boss反查锚点p2-&gt;p8线性递增（60s击杀/扛20s）；</t>
  </si>
  <si>
    <t>1-5</t>
  </si>
  <si>
    <t>100105</t>
  </si>
  <si>
    <t>2026-08-27 新玩家节点曲线校准；对照S9；等级19→19；保留原难度定位。  2026-08-31 推荐战力：本章Boss反查锚点p2-&gt;p8线性递增（60s击杀/扛20s）；</t>
  </si>
  <si>
    <t>1-6</t>
  </si>
  <si>
    <t>100106</t>
  </si>
  <si>
    <t>2026-08-27 新玩家节点曲线校准；对照S10；等级21→21；保留原难度定位。  2026-08-31 推荐战力：本章Boss反查锚点p2-&gt;p8线性递增（60s击杀/扛20s）；</t>
  </si>
  <si>
    <t>1-7</t>
  </si>
  <si>
    <t>100107</t>
  </si>
  <si>
    <t>2026-08-27 新玩家节点曲线校准；对照S11；等级22→22；保留原难度定位。  2026-08-31 推荐战力：本章Boss反查锚点p2-&gt;p8线性递增（60s击杀/扛20s）；</t>
  </si>
  <si>
    <t>1-8</t>
  </si>
  <si>
    <t>100108</t>
  </si>
  <si>
    <t>2026-08-27 新玩家节点曲线校准；对照S12；等级23→23；保留原难度定位。  2026-08-31 推荐战力：本章Boss反查锚点p2-&gt;p8线性递增（60s击杀/扛20s）；</t>
  </si>
  <si>
    <t>第二章</t>
  </si>
  <si>
    <t>2-1</t>
  </si>
  <si>
    <t>100201</t>
  </si>
  <si>
    <t>2026-08-27 新玩家节点曲线校准；对照S13；等级25→25；保留原难度定位。  2026-08-31 推荐战力：本章Boss反查锚点p8-&gt;p17线性递增（60s击杀/扛20s）；</t>
  </si>
  <si>
    <t>2-2</t>
  </si>
  <si>
    <t>100202</t>
  </si>
  <si>
    <t>2026-08-27 新玩家节点曲线校准；对照S14；等级27→27；保留原难度定位。  2026-08-31 推荐战力：本章Boss反查锚点p8-&gt;p17线性递增（60s击杀/扛20s）；</t>
  </si>
  <si>
    <t>2-3</t>
  </si>
  <si>
    <t>100203</t>
  </si>
  <si>
    <t>2026-08-27 新玩家节点曲线校准；对照S15；等级28→28；保留原难度定位。  2026-08-31 推荐战力：本章Boss反查锚点p8-&gt;p17线性递增（60s击杀/扛20s）；</t>
  </si>
  <si>
    <t>2-4</t>
  </si>
  <si>
    <t>100204</t>
  </si>
  <si>
    <t>2026-08-27 新玩家节点曲线校准；对照S16；等级30→30；保留原难度定位。  2026-08-31 推荐战力：本章Boss反查锚点p8-&gt;p17线性递增（60s击杀/扛20s）；</t>
  </si>
  <si>
    <t>2-5</t>
  </si>
  <si>
    <t>100205</t>
  </si>
  <si>
    <t>2026-08-27 新玩家节点曲线校准；对照S17；等级32→32；保留原难度定位。  2026-08-31 推荐战力：本章Boss反查锚点p8-&gt;p17线性递增（60s击杀/扛20s）；</t>
  </si>
  <si>
    <t>2-6</t>
  </si>
  <si>
    <t>100206</t>
  </si>
  <si>
    <t>2026-08-27 新玩家节点曲线校准；对照S18；等级33→33；保留原难度定位。  2026-08-31 推荐战力：本章Boss反查锚点p8-&gt;p17线性递增（60s击杀/扛20s）；</t>
  </si>
  <si>
    <t>2-7</t>
  </si>
  <si>
    <t>100207</t>
  </si>
  <si>
    <t>2026-08-27 新玩家节点曲线校准；对照S19；等级36→36；保留原难度定位。  2026-08-31 推荐战力：本章Boss反查锚点p8-&gt;p17线性递增（60s击杀/扛20s）；</t>
  </si>
  <si>
    <t>2-8</t>
  </si>
  <si>
    <t>100208</t>
  </si>
  <si>
    <t>2026-08-27 新玩家节点曲线校准；对照S20；等级37→37；保留原难度定位。  2026-08-31 推荐战力：本章Boss反查锚点p8-&gt;p17线性递增（60s击杀/扛20s）；</t>
  </si>
  <si>
    <t>2-9</t>
  </si>
  <si>
    <t>100209</t>
  </si>
  <si>
    <t>2026-08-27 新玩家节点曲线校准；对照S21；等级39→39；保留原难度定位。  2026-08-31 推荐战力：本章Boss反查锚点p8-&gt;p17线性递增（60s击杀/扛20s）；</t>
  </si>
  <si>
    <t>2-10</t>
  </si>
  <si>
    <t>100210</t>
  </si>
  <si>
    <t>2026-08-27 新玩家节点曲线校准；对照S22；等级41→41；保留原难度定位。  2026-08-31 推荐战力：本章Boss反查锚点p8-&gt;p17线性递增（60s击杀/扛20s）；</t>
  </si>
  <si>
    <t>2-11</t>
  </si>
  <si>
    <t>100211</t>
  </si>
  <si>
    <t>2026-08-27 新玩家节点曲线校准；对照S23；等级44→44；保留原难度定位。  2026-08-31 推荐战力：本章Boss反查锚点p8-&gt;p17线性递增（60s击杀/扛20s）；</t>
  </si>
  <si>
    <t>2-12</t>
  </si>
  <si>
    <t>100212</t>
  </si>
  <si>
    <t>2026-08-27 新玩家节点曲线校准；对照S24；等级46→46；保留原难度定位。  2026-08-31 推荐战力：本章Boss反查锚点p8-&gt;p17线性递增（60s击杀/扛20s）；</t>
  </si>
  <si>
    <t>第三章</t>
  </si>
  <si>
    <t>3-1</t>
  </si>
  <si>
    <t>100301</t>
  </si>
  <si>
    <t>2026-08-27 新玩家节点曲线校准；对照S25；等级48→46；保留原难度定位。  2026-08-31 推荐战力：本章Boss反查锚点p17-&gt;p24线性递增（60s击杀/扛20s）；</t>
  </si>
  <si>
    <t>3-2</t>
  </si>
  <si>
    <t>100302</t>
  </si>
  <si>
    <t>2026-08-27 新玩家节点曲线校准；对照S26；等级50→46；保留原难度定位。  2026-08-31 推荐战力：本章Boss反查锚点p17-&gt;p24线性递增（60s击杀/扛20s）；</t>
  </si>
  <si>
    <t>3-3</t>
  </si>
  <si>
    <t>100303</t>
  </si>
  <si>
    <t>2026-08-27 新玩家节点曲线校准；对照S27；等级52→48；保留原难度定位。  2026-08-31 推荐战力：本章Boss反查锚点p17-&gt;p24线性递增（60s击杀/扛20s）；</t>
  </si>
  <si>
    <t>3-4</t>
  </si>
  <si>
    <t>100304</t>
  </si>
  <si>
    <t>2026-08-27 新玩家节点曲线校准；对照S28；等级54→49；保留原难度定位。  2026-08-31 推荐战力：本章Boss反查锚点p17-&gt;p24线性递增（60s击杀/扛20s）；</t>
  </si>
  <si>
    <t>3-5</t>
  </si>
  <si>
    <t>100305</t>
  </si>
  <si>
    <t>2026-08-27 新玩家节点曲线校准；对照S29；等级58→52；保留原难度定位。  2026-08-31 推荐战力：本章Boss反查锚点p17-&gt;p24线性递增（60s击杀/扛20s）；</t>
  </si>
  <si>
    <t>3-6</t>
  </si>
  <si>
    <t>100306</t>
  </si>
  <si>
    <t>2026-08-27 新玩家节点曲线校准；对照S30；等级58→52；保留原难度定位。  2026-08-31 推荐战力：本章Boss反查锚点p17-&gt;p24线性递增（60s击杀/扛20s）；</t>
  </si>
  <si>
    <t>3-7</t>
  </si>
  <si>
    <t>100307</t>
  </si>
  <si>
    <t>2026-08-27 新玩家节点曲线校准；对照S31；等级62→54；保留原难度定位。  2026-08-31 推荐战力：本章Boss反查锚点p17-&gt;p24线性递增（60s击杀/扛20s）；</t>
  </si>
  <si>
    <t>3-8</t>
  </si>
  <si>
    <t>100308</t>
  </si>
  <si>
    <t>2026-08-27 新玩家节点曲线校准；对照S32；等级64→54；保留原难度定位。  2026-08-31 推荐战力：本章Boss反查锚点p17-&gt;p24线性递增（60s击杀/扛20s）；</t>
  </si>
  <si>
    <t>3-9</t>
  </si>
  <si>
    <t>100309</t>
  </si>
  <si>
    <t>2026-08-27 新玩家节点曲线校准；对照S33；等级67→55；保留原难度定位。  2026-08-31 推荐战力：本章Boss反查锚点p17-&gt;p24线性递增（60s击杀/扛20s）；</t>
  </si>
  <si>
    <t>3-10</t>
  </si>
  <si>
    <t>100310</t>
  </si>
  <si>
    <t>2026-08-27 新玩家节点曲线校准；对照S34；等级71→58；保留原难度定位。  2026-08-31 推荐战力：本章Boss反查锚点p17-&gt;p24线性递增（60s击杀/扛20s）；</t>
  </si>
  <si>
    <t>3-11</t>
  </si>
  <si>
    <t>100311</t>
  </si>
  <si>
    <t>2026-08-27 新玩家节点曲线校准；对照S35；等级73→58；保留原难度定位。  2026-08-31 推荐战力：本章Boss反查锚点p17-&gt;p24线性递增（60s击杀/扛20s）；</t>
  </si>
  <si>
    <t>3-12</t>
  </si>
  <si>
    <t>100312</t>
  </si>
  <si>
    <t>2026-08-27 新玩家节点曲线校准；对照S36；等级75→59；保留原难度定位。  2026-08-31 推荐战力：本章Boss反查锚点p17-&gt;p24线性递增（60s击杀/扛20s）；</t>
  </si>
  <si>
    <t>3-13</t>
  </si>
  <si>
    <t>100313</t>
  </si>
  <si>
    <t>2026-08-27 新玩家节点曲线校准；对照S37；等级78→61；保留原难度定位。  2026-08-31 推荐战力：本章Boss反查锚点p17-&gt;p24线性递增（60s击杀/扛20s）；</t>
  </si>
  <si>
    <t>3-14</t>
  </si>
  <si>
    <t>100314</t>
  </si>
  <si>
    <t>2026-08-27 新玩家节点曲线校准；对照S38；等级80→61；保留原难度定位。  2026-08-31 推荐战力：本章Boss反查锚点p17-&gt;p24线性递增（60s击杀/扛20s）；</t>
  </si>
  <si>
    <t>3-15</t>
  </si>
  <si>
    <t>100315</t>
  </si>
  <si>
    <t>2026-08-27 新玩家节点曲线校准；对照S39；等级85→66；保留原难度定位。  2026-08-31 推荐战力：本章Boss反查锚点p17-&gt;p24线性递增（60s击杀/扛20s）；</t>
  </si>
  <si>
    <t>第四章</t>
  </si>
  <si>
    <t>4-1</t>
  </si>
  <si>
    <t>100401</t>
  </si>
  <si>
    <t>2026-08-27 新玩家节点曲线校准；对照S40；等级85→66；保留原难度定位。  2026-08-31 推荐战力：本章Boss反查锚点p24-&gt;p36线性递增（60s击杀/扛20s）；</t>
  </si>
  <si>
    <t>4-2</t>
  </si>
  <si>
    <t>100402</t>
  </si>
  <si>
    <t>2026-08-27 新玩家节点曲线校准；对照S41；等级88→66；保留原难度定位。  2026-08-31 推荐战力：本章Boss反查锚点p24-&gt;p36线性递增（60s击杀/扛20s）；</t>
  </si>
  <si>
    <t>4-3</t>
  </si>
  <si>
    <t>100403</t>
  </si>
  <si>
    <t>2026-08-27 新玩家节点曲线校准；对照S42；等级90→68；保留原难度定位。  2026-08-31 推荐战力：本章Boss反查锚点p24-&gt;p36线性递增（60s击杀/扛20s）；</t>
  </si>
  <si>
    <t>4-4</t>
  </si>
  <si>
    <t>100404</t>
  </si>
  <si>
    <t>2026-08-27 新玩家节点曲线校准；对照S43；等级93→70；保留原难度定位。  2026-08-31 推荐战力：本章Boss反查锚点p24-&gt;p36线性递增（60s击杀/扛20s）；</t>
  </si>
  <si>
    <t>4-5</t>
  </si>
  <si>
    <t>100405</t>
  </si>
  <si>
    <t>2026-08-27 新玩家节点曲线校准；对照S44；等级95→72；保留原难度定位。  2026-08-31 推荐战力：本章Boss反查锚点p24-&gt;p36线性递增（60s击杀/扛20s）；</t>
  </si>
  <si>
    <t>4-6</t>
  </si>
  <si>
    <t>100406</t>
  </si>
  <si>
    <t>2026-08-27 新玩家节点曲线校准；对照S45；等级97→73；保留原难度定位。  2026-08-31 推荐战力：本章Boss反查锚点p24-&gt;p36线性递增（60s击杀/扛20s）；</t>
  </si>
  <si>
    <t>4-7</t>
  </si>
  <si>
    <t>100407</t>
  </si>
  <si>
    <t>2026-08-27 新玩家节点曲线校准；对照S46；等级99→75；保留原难度定位。  2026-08-31 推荐战力：本章Boss反查锚点p24-&gt;p36线性递增（60s击杀/扛20s）；</t>
  </si>
  <si>
    <t>4-8</t>
  </si>
  <si>
    <t>100408</t>
  </si>
  <si>
    <t>2026-08-27 新玩家节点曲线校准；对照S47；等级101→76；保留原难度定位。  2026-08-31 推荐战力：本章Boss反查锚点p24-&gt;p36线性递增（60s击杀/扛20s）；</t>
  </si>
  <si>
    <t>4-9</t>
  </si>
  <si>
    <t>100409</t>
  </si>
  <si>
    <t>2026-08-27 新玩家节点曲线校准；对照S48；等级103→78；保留原难度定位。  2026-08-31 推荐战力：本章Boss反查锚点p24-&gt;p36线性递增（60s击杀/扛20s）；</t>
  </si>
  <si>
    <t>4-10</t>
  </si>
  <si>
    <t>100410</t>
  </si>
  <si>
    <t>2026-08-27 新玩家节点曲线校准；对照S49；等级105→80；保留原难度定位。  2026-08-31 推荐战力：本章Boss反查锚点p24-&gt;p36线性递增（60s击杀/扛20s）；</t>
  </si>
  <si>
    <t>4-11</t>
  </si>
  <si>
    <t>100411</t>
  </si>
  <si>
    <t>2026-08-27 新玩家节点曲线校准；对照S50；等级107→81；保留原难度定位。  2026-08-31 推荐战力：本章Boss反查锚点p24-&gt;p36线性递增（60s击杀/扛20s）；</t>
  </si>
  <si>
    <t>4-12</t>
  </si>
  <si>
    <t>100412</t>
  </si>
  <si>
    <t>2026-08-27 新玩家节点曲线校准；对照S51；等级109→83；保留原难度定位。  2026-08-31 推荐战力：本章Boss反查锚点p24-&gt;p36线性递增（60s击杀/扛20s）；</t>
  </si>
  <si>
    <t>4-13</t>
  </si>
  <si>
    <t>100413</t>
  </si>
  <si>
    <t>2026-08-27 新玩家节点曲线校准；对照S52；等级111→85；保留原难度定位。  2026-08-31 推荐战力：本章Boss反查锚点p24-&gt;p36线性递增（60s击杀/扛20s）；</t>
  </si>
  <si>
    <t>4-14</t>
  </si>
  <si>
    <t>100414</t>
  </si>
  <si>
    <t>2026-08-27 新玩家节点曲线校准；对照S53；等级113→87；保留原难度定位。  2026-08-31 推荐战力：本章Boss反查锚点p24-&gt;p36线性递增（60s击杀/扛20s）；</t>
  </si>
  <si>
    <t>4-15</t>
  </si>
  <si>
    <t>100415</t>
  </si>
  <si>
    <t>2026-08-27 新玩家节点曲线校准；对照S54；等级117→93；保留原难度定位。  2026-08-31 推荐战力：本章Boss反查锚点p24-&gt;p36线性递增（60s击杀/扛20s）；</t>
  </si>
  <si>
    <t>第五章</t>
  </si>
  <si>
    <t>5-1</t>
  </si>
  <si>
    <t>100501</t>
  </si>
  <si>
    <t>2026-08-27 新玩家节点曲线校准；对照S55；等级117→93；保留原难度定位。  2026-08-31 推荐战力：本章Boss反查锚点p36-&gt;p45线性递增（60s击杀/扛20s）；</t>
  </si>
  <si>
    <t>5-2</t>
  </si>
  <si>
    <t>100502</t>
  </si>
  <si>
    <t>2026-08-27 新玩家节点曲线校准；对照S56；等级119→93；保留原难度定位。  2026-08-31 推荐战力：本章Boss反查锚点p36-&gt;p45线性递增（60s击杀/扛20s）；</t>
  </si>
  <si>
    <t>5-3</t>
  </si>
  <si>
    <t>100503</t>
  </si>
  <si>
    <t>2026-08-27 新玩家节点曲线校准；对照S57；等级120→93；保留原难度定位。  2026-08-31 推荐战力：本章Boss反查锚点p36-&gt;p45线性递增（60s击杀/扛20s）；</t>
  </si>
  <si>
    <t>5-4</t>
  </si>
  <si>
    <t>100504</t>
  </si>
  <si>
    <t>2026-08-27 新玩家节点曲线校准；对照S58；等级122→94；保留原难度定位。  2026-08-31 推荐战力：本章Boss反查锚点p36-&gt;p45线性递增（60s击杀/扛20s）；</t>
  </si>
  <si>
    <t>5-5</t>
  </si>
  <si>
    <t>100505</t>
  </si>
  <si>
    <t>2026-08-27 新玩家节点曲线校准；对照S59；等级124→96；保留原难度定位。  2026-08-31 推荐战力：本章Boss反查锚点p36-&gt;p45线性递增（60s击杀/扛20s）；</t>
  </si>
  <si>
    <t>5-6</t>
  </si>
  <si>
    <t>100506</t>
  </si>
  <si>
    <t>2026-08-27 新玩家节点曲线校准；对照S60；等级126→97；保留原难度定位。  2026-08-31 推荐战力：本章Boss反查锚点p36-&gt;p45线性递增（60s击杀/扛20s）；</t>
  </si>
  <si>
    <t>5-7</t>
  </si>
  <si>
    <t>100507</t>
  </si>
  <si>
    <t>2026-08-27 新玩家节点曲线校准；对照S61；等级128→99；保留原难度定位。  2026-08-31 推荐战力：本章Boss反查锚点p36-&gt;p45线性递增（60s击杀/扛20s）；</t>
  </si>
  <si>
    <t>5-8</t>
  </si>
  <si>
    <t>100508</t>
  </si>
  <si>
    <t>2026-08-27 新玩家节点曲线校准；对照S62；等级129→100；保留原难度定位。  2026-08-31 推荐战力：本章Boss反查锚点p36-&gt;p45线性递增（60s击杀/扛20s）；</t>
  </si>
  <si>
    <t>5-9</t>
  </si>
  <si>
    <t>100509</t>
  </si>
  <si>
    <t>2026-08-27 新玩家节点曲线校准；对照S63；等级131→101；保留原难度定位。  2026-08-31 推荐战力：本章Boss反查锚点p36-&gt;p45线性递增（60s击杀/扛20s）；</t>
  </si>
  <si>
    <t>5-10</t>
  </si>
  <si>
    <t>100510</t>
  </si>
  <si>
    <t>2026-08-27 新玩家节点曲线校准；对照S64；等级132→102；保留原难度定位。  2026-08-31 推荐战力：本章Boss反查锚点p36-&gt;p45线性递增（60s击杀/扛20s）；</t>
  </si>
  <si>
    <t>5-11</t>
  </si>
  <si>
    <t>100511</t>
  </si>
  <si>
    <t>2026-08-27 新玩家节点曲线校准；对照S65；等级134→104；保留原难度定位。  2026-08-31 推荐战力：本章Boss反查锚点p36-&gt;p45线性递增（60s击杀/扛20s）；</t>
  </si>
  <si>
    <t>5-12</t>
  </si>
  <si>
    <t>100512</t>
  </si>
  <si>
    <t>2026-08-27 新玩家节点曲线校准；对照S66；等级136→105；保留原难度定位。  2026-08-31 推荐战力：本章Boss反查锚点p36-&gt;p45线性递增（60s击杀/扛20s）；</t>
  </si>
  <si>
    <t>5-13</t>
  </si>
  <si>
    <t>100513</t>
  </si>
  <si>
    <t>2026-08-27 新玩家节点曲线校准；对照S67；等级138→107；保留原难度定位。  2026-08-31 推荐战力：本章Boss反查锚点p36-&gt;p45线性递增（60s击杀/扛20s）；</t>
  </si>
  <si>
    <t>5-14</t>
  </si>
  <si>
    <t>100514</t>
  </si>
  <si>
    <t>2026-08-27 新玩家节点曲线校准；对照S68；等级139→108；保留原难度定位。  2026-08-31 推荐战力：本章Boss反查锚点p36-&gt;p45线性递增（60s击杀/扛20s）；</t>
  </si>
  <si>
    <t>5-15</t>
  </si>
  <si>
    <t>100515</t>
  </si>
  <si>
    <t>2026-08-27 新玩家节点曲线校准；对照S69；等级144→114；保留原难度定位。  2026-08-31 推荐战力：本章Boss反查锚点p36-&gt;p45线性递增（60s击杀/扛20s）；</t>
  </si>
  <si>
    <t>第六章</t>
  </si>
  <si>
    <t>6-1</t>
  </si>
  <si>
    <t>100601</t>
  </si>
  <si>
    <t>2026-08-27 新玩家节点曲线校准；对照S70；等级144→114；保留原难度定位。  2026-08-31 推荐战力：本章Boss反查锚点p45-&gt;p52线性递增（60s击杀/扛20s）；</t>
  </si>
  <si>
    <t>6-2</t>
  </si>
  <si>
    <t>100602</t>
  </si>
  <si>
    <t>2026-08-27 新玩家节点曲线校准；对照S71；等级145→114；保留原难度定位。  2026-08-31 推荐战力：本章Boss反查锚点p45-&gt;p52线性递增（60s击杀/扛20s）；</t>
  </si>
  <si>
    <t>6-3</t>
  </si>
  <si>
    <t>100603</t>
  </si>
  <si>
    <t>2026-08-27 新玩家节点曲线校准；对照S72；等级147→114；保留原难度定位。  2026-08-31 推荐战力：本章Boss反查锚点p45-&gt;p52线性递增（60s击杀/扛20s）；</t>
  </si>
  <si>
    <t>6-4</t>
  </si>
  <si>
    <t>100604</t>
  </si>
  <si>
    <t>2026-08-27 新玩家节点曲线校准；对照S73；等级148→115；保留原难度定位。  2026-08-31 推荐战力：本章Boss反查锚点p45-&gt;p52线性递增（60s击杀/扛20s）；</t>
  </si>
  <si>
    <t>6-5</t>
  </si>
  <si>
    <t>100605</t>
  </si>
  <si>
    <t>2026-08-27 新玩家节点曲线校准；对照S74；等级150→116；保留原难度定位。  2026-08-31 推荐战力：本章Boss反查锚点p45-&gt;p52线性递增（60s击杀/扛20s）；</t>
  </si>
  <si>
    <t>6-6</t>
  </si>
  <si>
    <t>100606</t>
  </si>
  <si>
    <t>2026-08-27 新玩家节点曲线校准；对照S75；等级153→119；保留原难度定位。  2026-08-31 推荐战力：本章Boss反查锚点p45-&gt;p52线性递增（60s击杀/扛20s）；</t>
  </si>
  <si>
    <t>6-7</t>
  </si>
  <si>
    <t>100607</t>
  </si>
  <si>
    <t>2026-08-27 新玩家节点曲线校准；对照S76；等级154→119；保留原难度定位。  2026-08-31 推荐战力：本章Boss反查锚点p45-&gt;p52线性递增（60s击杀/扛20s）；</t>
  </si>
  <si>
    <t>6-8</t>
  </si>
  <si>
    <t>100608</t>
  </si>
  <si>
    <t>2026-08-27 新玩家节点曲线校准；对照S77；等级155→120；保留原难度定位。  2026-08-31 推荐战力：本章Boss反查锚点p45-&gt;p52线性递增（60s击杀/扛20s）；</t>
  </si>
  <si>
    <t>6-9</t>
  </si>
  <si>
    <t>100609</t>
  </si>
  <si>
    <t>2026-08-27 新玩家节点曲线校准；对照S78；等级157→122；保留原难度定位。  2026-08-31 推荐战力：本章Boss反查锚点p45-&gt;p52线性递增（60s击杀/扛20s）；</t>
  </si>
  <si>
    <t>6-10</t>
  </si>
  <si>
    <t>100610</t>
  </si>
  <si>
    <t>2026-08-27 新玩家节点曲线校准；对照S79；等级157→122；保留原难度定位。  2026-08-31 推荐战力：本章Boss反查锚点p45-&gt;p52线性递增（60s击杀/扛20s）；</t>
  </si>
  <si>
    <t>6-11</t>
  </si>
  <si>
    <t>100611</t>
  </si>
  <si>
    <t>2026-08-27 新玩家节点曲线校准；对照S80；等级159→123；保留原难度定位。  2026-08-31 推荐战力：本章Boss反查锚点p45-&gt;p52线性递增（60s击杀/扛20s）；</t>
  </si>
  <si>
    <t>6-12</t>
  </si>
  <si>
    <t>100612</t>
  </si>
  <si>
    <t>2026-08-27 新玩家节点曲线校准；对照S81；等级161→125；保留原难度定位。  2026-08-31 推荐战力：本章Boss反查锚点p45-&gt;p52线性递增（60s击杀/扛20s）；</t>
  </si>
  <si>
    <t>6-13</t>
  </si>
  <si>
    <t>100613</t>
  </si>
  <si>
    <t>2026-08-27 新玩家节点曲线校准；对照S82；等级163→127；保留原难度定位。  2026-08-31 推荐战力：本章Boss反查锚点p45-&gt;p52线性递增（60s击杀/扛20s）；</t>
  </si>
  <si>
    <t>6-14</t>
  </si>
  <si>
    <t>100614</t>
  </si>
  <si>
    <t>2026-08-27 新玩家节点曲线校准；对照S83；等级164→128；保留原难度定位。  2026-08-31 推荐战力：本章Boss反查锚点p45-&gt;p52线性递增（60s击杀/扛20s）；</t>
  </si>
  <si>
    <t>6-15</t>
  </si>
  <si>
    <t>100615</t>
  </si>
  <si>
    <t>2026-08-27 新玩家节点曲线校准；对照S84；等级168→133；保留原难度定位。  2026-08-31 推荐战力：本章Boss反查锚点p45-&gt;p52线性递增（60s击杀/扛20s）；</t>
  </si>
  <si>
    <t>第七章</t>
  </si>
  <si>
    <t>7-1</t>
  </si>
  <si>
    <t>100701</t>
  </si>
  <si>
    <t>2026-08-27 新玩家节点曲线校准；对照S85；等级168→133；保留原难度定位。  2026-08-31 推荐战力：本章Boss反查锚点p52-&gt;p58线性递增（60s击杀/扛20s）；</t>
  </si>
  <si>
    <t>7-2</t>
  </si>
  <si>
    <t>100702</t>
  </si>
  <si>
    <t>2026-08-27 新玩家节点曲线校准；对照S86；等级168→133；保留原难度定位。  2026-08-31 推荐战力：本章Boss反查锚点p52-&gt;p58线性递增（60s击杀/扛20s）；</t>
  </si>
  <si>
    <t>7-3</t>
  </si>
  <si>
    <t>100703</t>
  </si>
  <si>
    <t>2026-08-27 新玩家节点曲线校准；对照S87；等级170→133；保留原难度定位。  2026-08-31 推荐战力：本章Boss反查锚点p52-&gt;p58线性递增（60s击杀/扛20s）；</t>
  </si>
  <si>
    <t>7-4</t>
  </si>
  <si>
    <t>100704</t>
  </si>
  <si>
    <t>2026-08-27 新玩家节点曲线校准；对照S88；等级170→133；保留原难度定位。  2026-08-31 推荐战力：本章Boss反查锚点p52-&gt;p58线性递增（60s击杀/扛20s）；</t>
  </si>
  <si>
    <t>7-5</t>
  </si>
  <si>
    <t>100705</t>
  </si>
  <si>
    <t>2026-08-27 新玩家节点曲线校准；对照S89；等级172→134；保留原难度定位。  2026-08-31 推荐战力：本章Boss反查锚点p52-&gt;p58线性递增（60s击杀/扛20s）；</t>
  </si>
  <si>
    <t>7-6</t>
  </si>
  <si>
    <t>100706</t>
  </si>
  <si>
    <t>2026-08-27 新玩家节点曲线校准；对照S90；等级173→135；保留原难度定位。  2026-08-31 推荐战力：本章Boss反查锚点p52-&gt;p58线性递增（60s击杀/扛20s）；</t>
  </si>
  <si>
    <t>7-7</t>
  </si>
  <si>
    <t>100707</t>
  </si>
  <si>
    <t>2026-08-27 新玩家节点曲线校准；对照S91；等级174→136；保留原难度定位。  2026-08-31 推荐战力：本章Boss反查锚点p52-&gt;p58线性递增（60s击杀/扛20s）；</t>
  </si>
  <si>
    <t>7-8</t>
  </si>
  <si>
    <t>100708</t>
  </si>
  <si>
    <t>2026-08-27 新玩家节点曲线校准；对照S92；等级175→136；保留原难度定位。  2026-08-31 推荐战力：本章Boss反查锚点p52-&gt;p58线性递增（60s击杀/扛20s）；</t>
  </si>
  <si>
    <t>7-9</t>
  </si>
  <si>
    <t>100709</t>
  </si>
  <si>
    <t>2026-08-27 新玩家节点曲线校准；对照S93；等级177→138；保留原难度定位。  2026-08-31 推荐战力：本章Boss反查锚点p52-&gt;p58线性递增（60s击杀/扛20s）；</t>
  </si>
  <si>
    <t>7-10</t>
  </si>
  <si>
    <t>100710</t>
  </si>
  <si>
    <t>2026-08-27 新玩家节点曲线校准；对照S94；等级178→139；保留原难度定位。  2026-08-31 推荐战力：本章Boss反查锚点p52-&gt;p58线性递增（60s击杀/扛20s）；</t>
  </si>
  <si>
    <t>7-11</t>
  </si>
  <si>
    <t>100711</t>
  </si>
  <si>
    <t>2026-08-27 新玩家节点曲线校准；对照S95；等级180→141；保留原难度定位。  2026-08-31 推荐战力：本章Boss反查锚点p52-&gt;p58线性递增（60s击杀/扛20s）；</t>
  </si>
  <si>
    <t>7-12</t>
  </si>
  <si>
    <t>100712</t>
  </si>
  <si>
    <t>2026-08-27 新玩家节点曲线校准；对照S96；等级180→141；保留原难度定位。  2026-08-31 推荐战力：本章Boss反查锚点p52-&gt;p58线性递增（60s击杀/扛20s）；</t>
  </si>
  <si>
    <t>7-13</t>
  </si>
  <si>
    <t>100713</t>
  </si>
  <si>
    <t>2026-08-27 新玩家节点曲线校准；对照S97；等级181→142；保留原难度定位。  2026-08-31 推荐战力：本章Boss反查锚点p52-&gt;p58线性递增（60s击杀/扛20s）；</t>
  </si>
  <si>
    <t>7-14</t>
  </si>
  <si>
    <t>100714</t>
  </si>
  <si>
    <t>2026-08-27 新玩家节点曲线校准；对照S98；等级183→143；保留原难度定位。  2026-08-31 推荐战力：本章Boss反查锚点p52-&gt;p58线性递增（60s击杀/扛20s）；</t>
  </si>
  <si>
    <t>7-15</t>
  </si>
  <si>
    <t>100715</t>
  </si>
  <si>
    <t>2026-08-27 新玩家节点曲线校准；对照S99；等级187→154；保留原难度定位。  2026-08-31 推荐战力：本章Boss反查锚点p52-&gt;p58线性递增（60s击杀/扛20s）；</t>
  </si>
  <si>
    <t>全玩法难度填写｜困难主线</t>
  </si>
  <si>
    <t>第1章</t>
  </si>
  <si>
    <t>高难1-1</t>
  </si>
  <si>
    <t>110101</t>
  </si>
  <si>
    <t>2026-08-27 新玩家节点曲线校准；对照S71；等级146→116；保留原难度定位。</t>
  </si>
  <si>
    <t>高难1-2</t>
  </si>
  <si>
    <t>110102</t>
  </si>
  <si>
    <t>2026-08-27 新玩家节点曲线校准；对照S72；等级147→116；保留原难度定位。</t>
  </si>
  <si>
    <t>高难1-3</t>
  </si>
  <si>
    <t>110103</t>
  </si>
  <si>
    <t>2026-08-27 新玩家节点曲线校准；对照S73；等级148→116；保留原难度定位。</t>
  </si>
  <si>
    <t>高难1-4</t>
  </si>
  <si>
    <t>110104</t>
  </si>
  <si>
    <t>2026-08-27 新玩家节点曲线校准；对照S74；等级150→116；保留原难度定位。</t>
  </si>
  <si>
    <t>高难1-5</t>
  </si>
  <si>
    <t>110105</t>
  </si>
  <si>
    <t>2026-08-27 新玩家节点曲线校准；对照S75；等级153→119；保留原难度定位。</t>
  </si>
  <si>
    <t>第2章</t>
  </si>
  <si>
    <t>高难2-1</t>
  </si>
  <si>
    <t>110201</t>
  </si>
  <si>
    <t>2026-08-27 新玩家节点曲线校准；对照S76；等级154→119；保留原难度定位。</t>
  </si>
  <si>
    <t>高难2-2</t>
  </si>
  <si>
    <t>110202</t>
  </si>
  <si>
    <t>2026-08-27 新玩家节点曲线校准；对照S77；等级155→120；保留原难度定位。</t>
  </si>
  <si>
    <t>高难2-3</t>
  </si>
  <si>
    <t>110203</t>
  </si>
  <si>
    <t>2026-08-27 新玩家节点曲线校准；对照S78；等级157→122；保留原难度定位。</t>
  </si>
  <si>
    <t>高难2-4</t>
  </si>
  <si>
    <t>110204</t>
  </si>
  <si>
    <t>2026-08-27 新玩家节点曲线校准；对照S79；等级157→122；保留原难度定位。</t>
  </si>
  <si>
    <t>高难2-5</t>
  </si>
  <si>
    <t>110205</t>
  </si>
  <si>
    <t>2026-08-27 新玩家节点曲线校准；对照S80；等级159→123；保留原难度定位。</t>
  </si>
  <si>
    <t>第3章</t>
  </si>
  <si>
    <t>高难3-1</t>
  </si>
  <si>
    <t>110301</t>
  </si>
  <si>
    <t>2026-08-27 新玩家节点曲线校准；对照S81；等级161→125；保留原难度定位。</t>
  </si>
  <si>
    <t>高难3-2</t>
  </si>
  <si>
    <t>110302</t>
  </si>
  <si>
    <t>2026-08-27 新玩家节点曲线校准；对照S82；等级163→127；保留原难度定位。</t>
  </si>
  <si>
    <t>高难3-3</t>
  </si>
  <si>
    <t>110303</t>
  </si>
  <si>
    <t>2026-08-27 新玩家节点曲线校准；对照S83；等级164→128；保留原难度定位。</t>
  </si>
  <si>
    <t>高难3-4</t>
  </si>
  <si>
    <t>110304</t>
  </si>
  <si>
    <t>2026-08-27 新玩家节点曲线校准；对照S84；等级166→130；保留原难度定位。</t>
  </si>
  <si>
    <t>高难3-5</t>
  </si>
  <si>
    <t>110305</t>
  </si>
  <si>
    <t>2026-08-27 新玩家节点曲线校准；对照S85；等级167→131；保留原难度定位。</t>
  </si>
  <si>
    <t>第4章</t>
  </si>
  <si>
    <t>高难4-1</t>
  </si>
  <si>
    <t>110401</t>
  </si>
  <si>
    <t>2026-08-27 新玩家节点曲线校准；对照S86；等级168→131；保留原难度定位。</t>
  </si>
  <si>
    <t>高难4-2</t>
  </si>
  <si>
    <t>110402</t>
  </si>
  <si>
    <t>2026-08-27 新玩家节点曲线校准；对照S87；等级170→133；保留原难度定位。</t>
  </si>
  <si>
    <t>高难4-3</t>
  </si>
  <si>
    <t>110403</t>
  </si>
  <si>
    <t>2026-08-27 新玩家节点曲线校准；对照S88；等级170→133；保留原难度定位。</t>
  </si>
  <si>
    <t>高难4-4</t>
  </si>
  <si>
    <t>110404</t>
  </si>
  <si>
    <t>2026-08-27 新玩家节点曲线校准；对照S89；等级172→134；保留原难度定位。</t>
  </si>
  <si>
    <t>高难4-5</t>
  </si>
  <si>
    <t>110405</t>
  </si>
  <si>
    <t>2026-08-27 新玩家节点曲线校准；对照S90；等级173→135；保留原难度定位。</t>
  </si>
  <si>
    <t>第5章</t>
  </si>
  <si>
    <t>高难5-1</t>
  </si>
  <si>
    <t>110501</t>
  </si>
  <si>
    <t>2026-08-27 新玩家节点曲线校准；对照S91；等级174→136；保留原难度定位。</t>
  </si>
  <si>
    <t>高难5-2</t>
  </si>
  <si>
    <t>110502</t>
  </si>
  <si>
    <t>2026-08-27 新玩家节点曲线校准；对照S92；等级175→136；保留原难度定位。</t>
  </si>
  <si>
    <t>高难5-3</t>
  </si>
  <si>
    <t>110503</t>
  </si>
  <si>
    <t>2026-08-27 新玩家节点曲线校准；对照S93；等级177→138；保留原难度定位。</t>
  </si>
  <si>
    <t>高难5-4</t>
  </si>
  <si>
    <t>110504</t>
  </si>
  <si>
    <t>2026-08-27 新玩家节点曲线校准；对照S94；等级178→139；保留原难度定位。</t>
  </si>
  <si>
    <t>高难5-5</t>
  </si>
  <si>
    <t>110505</t>
  </si>
  <si>
    <t>2026-08-27 新玩家节点曲线校准；对照S95；等级180→141；保留原难度定位。</t>
  </si>
  <si>
    <t>第6章</t>
  </si>
  <si>
    <t>高难6-1</t>
  </si>
  <si>
    <t>110601</t>
  </si>
  <si>
    <t>2026-08-27 新玩家节点曲线校准；对照S96；等级180→141；保留原难度定位。</t>
  </si>
  <si>
    <t>高难6-2</t>
  </si>
  <si>
    <t>110602</t>
  </si>
  <si>
    <t>2026-08-27 新玩家节点曲线校准；对照S97；等级181→142；保留原难度定位。</t>
  </si>
  <si>
    <t>高难6-3</t>
  </si>
  <si>
    <t>110603</t>
  </si>
  <si>
    <t>2026-08-27 新玩家节点曲线校准；对照S98；等级183→143；保留原难度定位。</t>
  </si>
  <si>
    <t>高难6-4</t>
  </si>
  <si>
    <t>110604</t>
  </si>
  <si>
    <t>2026-08-27 新玩家节点曲线校准；对照S99；等级184→144；保留原难度定位。</t>
  </si>
  <si>
    <t>高难6-5</t>
  </si>
  <si>
    <t>110605</t>
  </si>
  <si>
    <t>2026-08-27 新玩家节点曲线校准；对照S100；等级185→145；保留原难度定位。</t>
  </si>
  <si>
    <t>第7章</t>
  </si>
  <si>
    <t>高难7-1</t>
  </si>
  <si>
    <t>110701</t>
  </si>
  <si>
    <t>2026-08-27 新玩家节点曲线校准；对照S101；等级186→146；保留原难度定位。</t>
  </si>
  <si>
    <t>高难7-2</t>
  </si>
  <si>
    <t>110702</t>
  </si>
  <si>
    <t>2026-08-27 新玩家节点曲线校准；对照S102；等级188→148；保留原难度定位。</t>
  </si>
  <si>
    <t>高难7-3</t>
  </si>
  <si>
    <t>110703</t>
  </si>
  <si>
    <t>2026-08-27 新玩家节点曲线校准；对照S103；等级190→149；保留原难度定位。</t>
  </si>
  <si>
    <t>高难7-4</t>
  </si>
  <si>
    <t>110704</t>
  </si>
  <si>
    <t>2026-08-27 新玩家节点曲线校准；对照S104；等级192→151；保留原难度定位。</t>
  </si>
  <si>
    <t>高难7-5</t>
  </si>
  <si>
    <t>110705</t>
  </si>
  <si>
    <t>2026-08-27 新玩家节点曲线校准；对照S105；等级193→152；保留原难度定位。</t>
  </si>
  <si>
    <t>全玩法难度填写｜角色经验</t>
  </si>
  <si>
    <t>资源副本</t>
  </si>
  <si>
    <t>难度1</t>
  </si>
  <si>
    <t>210001</t>
  </si>
  <si>
    <t>2026-08-27 新玩家节点曲线校准；对照S16；等级22→20；保留原难度定位。</t>
  </si>
  <si>
    <t>难度2</t>
  </si>
  <si>
    <t>210002</t>
  </si>
  <si>
    <t>2026-08-27 新玩家节点曲线校准；对照S20；等级26→24；保留原难度定位。</t>
  </si>
  <si>
    <t>难度3</t>
  </si>
  <si>
    <t>210003</t>
  </si>
  <si>
    <t>2026-08-27 新玩家节点曲线校准；对照S33；等级39→31；保留原难度定位。</t>
  </si>
  <si>
    <t>难度4</t>
  </si>
  <si>
    <t>210004</t>
  </si>
  <si>
    <t>2026-08-27 新玩家节点曲线校准；对照S48；等级49→34；保留原难度定位。</t>
  </si>
  <si>
    <t>难度5</t>
  </si>
  <si>
    <t>210005</t>
  </si>
  <si>
    <t>2026-08-27 新玩家节点曲线校准；对照S64；等级61→42；保留原难度定位。</t>
  </si>
  <si>
    <t>历史停用档（不落配置）</t>
  </si>
  <si>
    <t>难度6</t>
  </si>
  <si>
    <t>210006</t>
  </si>
  <si>
    <t>档位解锁Lv35；修正版V4：首档送进度，9档共用Lv30→180缓升；对照节点S85｜V4同步最新玩家曲线：Lv113→Lv104，保留原TTK/生存压力目标｜曲线同步20260811：Lv104→Lv85，保持原玩法定位与TTK/生存压力</t>
  </si>
  <si>
    <t>难度7</t>
  </si>
  <si>
    <t>210007</t>
  </si>
  <si>
    <t>档位解锁Lv40；修正版V4：首档送进度，9档共用Lv30→180缓升；对照节点S108｜V4同步最新玩家曲线：Lv135→Lv126，保留原TTK/生存压力目标｜曲线同步20260811：Lv126→Lv103，保持原玩法定位与TTK/生存压力</t>
  </si>
  <si>
    <t>难度8</t>
  </si>
  <si>
    <t>210008</t>
  </si>
  <si>
    <t>档位解锁Lv45；修正版V4：首档送进度，9档共用Lv30→180缓升；对照节点S124｜V4同步最新玩家曲线：Lv157→Lv148，保留原TTK/生存压力目标｜曲线同步20260811：Lv148→Lv122，保持原玩法定位与TTK/生存压力</t>
  </si>
  <si>
    <t>难度9</t>
  </si>
  <si>
    <t>210009</t>
  </si>
  <si>
    <t>档位解锁Lv50；修正版V4：首档送进度，9档共用Lv30→180缓升；对照节点S146｜V4同步最新玩家曲线：Lv180→Lv171，保留原TTK/生存压力目标｜曲线同步20260811：Lv171→Lv142，保持原玩法定位与TTK/生存压力</t>
  </si>
  <si>
    <t>全玩法难度填写｜金币</t>
  </si>
  <si>
    <t>220001</t>
  </si>
  <si>
    <t>220002</t>
  </si>
  <si>
    <t>220003</t>
  </si>
  <si>
    <t>220004</t>
  </si>
  <si>
    <t>220005</t>
  </si>
  <si>
    <t>220006</t>
  </si>
  <si>
    <t>220007</t>
  </si>
  <si>
    <t>220008</t>
  </si>
  <si>
    <t>220009</t>
  </si>
  <si>
    <t>全玩法难度填写｜收容经验</t>
  </si>
  <si>
    <t>221001</t>
  </si>
  <si>
    <t>221002</t>
  </si>
  <si>
    <t>221003</t>
  </si>
  <si>
    <t>221004</t>
  </si>
  <si>
    <t>221005</t>
  </si>
  <si>
    <t>221006</t>
  </si>
  <si>
    <t>221007</t>
  </si>
  <si>
    <t>221008</t>
  </si>
  <si>
    <t>221009</t>
  </si>
  <si>
    <t>全玩法难度填写｜旅券</t>
  </si>
  <si>
    <t>4主题共用</t>
  </si>
  <si>
    <t>241001;242001;243001;244001</t>
  </si>
  <si>
    <t>2026-08-27 新玩家节点曲线校准；对照S100；等级129→102；保留原难度定位。</t>
  </si>
  <si>
    <t>241002;242002;243002;244002</t>
  </si>
  <si>
    <t>2026-08-27 新玩家节点曲线校准；对照S112；等级166→135；保留原难度定位。</t>
  </si>
  <si>
    <t>241003;242003;243003;244003</t>
  </si>
  <si>
    <t>2026-08-27 新玩家节点曲线校准；对照S126；等级204→172；保留原难度定位。</t>
  </si>
  <si>
    <t>241004;242004;243004;244004</t>
  </si>
  <si>
    <t>2026-08-27 新玩家节点曲线校准；对照S142；等级230→199；保留原难度定位。</t>
  </si>
  <si>
    <t>241005;242005;243005;244005</t>
  </si>
  <si>
    <t>2026-08-27 新玩家节点曲线校准；对照S160；等级248→220；保留原难度定位。</t>
  </si>
  <si>
    <t>241006;242006;243006;244006</t>
  </si>
  <si>
    <t>2026-08-27 新玩家节点曲线校准；对照S180；等级264→241；保留原难度定位。</t>
  </si>
  <si>
    <t>241007;242007;243007;244007</t>
  </si>
  <si>
    <t>2026-08-27 新玩家节点曲线校准；对照S202；等级275→258；保留原难度定位。</t>
  </si>
  <si>
    <t>241008;242008;243008;244008</t>
  </si>
  <si>
    <t>2026-08-27 新玩家节点曲线校准；对照S226；等级284→275；保留原难度定位。</t>
  </si>
  <si>
    <t>241009;242009;243009;244009</t>
  </si>
  <si>
    <t>2026-08-27 新玩家节点曲线校准；对照S252；等级292→292；保留原难度定位。</t>
  </si>
  <si>
    <t>难度10</t>
  </si>
  <si>
    <t>241010;242010;243010;244010</t>
  </si>
  <si>
    <t>2026-08-27 新玩家节点曲线校准；对照S279；等级303→312；保留原难度定位。</t>
  </si>
  <si>
    <t>全玩法难度填写｜映射</t>
  </si>
  <si>
    <t>30档独立校准：在“映射等级节点”C列黄格改等级；J列跟随。不要再用首末两点直线插值。</t>
  </si>
  <si>
    <t>系数前推荐战力</t>
  </si>
  <si>
    <t>推荐战力系数</t>
  </si>
  <si>
    <t>系数后未取整</t>
  </si>
  <si>
    <t>5类型共用</t>
  </si>
  <si>
    <t>250011;250012;250013;250014;250015</t>
  </si>
  <si>
    <t>装备副本Boss</t>
  </si>
  <si>
    <t>2026-08-27 新玩家节点曲线校准；对照S24；等级26→23；保留原难度定位。</t>
  </si>
  <si>
    <t>250021;250022;250023;250024;250025</t>
  </si>
  <si>
    <t>2026-08-27 新玩家节点曲线校准；对照S29；等级35→30；保留原难度定位。</t>
  </si>
  <si>
    <t>250031;250032;250033;250034;250035</t>
  </si>
  <si>
    <t>2026-08-27 新玩家节点曲线校准；对照S36；等级45→33；保留原难度定位。</t>
  </si>
  <si>
    <t>250041;250042;250043;250044;250045</t>
  </si>
  <si>
    <t>2026-08-27 新玩家节点曲线校准；对照S43；等级54→38；保留原难度定位。</t>
  </si>
  <si>
    <t>250051;250052;250053;250054;250055</t>
  </si>
  <si>
    <t>2026-08-27 新玩家节点曲线校准；对照S50；等级63→46；保留原难度定位。</t>
  </si>
  <si>
    <t>250061;250062;250063;250064;250065</t>
  </si>
  <si>
    <t>2026-08-27 新玩家节点曲线校准；对照S58；等级73→55；保留原难度定位。</t>
  </si>
  <si>
    <t>250071;250072;250073;250074;250075</t>
  </si>
  <si>
    <t>2026-08-27 新玩家节点曲线校准；对照S66；等级82→62；保留原难度定位。</t>
  </si>
  <si>
    <t>250081;250082;250083;250084;250085</t>
  </si>
  <si>
    <t>2026-08-27 新玩家节点曲线校准；对照S74；等级91→69；保留原难度定位。</t>
  </si>
  <si>
    <t>250091;250092;250093;250094;250095</t>
  </si>
  <si>
    <t>2026-08-27 新玩家节点曲线校准；对照S82；等级100→77；保留原难度定位。</t>
  </si>
  <si>
    <t>250101;250102;250103;250104;250105</t>
  </si>
  <si>
    <t>2026-08-27 新玩家节点曲线校准；对照S90；等级110→85；保留原难度定位。</t>
  </si>
  <si>
    <t>难度11</t>
  </si>
  <si>
    <t>250111;250112;250113;250114;250115</t>
  </si>
  <si>
    <t>2026-08-27 新玩家节点曲线校准；对照S99；等级119→93；保留原难度定位。</t>
  </si>
  <si>
    <t>难度12</t>
  </si>
  <si>
    <t>250121;250122;250123;250124;250125</t>
  </si>
  <si>
    <t>2026-08-27 新玩家节点曲线校准；对照S108；等级128→101；保留原难度定位。</t>
  </si>
  <si>
    <t>难度13</t>
  </si>
  <si>
    <t>250131;250132;250133;250134;250135</t>
  </si>
  <si>
    <t>2026-08-27 新玩家节点曲线校准；对照S116；等级138→111；保留原难度定位。</t>
  </si>
  <si>
    <t>难度14</t>
  </si>
  <si>
    <t>250141;250142;250143;250144;250145</t>
  </si>
  <si>
    <t>2026-08-27 新玩家节点曲线校准；对照S125；等级147→120；保留原难度定位。</t>
  </si>
  <si>
    <t>难度15</t>
  </si>
  <si>
    <t>250151;250152;250153;250154;250155</t>
  </si>
  <si>
    <t>2026-08-27 新玩家节点曲线校准；对照S134；等级156→129；保留原难度定位。</t>
  </si>
  <si>
    <t>难度16</t>
  </si>
  <si>
    <t>250161;250162;250163;250164;250165</t>
  </si>
  <si>
    <t>2026-08-27 新玩家节点曲线校准；对照S143；等级166→140；保留原难度定位。</t>
  </si>
  <si>
    <t>难度17</t>
  </si>
  <si>
    <t>250171;250172;250173;250174;250175</t>
  </si>
  <si>
    <t>2026-08-27 新玩家节点曲线校准；对照S153；等级175→150；保留原难度定位。</t>
  </si>
  <si>
    <t>难度18</t>
  </si>
  <si>
    <t>250181;250182;250183;250184;250185</t>
  </si>
  <si>
    <t>2026-08-27 新玩家节点曲线校准；对照S162；等级184→160；保留原难度定位。</t>
  </si>
  <si>
    <t>难度19</t>
  </si>
  <si>
    <t>250191;250192;250193;250194;250195</t>
  </si>
  <si>
    <t>2026-08-27 新玩家节点曲线校准；对照S171；等级194→172；保留原难度定位。</t>
  </si>
  <si>
    <t>难度20</t>
  </si>
  <si>
    <t>250201;250202;250203;250204;250205</t>
  </si>
  <si>
    <t>2026-08-27 新玩家节点曲线校准；对照S181；等级203→183；保留原难度定位。</t>
  </si>
  <si>
    <t>难度21</t>
  </si>
  <si>
    <t>250211;250212;250213;250214;250215</t>
  </si>
  <si>
    <t>2026-08-27 新玩家节点曲线校准；对照S190；等级212→194；保留原难度定位。</t>
  </si>
  <si>
    <t>难度22</t>
  </si>
  <si>
    <t>250221;250222;250223;250224;250225</t>
  </si>
  <si>
    <t>2026-08-27 新玩家节点曲线校准；对照S200；等级222→206；保留原难度定位。</t>
  </si>
  <si>
    <t>难度23</t>
  </si>
  <si>
    <t>250231;250232;250233;250234;250235</t>
  </si>
  <si>
    <t>2026-08-27 新玩家节点曲线校准；对照S210；等级231→218；保留原难度定位。</t>
  </si>
  <si>
    <t>难度24</t>
  </si>
  <si>
    <t>250241;250242;250243;250244;250245</t>
  </si>
  <si>
    <t>2026-08-27 新玩家节点曲线校准；对照S219；等级240→229；保留原难度定位。</t>
  </si>
  <si>
    <t>难度25</t>
  </si>
  <si>
    <t>250251;250252;250253;250254;250255</t>
  </si>
  <si>
    <t>2026-08-27 新玩家节点曲线校准；对照S229；等级249→241；保留原难度定位。</t>
  </si>
  <si>
    <t>难度26</t>
  </si>
  <si>
    <t>250261;250262;250263;250264;250265</t>
  </si>
  <si>
    <t>2026-08-27 新玩家节点曲线校准；对照S239；等级259→254；保留原难度定位。</t>
  </si>
  <si>
    <t>难度27</t>
  </si>
  <si>
    <t>250271;250272;250273;250274;250275</t>
  </si>
  <si>
    <t>2026-08-27 新玩家节点曲线校准；对照S249；等级268→266；保留原难度定位。</t>
  </si>
  <si>
    <t>难度28</t>
  </si>
  <si>
    <t>250281;250282;250283;250284;250285</t>
  </si>
  <si>
    <t>2026-08-27 新玩家节点曲线校准；对照S259；等级277→279；保留原难度定位。</t>
  </si>
  <si>
    <t>难度29</t>
  </si>
  <si>
    <t>250291;250292;250293;250294;250295</t>
  </si>
  <si>
    <t>2026-08-27 新玩家节点曲线校准；对照S269；等级287→292；保留原难度定位。</t>
  </si>
  <si>
    <t>难度30</t>
  </si>
  <si>
    <t>250301;250302;250303;250304;250305</t>
  </si>
  <si>
    <t>2026-08-27 新玩家节点曲线校准；对照S279；等级296→305；保留原难度定位。</t>
  </si>
  <si>
    <t>全玩法难度填写｜爬塔</t>
  </si>
  <si>
    <t>爬塔100层终点280级，前期降难度；等级入口为“爬塔TeamHero配置表”的“难度节点”。本页为同步结果，跨表不是实时链接。</t>
  </si>
  <si>
    <t>现行包体1</t>
  </si>
  <si>
    <t>第1层</t>
  </si>
  <si>
    <t>300001</t>
  </si>
  <si>
    <t>整队验算：S/T为五人总生命/总攻击，U为平均防御，W为逐人计算后求和EHP；倍率由爬塔专用源表执行。</t>
  </si>
  <si>
    <t>第2层</t>
  </si>
  <si>
    <t>300002</t>
  </si>
  <si>
    <t>第3层</t>
  </si>
  <si>
    <t>300003</t>
  </si>
  <si>
    <t>第4层</t>
  </si>
  <si>
    <t>300004</t>
  </si>
  <si>
    <t>第5层</t>
  </si>
  <si>
    <t>300005</t>
  </si>
  <si>
    <t>精英怪</t>
  </si>
  <si>
    <t>第6层</t>
  </si>
  <si>
    <t>300006</t>
  </si>
  <si>
    <t>第7层</t>
  </si>
  <si>
    <t>300007</t>
  </si>
  <si>
    <t>第8层</t>
  </si>
  <si>
    <t>300008</t>
  </si>
  <si>
    <t>第9层</t>
  </si>
  <si>
    <t>300009</t>
  </si>
  <si>
    <t>第10层</t>
  </si>
  <si>
    <t>300011</t>
  </si>
  <si>
    <t>第11层</t>
  </si>
  <si>
    <t>300012</t>
  </si>
  <si>
    <t>第12层</t>
  </si>
  <si>
    <t>300013</t>
  </si>
  <si>
    <t>第13层</t>
  </si>
  <si>
    <t>300014</t>
  </si>
  <si>
    <t>第14层</t>
  </si>
  <si>
    <t>300015</t>
  </si>
  <si>
    <t>第15层</t>
  </si>
  <si>
    <t>300016</t>
  </si>
  <si>
    <t>第16层</t>
  </si>
  <si>
    <t>300017</t>
  </si>
  <si>
    <t>第17层</t>
  </si>
  <si>
    <t>300018</t>
  </si>
  <si>
    <t>第18层</t>
  </si>
  <si>
    <t>300019</t>
  </si>
  <si>
    <t>第19层</t>
  </si>
  <si>
    <t>300020</t>
  </si>
  <si>
    <t>第20层</t>
  </si>
  <si>
    <t>300021</t>
  </si>
  <si>
    <t>第21层</t>
  </si>
  <si>
    <t>300022</t>
  </si>
  <si>
    <t>第22层</t>
  </si>
  <si>
    <t>300023</t>
  </si>
  <si>
    <t>第23层</t>
  </si>
  <si>
    <t>300024</t>
  </si>
  <si>
    <t>第24层</t>
  </si>
  <si>
    <t>300025</t>
  </si>
  <si>
    <t>第25层</t>
  </si>
  <si>
    <t>300026</t>
  </si>
  <si>
    <t>第26层</t>
  </si>
  <si>
    <t>300027</t>
  </si>
  <si>
    <t>第27层</t>
  </si>
  <si>
    <t>300028</t>
  </si>
  <si>
    <t>第28层</t>
  </si>
  <si>
    <t>300029</t>
  </si>
  <si>
    <t>第29层</t>
  </si>
  <si>
    <t>300030</t>
  </si>
  <si>
    <t>第30层</t>
  </si>
  <si>
    <t>300031</t>
  </si>
  <si>
    <t>第31层</t>
  </si>
  <si>
    <t>300032</t>
  </si>
  <si>
    <t>第32层</t>
  </si>
  <si>
    <t>300033</t>
  </si>
  <si>
    <t>第33层</t>
  </si>
  <si>
    <t>300034</t>
  </si>
  <si>
    <t>第34层</t>
  </si>
  <si>
    <t>300035</t>
  </si>
  <si>
    <t>第35层</t>
  </si>
  <si>
    <t>300036</t>
  </si>
  <si>
    <t>第36层</t>
  </si>
  <si>
    <t>300037</t>
  </si>
  <si>
    <t>第37层</t>
  </si>
  <si>
    <t>300038</t>
  </si>
  <si>
    <t>第38层</t>
  </si>
  <si>
    <t>300039</t>
  </si>
  <si>
    <t>第39层</t>
  </si>
  <si>
    <t>300040</t>
  </si>
  <si>
    <t>第40层</t>
  </si>
  <si>
    <t>300041</t>
  </si>
  <si>
    <t>第41层</t>
  </si>
  <si>
    <t>300042</t>
  </si>
  <si>
    <t>第42层</t>
  </si>
  <si>
    <t>300043</t>
  </si>
  <si>
    <t>第43层</t>
  </si>
  <si>
    <t>300044</t>
  </si>
  <si>
    <t>第44层</t>
  </si>
  <si>
    <t>300045</t>
  </si>
  <si>
    <t>第45层</t>
  </si>
  <si>
    <t>300046</t>
  </si>
  <si>
    <t>第46层</t>
  </si>
  <si>
    <t>300047</t>
  </si>
  <si>
    <t>第47层</t>
  </si>
  <si>
    <t>300048</t>
  </si>
  <si>
    <t>第48层</t>
  </si>
  <si>
    <t>300049</t>
  </si>
  <si>
    <t>第49层</t>
  </si>
  <si>
    <t>300050</t>
  </si>
  <si>
    <t>第50层</t>
  </si>
  <si>
    <t>300051</t>
  </si>
  <si>
    <t>第51层</t>
  </si>
  <si>
    <t>300052</t>
  </si>
  <si>
    <t>第52层</t>
  </si>
  <si>
    <t>300053</t>
  </si>
  <si>
    <t>第53层</t>
  </si>
  <si>
    <t>300054</t>
  </si>
  <si>
    <t>第54层</t>
  </si>
  <si>
    <t>300055</t>
  </si>
  <si>
    <t>第55层</t>
  </si>
  <si>
    <t>300056</t>
  </si>
  <si>
    <t>第56层</t>
  </si>
  <si>
    <t>300057</t>
  </si>
  <si>
    <t>第57层</t>
  </si>
  <si>
    <t>300058</t>
  </si>
  <si>
    <t>第58层</t>
  </si>
  <si>
    <t>300059</t>
  </si>
  <si>
    <t>第59层</t>
  </si>
  <si>
    <t>300060</t>
  </si>
  <si>
    <t>第60层</t>
  </si>
  <si>
    <t>300061</t>
  </si>
  <si>
    <t>第61层</t>
  </si>
  <si>
    <t>300062</t>
  </si>
  <si>
    <t>第62层</t>
  </si>
  <si>
    <t>300063</t>
  </si>
  <si>
    <t>第63层</t>
  </si>
  <si>
    <t>300064</t>
  </si>
  <si>
    <t>第64层</t>
  </si>
  <si>
    <t>300065</t>
  </si>
  <si>
    <t>第65层</t>
  </si>
  <si>
    <t>300066</t>
  </si>
  <si>
    <t>第66层</t>
  </si>
  <si>
    <t>300067</t>
  </si>
  <si>
    <t>第67层</t>
  </si>
  <si>
    <t>300068</t>
  </si>
  <si>
    <t>第68层</t>
  </si>
  <si>
    <t>300069</t>
  </si>
  <si>
    <t>第69层</t>
  </si>
  <si>
    <t>300070</t>
  </si>
  <si>
    <t>第70层</t>
  </si>
  <si>
    <t>300071</t>
  </si>
  <si>
    <t>第71层</t>
  </si>
  <si>
    <t>300072</t>
  </si>
  <si>
    <t>第72层</t>
  </si>
  <si>
    <t>300073</t>
  </si>
  <si>
    <t>第73层</t>
  </si>
  <si>
    <t>300074</t>
  </si>
  <si>
    <t>第74层</t>
  </si>
  <si>
    <t>300075</t>
  </si>
  <si>
    <t>第75层</t>
  </si>
  <si>
    <t>300076</t>
  </si>
  <si>
    <t>第76层</t>
  </si>
  <si>
    <t>300077</t>
  </si>
  <si>
    <t>第77层</t>
  </si>
  <si>
    <t>300078</t>
  </si>
  <si>
    <t>第78层</t>
  </si>
  <si>
    <t>300079</t>
  </si>
  <si>
    <t>第79层</t>
  </si>
  <si>
    <t>300080</t>
  </si>
  <si>
    <t>第80层</t>
  </si>
  <si>
    <t>300081</t>
  </si>
  <si>
    <t>第81层</t>
  </si>
  <si>
    <t>300082</t>
  </si>
  <si>
    <t>第82层</t>
  </si>
  <si>
    <t>300083</t>
  </si>
  <si>
    <t>第83层</t>
  </si>
  <si>
    <t>300084</t>
  </si>
  <si>
    <t>第84层</t>
  </si>
  <si>
    <t>300085</t>
  </si>
  <si>
    <t>第85层</t>
  </si>
  <si>
    <t>300086</t>
  </si>
  <si>
    <t>第86层</t>
  </si>
  <si>
    <t>300087</t>
  </si>
  <si>
    <t>第87层</t>
  </si>
  <si>
    <t>300088</t>
  </si>
  <si>
    <t>第88层</t>
  </si>
  <si>
    <t>300089</t>
  </si>
  <si>
    <t>第89层</t>
  </si>
  <si>
    <t>300090</t>
  </si>
  <si>
    <t>第90层</t>
  </si>
  <si>
    <t>300091</t>
  </si>
  <si>
    <t>第91层</t>
  </si>
  <si>
    <t>300092</t>
  </si>
  <si>
    <t>第92层</t>
  </si>
  <si>
    <t>300093</t>
  </si>
  <si>
    <t>第93层</t>
  </si>
  <si>
    <t>300094</t>
  </si>
  <si>
    <t>第94层</t>
  </si>
  <si>
    <t>300095</t>
  </si>
  <si>
    <t>第95层</t>
  </si>
  <si>
    <t>300096</t>
  </si>
  <si>
    <t>第96层</t>
  </si>
  <si>
    <t>300097</t>
  </si>
  <si>
    <t>第97层</t>
  </si>
  <si>
    <t>300098</t>
  </si>
  <si>
    <t>第98层</t>
  </si>
  <si>
    <t>300099</t>
  </si>
  <si>
    <t>第99层</t>
  </si>
  <si>
    <t>300100</t>
  </si>
  <si>
    <t>第100层</t>
  </si>
  <si>
    <t>300101</t>
  </si>
  <si>
    <t>全玩法难度填写｜Boss挑战</t>
  </si>
  <si>
    <t>7个Boss共用</t>
  </si>
  <si>
    <t>510001;520001;530001;540001;550001;560001;570001</t>
  </si>
  <si>
    <t>2026-08-27 新玩家节点曲线校准；对照S54；等级87→68；保留原难度定位。</t>
  </si>
  <si>
    <t>510002;520002;530002;540002;550002;560002;570002</t>
  </si>
  <si>
    <t>2026-08-27 新玩家节点曲线校准；对照S64；等级118→95；保留原难度定位。</t>
  </si>
  <si>
    <t>510003;520003;530003;540003;550003;560003;570003</t>
  </si>
  <si>
    <t>2026-08-27 新玩家节点曲线校准；对照S76；等级148→120；保留原难度定位。</t>
  </si>
  <si>
    <t>510004;520004;530004;540004;550004;560004;570004</t>
  </si>
  <si>
    <t>2026-08-27 新玩家节点曲线校准；对照S89；等级172→141；保留原难度定位。</t>
  </si>
  <si>
    <t>510005;520005;530005;540005;550005;560005;570005</t>
  </si>
  <si>
    <t>2026-08-27 新玩家节点曲线校准；对照S104；等级196→162；保留原难度定位。</t>
  </si>
  <si>
    <t>510006;520006;530006;540006;550006;560006;570006</t>
  </si>
  <si>
    <t>2026-08-27 新玩家节点曲线校准；对照S122；等级224→189；保留原难度定位。</t>
  </si>
  <si>
    <t>510007;520007;530007;540007;550007;560007;570007</t>
  </si>
  <si>
    <t>Boss挑战通关4-15/S54开放；7个Boss共用难度档｜修正版V4：首档Lv120送进度，前5档缓升后接回验证强度；对照S144｜V4同步最新玩家曲线：Lv317→Lv305，保留原TTK/生存压力目标｜曲线同步20260811：Lv305→Lv266，保持原玩法定位与TTK/生存压力</t>
  </si>
  <si>
    <t>510008;520008;530008;540008;550008;560008;570008</t>
  </si>
  <si>
    <t>Boss挑战通关4-15/S54开放；7个Boss共用难度档｜修正版V4：首档Lv120送进度，前5档缓升后接回验证强度；对照S172｜V4同步最新玩家曲线：Lv337→Lv326，保留原TTK/生存压力目标｜曲线同步20260811：Lv326→Lv285，保持原玩法定位与TTK/生存压力</t>
  </si>
  <si>
    <t>510009;520009;530009;540009;550009;560009;570009</t>
  </si>
  <si>
    <t>Boss挑战通关4-15/S54开放；7个Boss共用难度档｜修正版V4：首档Lv120送进度，前5档缓升后接回验证强度；对照S209｜V4同步最新玩家曲线：Lv354→Lv344，保留原TTK/生存压力目标｜曲线同步20260811：Lv344→Lv302，保持原玩法定位与TTK/生存压力</t>
  </si>
  <si>
    <t>510010;520010;530010;540010;550010;560010;570010</t>
  </si>
  <si>
    <t>Boss挑战通关4-15/S54开放；7个Boss共用难度档｜修正版V4：首档Lv120送进度，前5档缓升后接回验证强度；对照S254｜V4同步最新玩家曲线：Lv371→Lv361，保留原TTK/生存压力目标｜曲线同步20260811：Lv361→Lv318，保持原玩法定位与TTK/生存压力</t>
  </si>
  <si>
    <t>全玩法难度填写｜肉鸽</t>
  </si>
  <si>
    <t>5张场景</t>
  </si>
  <si>
    <t>肉鸽系统Lv35/S85开放；场景索引1000001｜修正版V4：前三档Lv140/210/285缓升，为开启与局内成长留容错；对照S85｜V4同步最新玩家曲线：Lv150→Lv140，保留原TTK/生存压力目标｜曲线同步20260811：Lv140→Lv118，保持原玩法定位与TTK/生存压力</t>
  </si>
  <si>
    <t>肉鸽系统Lv35/S85开放；场景索引1000002｜修正版V4：前三档Lv150/210/285缓升，为开启与局内成长留容错；对照S110｜V4同步最新玩家曲线：Lv210→Lv199，保留原TTK/生存压力目标｜曲线同步20260811：Lv199→Lv170，保持原玩法定位与TTK/生存压力</t>
  </si>
  <si>
    <t>肉鸽系统Lv35/S85开放；场景索引1000003｜修正版V4：前三档Lv150/210/285缓升，为开启与局内成长留容错；对照S145｜V4同步最新玩家曲线：Lv285→Lv274，保留原TTK/生存压力目标｜曲线同步20260811：Lv274→Lv238，保持原玩法定位与TTK/生存压力</t>
  </si>
  <si>
    <t>肉鸽系统Lv35/S85开放；场景索引1000004｜修正版V4：前三档Lv150/210/285缓升，为开启与局内成长留容错；对照S190｜V4同步最新玩家曲线：Lv340→Lv330，保留原TTK/生存压力目标｜曲线同步20260811：Lv330→Lv289，保持原玩法定位与TTK/生存压力</t>
  </si>
  <si>
    <t>肉鸽系统Lv35/S85开放；场景索引1000005｜修正版V4：前三档Lv150/210/285缓升，为开启与局内成长留容错；对照S240｜V4同步最新玩家曲线：Lv361→Lv351，保留原TTK/生存压力目标｜曲线同步20260811：Lv351→Lv309，保持原玩法定位与TTK/生存压力</t>
  </si>
  <si>
    <t>全玩法难度填写｜大秘境</t>
  </si>
  <si>
    <t>当前关闭</t>
  </si>
  <si>
    <t>4环境共用</t>
  </si>
  <si>
    <t>320001;320026;320051;320076</t>
  </si>
  <si>
    <t>2026-08-27 新玩家节点曲线校准；对照S95；等级183→143；保留原难度定位。</t>
  </si>
  <si>
    <t>320002;320027;320052;320077</t>
  </si>
  <si>
    <t>2026-08-27 新玩家节点曲线校准；对照S101；等级192→151；保留原难度定位。</t>
  </si>
  <si>
    <t>320003;320028;320053;320078</t>
  </si>
  <si>
    <t>2026-08-27 新玩家节点曲线校准；对照S107；等级201→159；保留原难度定位。</t>
  </si>
  <si>
    <t>320004;320029;320054;320079</t>
  </si>
  <si>
    <t>2026-08-27 新玩家节点曲线校准；对照S114；等级210→168；保留原难度定位。</t>
  </si>
  <si>
    <t>320005;320030;320055;320080</t>
  </si>
  <si>
    <t>2026-08-27 新玩家节点曲线校准；对照S121；等级220→178；保留原难度定位。</t>
  </si>
  <si>
    <t>320006;320031;320056;320081</t>
  </si>
  <si>
    <t>2026-08-27 新玩家节点曲线校准；对照S128；等级227→186；保留原难度定位。</t>
  </si>
  <si>
    <t>320007;320032;320057;320082</t>
  </si>
  <si>
    <t>2026-08-27 新玩家节点曲线校准；对照S135；等级234→193；保留原难度定位。</t>
  </si>
  <si>
    <t>320008;320033;320058;320083</t>
  </si>
  <si>
    <t>2026-08-27 新玩家节点曲线校准；对照S142；等级240→200；保留原难度定位。</t>
  </si>
  <si>
    <t>320009;320034;320059;320084</t>
  </si>
  <si>
    <t>2026-08-27 新玩家节点曲线校准；对照S150；等级246→208；保留原难度定位。</t>
  </si>
  <si>
    <t>320010;320035;320060;320085</t>
  </si>
  <si>
    <t>2026-08-27 新玩家节点曲线校准；对照S158；等级251→215；保留原难度定位。</t>
  </si>
  <si>
    <t>320011;320036;320061;320086</t>
  </si>
  <si>
    <t>2026-08-27 新玩家节点曲线校准；对照S165；等级256→221；保留原难度定位。</t>
  </si>
  <si>
    <t>320012;320037;320062;320087</t>
  </si>
  <si>
    <t>2026-08-27 新玩家节点曲线校准；对照S173；等级260→227；保留原难度定位。</t>
  </si>
  <si>
    <t>320013;320038;320063;320088</t>
  </si>
  <si>
    <t>2026-08-27 新玩家节点曲线校准；对照S181；等级264→233；保留原难度定位。</t>
  </si>
  <si>
    <t>320014;320039;320064;320089</t>
  </si>
  <si>
    <t>2026-08-27 新玩家节点曲线校准；对照S189；等级268→239；保留原难度定位。</t>
  </si>
  <si>
    <t>320015;320040;320065;320090</t>
  </si>
  <si>
    <t>2026-08-27 新玩家节点曲线校准；对照S197；等级271→245；保留原难度定位。</t>
  </si>
  <si>
    <t>320016;320041;320066;320091</t>
  </si>
  <si>
    <t>2026-08-27 新玩家节点曲线校准；对照S205；等级274→250；保留原难度定位。</t>
  </si>
  <si>
    <t>320017;320042;320067;320092</t>
  </si>
  <si>
    <t>2026-08-27 新玩家节点曲线校准；对照S213；等级278→257；保留原难度定位。</t>
  </si>
  <si>
    <t>320018;320043;320068;320093</t>
  </si>
  <si>
    <t>2026-08-27 新玩家节点曲线校准；对照S221；等级281→262；保留原难度定位。</t>
  </si>
  <si>
    <t>320019;320044;320069;320094</t>
  </si>
  <si>
    <t>2026-08-27 新玩家节点曲线校准；对照S229；等级284→268；保留原难度定位。</t>
  </si>
  <si>
    <t>320020;320045;320070;320095</t>
  </si>
  <si>
    <t>2026-08-27 新玩家节点曲线校准；对照S237；等级287→273；保留原难度定位。</t>
  </si>
  <si>
    <t>320021;320046;320071;320096</t>
  </si>
  <si>
    <t>2026-08-27 新玩家节点曲线校准；对照S246；等级289→278；保留原难度定位。</t>
  </si>
  <si>
    <t>320022;320047;320072;320097</t>
  </si>
  <si>
    <t>2026-08-27 新玩家节点曲线校准；对照S254；等级292→284；保留原难度定位。</t>
  </si>
  <si>
    <t>320023;320048;320073;320098</t>
  </si>
  <si>
    <t>2026-08-27 新玩家节点曲线校准；对照S262；等级296→291；保留原难度定位。</t>
  </si>
  <si>
    <t>320024;320049;320074;320099</t>
  </si>
  <si>
    <t>2026-08-27 新玩家节点曲线校准；对照S271；等级299→297；保留原难度定位。</t>
  </si>
  <si>
    <t>320025;320050;320075;320100</t>
  </si>
  <si>
    <t>2026-08-27 新玩家节点曲线校准；对照S279；等级301→302；保留原难度定位。</t>
  </si>
  <si>
    <t>全玩法难度填写｜PVPVE</t>
  </si>
  <si>
    <t>当前页只维护【PVPVE】。默认只填黄色J列怪物等级；浅蓝输入区可选覆盖，点击标题返回玩法汇总。</t>
  </si>
  <si>
    <t>特殊：双方属性对算</t>
  </si>
  <si>
    <t>属性对算</t>
  </si>
  <si>
    <t>竞技场场景1</t>
  </si>
  <si>
    <t>700000</t>
  </si>
  <si>
    <t>不适用</t>
  </si>
  <si>
    <t>不使用怪物等级；按双方属性生成对抗参数</t>
  </si>
  <si>
    <t>竞技场场景2</t>
  </si>
  <si>
    <t>700001</t>
  </si>
  <si>
    <t>关卡序号</t>
  </si>
  <si>
    <t>玩家等级</t>
  </si>
  <si>
    <t>章节</t>
  </si>
  <si>
    <t>章内关卡</t>
  </si>
  <si>
    <t>上阵人数</t>
  </si>
  <si>
    <t>最终攻击</t>
  </si>
  <si>
    <t>最终防御</t>
  </si>
  <si>
    <t>Boss目标TTK</t>
  </si>
  <si>
    <t>等价怪物等级</t>
  </si>
  <si>
    <t>索引键</t>
  </si>
  <si>
    <t>基础生命</t>
  </si>
  <si>
    <t>基础攻击</t>
  </si>
  <si>
    <t>基础防御</t>
  </si>
  <si>
    <t>1|普通怪</t>
  </si>
  <si>
    <t>1|盾怪</t>
  </si>
  <si>
    <t>盾怪</t>
  </si>
  <si>
    <t>1|二级普通怪</t>
  </si>
  <si>
    <t>二级普通怪</t>
  </si>
  <si>
    <t>1|站桩怪</t>
  </si>
  <si>
    <t>站桩怪</t>
  </si>
  <si>
    <t>1|炮灰怪</t>
  </si>
  <si>
    <t>炮灰怪</t>
  </si>
  <si>
    <t>1|精英怪</t>
  </si>
  <si>
    <t>1|精英盾怪</t>
  </si>
  <si>
    <t>精英盾怪</t>
  </si>
  <si>
    <t>1|Boss</t>
  </si>
  <si>
    <t>1|装备副本Boss</t>
  </si>
  <si>
    <t>2|普通怪</t>
  </si>
  <si>
    <t>2|盾怪</t>
  </si>
  <si>
    <t>2|二级普通怪</t>
  </si>
  <si>
    <t>2|站桩怪</t>
  </si>
  <si>
    <t>2|炮灰怪</t>
  </si>
  <si>
    <t>2|精英怪</t>
  </si>
  <si>
    <t>2|精英盾怪</t>
  </si>
  <si>
    <t>2|Boss</t>
  </si>
  <si>
    <t>2|装备副本Boss</t>
  </si>
  <si>
    <t>3|普通怪</t>
  </si>
  <si>
    <t>3|盾怪</t>
  </si>
  <si>
    <t>3|二级普通怪</t>
  </si>
  <si>
    <t>3|站桩怪</t>
  </si>
  <si>
    <t>3|炮灰怪</t>
  </si>
  <si>
    <t>3|精英怪</t>
  </si>
  <si>
    <t>3|精英盾怪</t>
  </si>
  <si>
    <t>3|Boss</t>
  </si>
  <si>
    <t>3|装备副本Boss</t>
  </si>
  <si>
    <t>4|普通怪</t>
  </si>
  <si>
    <t>4|盾怪</t>
  </si>
  <si>
    <t>4|二级普通怪</t>
  </si>
  <si>
    <t>4|站桩怪</t>
  </si>
  <si>
    <t>4|炮灰怪</t>
  </si>
  <si>
    <t>4|精英怪</t>
  </si>
  <si>
    <t>4|精英盾怪</t>
  </si>
  <si>
    <t>4|Boss</t>
  </si>
  <si>
    <t>4|装备副本Boss</t>
  </si>
  <si>
    <t>5|普通怪</t>
  </si>
  <si>
    <t>5|盾怪</t>
  </si>
  <si>
    <t>5|二级普通怪</t>
  </si>
  <si>
    <t>5|站桩怪</t>
  </si>
  <si>
    <t>5|炮灰怪</t>
  </si>
  <si>
    <t>5|精英怪</t>
  </si>
  <si>
    <t>5|精英盾怪</t>
  </si>
  <si>
    <t>5|Boss</t>
  </si>
  <si>
    <t>5|装备副本Boss</t>
  </si>
  <si>
    <t>6|普通怪</t>
  </si>
  <si>
    <t>6|盾怪</t>
  </si>
  <si>
    <t>6|二级普通怪</t>
  </si>
  <si>
    <t>6|站桩怪</t>
  </si>
  <si>
    <t>6|炮灰怪</t>
  </si>
  <si>
    <t>6|精英怪</t>
  </si>
  <si>
    <t>6|精英盾怪</t>
  </si>
  <si>
    <t>6|Boss</t>
  </si>
  <si>
    <t>6|装备副本Boss</t>
  </si>
  <si>
    <t>7|普通怪</t>
  </si>
  <si>
    <t>7|盾怪</t>
  </si>
  <si>
    <t>7|二级普通怪</t>
  </si>
  <si>
    <t>7|站桩怪</t>
  </si>
  <si>
    <t>7|炮灰怪</t>
  </si>
  <si>
    <t>7|精英怪</t>
  </si>
  <si>
    <t>7|精英盾怪</t>
  </si>
  <si>
    <t>7|Boss</t>
  </si>
  <si>
    <t>7|装备副本Boss</t>
  </si>
  <si>
    <t>8|普通怪</t>
  </si>
  <si>
    <t>8|盾怪</t>
  </si>
  <si>
    <t>8|二级普通怪</t>
  </si>
  <si>
    <t>8|站桩怪</t>
  </si>
  <si>
    <t>8|炮灰怪</t>
  </si>
  <si>
    <t>8|精英怪</t>
  </si>
  <si>
    <t>8|精英盾怪</t>
  </si>
  <si>
    <t>8|Boss</t>
  </si>
  <si>
    <t>8|装备副本Boss</t>
  </si>
  <si>
    <t>9|普通怪</t>
  </si>
  <si>
    <t>9|盾怪</t>
  </si>
  <si>
    <t>9|二级普通怪</t>
  </si>
  <si>
    <t>9|站桩怪</t>
  </si>
  <si>
    <t>9|炮灰怪</t>
  </si>
  <si>
    <t>9|精英怪</t>
  </si>
  <si>
    <t>9|精英盾怪</t>
  </si>
  <si>
    <t>9|Boss</t>
  </si>
  <si>
    <t>9|装备副本Boss</t>
  </si>
  <si>
    <t>10|普通怪</t>
  </si>
  <si>
    <t>10|盾怪</t>
  </si>
  <si>
    <t>10|二级普通怪</t>
  </si>
  <si>
    <t>10|站桩怪</t>
  </si>
  <si>
    <t>10|炮灰怪</t>
  </si>
  <si>
    <t>10|精英怪</t>
  </si>
  <si>
    <t>10|精英盾怪</t>
  </si>
  <si>
    <t>10|Boss</t>
  </si>
  <si>
    <t>10|装备副本Boss</t>
  </si>
  <si>
    <t>11|普通怪</t>
  </si>
  <si>
    <t>11|盾怪</t>
  </si>
  <si>
    <t>11|二级普通怪</t>
  </si>
  <si>
    <t>11|站桩怪</t>
  </si>
  <si>
    <t>11|炮灰怪</t>
  </si>
  <si>
    <t>11|精英怪</t>
  </si>
  <si>
    <t>11|精英盾怪</t>
  </si>
  <si>
    <t>11|Boss</t>
  </si>
  <si>
    <t>11|装备副本Boss</t>
  </si>
  <si>
    <t>12|普通怪</t>
  </si>
  <si>
    <t>12|盾怪</t>
  </si>
  <si>
    <t>12|二级普通怪</t>
  </si>
  <si>
    <t>12|站桩怪</t>
  </si>
  <si>
    <t>12|炮灰怪</t>
  </si>
  <si>
    <t>12|精英怪</t>
  </si>
  <si>
    <t>12|精英盾怪</t>
  </si>
  <si>
    <t>12|Boss</t>
  </si>
  <si>
    <t>12|装备副本Boss</t>
  </si>
  <si>
    <t>13|普通怪</t>
  </si>
  <si>
    <t>13|盾怪</t>
  </si>
  <si>
    <t>13|二级普通怪</t>
  </si>
  <si>
    <t>13|站桩怪</t>
  </si>
  <si>
    <t>13|炮灰怪</t>
  </si>
  <si>
    <t>13|精英怪</t>
  </si>
  <si>
    <t>13|精英盾怪</t>
  </si>
  <si>
    <t>13|Boss</t>
  </si>
  <si>
    <t>13|装备副本Boss</t>
  </si>
  <si>
    <t>14|普通怪</t>
  </si>
  <si>
    <t>14|盾怪</t>
  </si>
  <si>
    <t>14|二级普通怪</t>
  </si>
  <si>
    <t>14|站桩怪</t>
  </si>
  <si>
    <t>14|炮灰怪</t>
  </si>
  <si>
    <t>14|精英怪</t>
  </si>
  <si>
    <t>14|精英盾怪</t>
  </si>
  <si>
    <t>14|Boss</t>
  </si>
  <si>
    <t>14|装备副本Boss</t>
  </si>
  <si>
    <t>15|普通怪</t>
  </si>
  <si>
    <t>15|盾怪</t>
  </si>
  <si>
    <t>15|二级普通怪</t>
  </si>
  <si>
    <t>15|站桩怪</t>
  </si>
  <si>
    <t>15|炮灰怪</t>
  </si>
  <si>
    <t>15|精英怪</t>
  </si>
  <si>
    <t>15|精英盾怪</t>
  </si>
  <si>
    <t>15|Boss</t>
  </si>
  <si>
    <t>15|装备副本Boss</t>
  </si>
  <si>
    <t>16|普通怪</t>
  </si>
  <si>
    <t>16|盾怪</t>
  </si>
  <si>
    <t>16|二级普通怪</t>
  </si>
  <si>
    <t>16|站桩怪</t>
  </si>
  <si>
    <t>16|炮灰怪</t>
  </si>
  <si>
    <t>16|精英怪</t>
  </si>
  <si>
    <t>16|精英盾怪</t>
  </si>
  <si>
    <t>16|Boss</t>
  </si>
  <si>
    <t>16|装备副本Boss</t>
  </si>
  <si>
    <t>17|普通怪</t>
  </si>
  <si>
    <t>17|盾怪</t>
  </si>
  <si>
    <t>17|二级普通怪</t>
  </si>
  <si>
    <t>17|站桩怪</t>
  </si>
  <si>
    <t>17|炮灰怪</t>
  </si>
  <si>
    <t>17|精英怪</t>
  </si>
  <si>
    <t>17|精英盾怪</t>
  </si>
  <si>
    <t>17|Boss</t>
  </si>
  <si>
    <t>17|装备副本Boss</t>
  </si>
  <si>
    <t>18|普通怪</t>
  </si>
  <si>
    <t>18|盾怪</t>
  </si>
  <si>
    <t>18|二级普通怪</t>
  </si>
  <si>
    <t>18|站桩怪</t>
  </si>
  <si>
    <t>18|炮灰怪</t>
  </si>
  <si>
    <t>18|精英怪</t>
  </si>
  <si>
    <t>18|精英盾怪</t>
  </si>
  <si>
    <t>18|Boss</t>
  </si>
  <si>
    <t>18|装备副本Boss</t>
  </si>
  <si>
    <t>19|普通怪</t>
  </si>
  <si>
    <t>19|盾怪</t>
  </si>
  <si>
    <t>19|二级普通怪</t>
  </si>
  <si>
    <t>19|站桩怪</t>
  </si>
  <si>
    <t>19|炮灰怪</t>
  </si>
  <si>
    <t>19|精英怪</t>
  </si>
  <si>
    <t>19|精英盾怪</t>
  </si>
  <si>
    <t>19|Boss</t>
  </si>
  <si>
    <t>19|装备副本Boss</t>
  </si>
  <si>
    <t>20|普通怪</t>
  </si>
  <si>
    <t>20|盾怪</t>
  </si>
  <si>
    <t>20|二级普通怪</t>
  </si>
  <si>
    <t>20|站桩怪</t>
  </si>
  <si>
    <t>20|炮灰怪</t>
  </si>
  <si>
    <t>20|精英怪</t>
  </si>
  <si>
    <t>20|精英盾怪</t>
  </si>
  <si>
    <t>20|Boss</t>
  </si>
  <si>
    <t>20|装备副本Boss</t>
  </si>
  <si>
    <t>21|普通怪</t>
  </si>
  <si>
    <t>21|盾怪</t>
  </si>
  <si>
    <t>21|二级普通怪</t>
  </si>
  <si>
    <t>21|站桩怪</t>
  </si>
  <si>
    <t>21|炮灰怪</t>
  </si>
  <si>
    <t>21|精英怪</t>
  </si>
  <si>
    <t>21|精英盾怪</t>
  </si>
  <si>
    <t>21|Boss</t>
  </si>
  <si>
    <t>21|装备副本Boss</t>
  </si>
  <si>
    <t>22|普通怪</t>
  </si>
  <si>
    <t>22|盾怪</t>
  </si>
  <si>
    <t>22|二级普通怪</t>
  </si>
  <si>
    <t>22|站桩怪</t>
  </si>
  <si>
    <t>22|炮灰怪</t>
  </si>
  <si>
    <t>22|精英怪</t>
  </si>
  <si>
    <t>22|精英盾怪</t>
  </si>
  <si>
    <t>22|Boss</t>
  </si>
  <si>
    <t>22|装备副本Boss</t>
  </si>
  <si>
    <t>23|普通怪</t>
  </si>
  <si>
    <t>23|盾怪</t>
  </si>
  <si>
    <t>23|二级普通怪</t>
  </si>
  <si>
    <t>23|站桩怪</t>
  </si>
  <si>
    <t>23|炮灰怪</t>
  </si>
  <si>
    <t>23|精英怪</t>
  </si>
  <si>
    <t>23|精英盾怪</t>
  </si>
  <si>
    <t>23|Boss</t>
  </si>
  <si>
    <t>23|装备副本Boss</t>
  </si>
  <si>
    <t>24|普通怪</t>
  </si>
  <si>
    <t>24|盾怪</t>
  </si>
  <si>
    <t>24|二级普通怪</t>
  </si>
  <si>
    <t>24|站桩怪</t>
  </si>
  <si>
    <t>24|炮灰怪</t>
  </si>
  <si>
    <t>24|精英怪</t>
  </si>
  <si>
    <t>24|精英盾怪</t>
  </si>
  <si>
    <t>24|Boss</t>
  </si>
  <si>
    <t>24|装备副本Boss</t>
  </si>
  <si>
    <t>25|普通怪</t>
  </si>
  <si>
    <t>25|盾怪</t>
  </si>
  <si>
    <t>25|二级普通怪</t>
  </si>
  <si>
    <t>25|站桩怪</t>
  </si>
  <si>
    <t>25|炮灰怪</t>
  </si>
  <si>
    <t>25|精英怪</t>
  </si>
  <si>
    <t>25|精英盾怪</t>
  </si>
  <si>
    <t>25|Boss</t>
  </si>
  <si>
    <t>25|装备副本Boss</t>
  </si>
  <si>
    <t>26|普通怪</t>
  </si>
  <si>
    <t>26|盾怪</t>
  </si>
  <si>
    <t>26|二级普通怪</t>
  </si>
  <si>
    <t>26|站桩怪</t>
  </si>
  <si>
    <t>26|炮灰怪</t>
  </si>
  <si>
    <t>26|精英怪</t>
  </si>
  <si>
    <t>26|精英盾怪</t>
  </si>
  <si>
    <t>26|Boss</t>
  </si>
  <si>
    <t>26|装备副本Boss</t>
  </si>
  <si>
    <t>27|普通怪</t>
  </si>
  <si>
    <t>27|盾怪</t>
  </si>
  <si>
    <t>27|二级普通怪</t>
  </si>
  <si>
    <t>27|站桩怪</t>
  </si>
  <si>
    <t>27|炮灰怪</t>
  </si>
  <si>
    <t>27|精英怪</t>
  </si>
  <si>
    <t>27|精英盾怪</t>
  </si>
  <si>
    <t>27|Boss</t>
  </si>
  <si>
    <t>27|装备副本Boss</t>
  </si>
  <si>
    <t>28|普通怪</t>
  </si>
  <si>
    <t>28|盾怪</t>
  </si>
  <si>
    <t>28|二级普通怪</t>
  </si>
  <si>
    <t>28|站桩怪</t>
  </si>
  <si>
    <t>28|炮灰怪</t>
  </si>
  <si>
    <t>28|精英怪</t>
  </si>
  <si>
    <t>28|精英盾怪</t>
  </si>
  <si>
    <t>28|Boss</t>
  </si>
  <si>
    <t>28|装备副本Boss</t>
  </si>
  <si>
    <t>29|普通怪</t>
  </si>
  <si>
    <t>29|盾怪</t>
  </si>
  <si>
    <t>29|二级普通怪</t>
  </si>
  <si>
    <t>29|站桩怪</t>
  </si>
  <si>
    <t>29|炮灰怪</t>
  </si>
  <si>
    <t>29|精英怪</t>
  </si>
  <si>
    <t>29|精英盾怪</t>
  </si>
  <si>
    <t>29|Boss</t>
  </si>
  <si>
    <t>29|装备副本Boss</t>
  </si>
  <si>
    <t>30|普通怪</t>
  </si>
  <si>
    <t>30|盾怪</t>
  </si>
  <si>
    <t>30|二级普通怪</t>
  </si>
  <si>
    <t>30|站桩怪</t>
  </si>
  <si>
    <t>30|炮灰怪</t>
  </si>
  <si>
    <t>30|精英怪</t>
  </si>
  <si>
    <t>30|精英盾怪</t>
  </si>
  <si>
    <t>30|Boss</t>
  </si>
  <si>
    <t>30|装备副本Boss</t>
  </si>
  <si>
    <t>31|普通怪</t>
  </si>
  <si>
    <t>31|盾怪</t>
  </si>
  <si>
    <t>31|二级普通怪</t>
  </si>
  <si>
    <t>31|站桩怪</t>
  </si>
  <si>
    <t>31|炮灰怪</t>
  </si>
  <si>
    <t>31|精英怪</t>
  </si>
  <si>
    <t>31|精英盾怪</t>
  </si>
  <si>
    <t>31|Boss</t>
  </si>
  <si>
    <t>31|装备副本Boss</t>
  </si>
  <si>
    <t>32|普通怪</t>
  </si>
  <si>
    <t>32|盾怪</t>
  </si>
  <si>
    <t>32|二级普通怪</t>
  </si>
  <si>
    <t>32|站桩怪</t>
  </si>
  <si>
    <t>32|炮灰怪</t>
  </si>
  <si>
    <t>32|精英怪</t>
  </si>
  <si>
    <t>32|精英盾怪</t>
  </si>
  <si>
    <t>32|Boss</t>
  </si>
  <si>
    <t>32|装备副本Boss</t>
  </si>
  <si>
    <t>33|普通怪</t>
  </si>
  <si>
    <t>33|盾怪</t>
  </si>
  <si>
    <t>33|二级普通怪</t>
  </si>
  <si>
    <t>33|站桩怪</t>
  </si>
  <si>
    <t>33|炮灰怪</t>
  </si>
  <si>
    <t>33|精英怪</t>
  </si>
  <si>
    <t>33|精英盾怪</t>
  </si>
  <si>
    <t>33|Boss</t>
  </si>
  <si>
    <t>33|装备副本Boss</t>
  </si>
  <si>
    <t>34|普通怪</t>
  </si>
  <si>
    <t>34|盾怪</t>
  </si>
  <si>
    <t>34|二级普通怪</t>
  </si>
  <si>
    <t>34|站桩怪</t>
  </si>
  <si>
    <t>34|炮灰怪</t>
  </si>
  <si>
    <t>34|精英怪</t>
  </si>
  <si>
    <t>34|精英盾怪</t>
  </si>
  <si>
    <t>34|Boss</t>
  </si>
  <si>
    <t>34|装备副本Boss</t>
  </si>
  <si>
    <t>35|普通怪</t>
  </si>
  <si>
    <t>35|盾怪</t>
  </si>
  <si>
    <t>35|二级普通怪</t>
  </si>
  <si>
    <t>35|站桩怪</t>
  </si>
  <si>
    <t>35|炮灰怪</t>
  </si>
  <si>
    <t>35|精英怪</t>
  </si>
  <si>
    <t>35|精英盾怪</t>
  </si>
  <si>
    <t>35|Boss</t>
  </si>
  <si>
    <t>35|装备副本Boss</t>
  </si>
  <si>
    <t>36|普通怪</t>
  </si>
  <si>
    <t>36|盾怪</t>
  </si>
  <si>
    <t>36|二级普通怪</t>
  </si>
  <si>
    <t>36|站桩怪</t>
  </si>
  <si>
    <t>36|炮灰怪</t>
  </si>
  <si>
    <t>36|精英怪</t>
  </si>
  <si>
    <t>36|精英盾怪</t>
  </si>
  <si>
    <t>36|Boss</t>
  </si>
  <si>
    <t>36|装备副本Boss</t>
  </si>
  <si>
    <t>37|普通怪</t>
  </si>
  <si>
    <t>37|盾怪</t>
  </si>
  <si>
    <t>37|二级普通怪</t>
  </si>
  <si>
    <t>37|站桩怪</t>
  </si>
  <si>
    <t>37|炮灰怪</t>
  </si>
  <si>
    <t>37|精英怪</t>
  </si>
  <si>
    <t>37|精英盾怪</t>
  </si>
  <si>
    <t>37|Boss</t>
  </si>
  <si>
    <t>37|装备副本Boss</t>
  </si>
  <si>
    <t>38|普通怪</t>
  </si>
  <si>
    <t>38|盾怪</t>
  </si>
  <si>
    <t>38|二级普通怪</t>
  </si>
  <si>
    <t>38|站桩怪</t>
  </si>
  <si>
    <t>38|炮灰怪</t>
  </si>
  <si>
    <t>38|精英怪</t>
  </si>
  <si>
    <t>38|精英盾怪</t>
  </si>
  <si>
    <t>38|Boss</t>
  </si>
  <si>
    <t>38|装备副本Boss</t>
  </si>
  <si>
    <t>39|普通怪</t>
  </si>
  <si>
    <t>39|盾怪</t>
  </si>
  <si>
    <t>39|二级普通怪</t>
  </si>
  <si>
    <t>39|站桩怪</t>
  </si>
  <si>
    <t>39|炮灰怪</t>
  </si>
  <si>
    <t>39|精英怪</t>
  </si>
  <si>
    <t>39|精英盾怪</t>
  </si>
  <si>
    <t>39|Boss</t>
  </si>
  <si>
    <t>39|装备副本Boss</t>
  </si>
  <si>
    <t>40|普通怪</t>
  </si>
  <si>
    <t>40|盾怪</t>
  </si>
  <si>
    <t>40|二级普通怪</t>
  </si>
  <si>
    <t>40|站桩怪</t>
  </si>
  <si>
    <t>40|炮灰怪</t>
  </si>
  <si>
    <t>40|精英怪</t>
  </si>
  <si>
    <t>40|精英盾怪</t>
  </si>
  <si>
    <t>40|Boss</t>
  </si>
  <si>
    <t>40|装备副本Boss</t>
  </si>
  <si>
    <t>41|普通怪</t>
  </si>
  <si>
    <t>41|盾怪</t>
  </si>
  <si>
    <t>41|二级普通怪</t>
  </si>
  <si>
    <t>41|站桩怪</t>
  </si>
  <si>
    <t>41|炮灰怪</t>
  </si>
  <si>
    <t>41|精英怪</t>
  </si>
  <si>
    <t>41|精英盾怪</t>
  </si>
  <si>
    <t>41|Boss</t>
  </si>
  <si>
    <t>41|装备副本Boss</t>
  </si>
  <si>
    <t>42|普通怪</t>
  </si>
  <si>
    <t>42|盾怪</t>
  </si>
  <si>
    <t>42|二级普通怪</t>
  </si>
  <si>
    <t>42|站桩怪</t>
  </si>
  <si>
    <t>42|炮灰怪</t>
  </si>
  <si>
    <t>42|精英怪</t>
  </si>
  <si>
    <t>42|精英盾怪</t>
  </si>
  <si>
    <t>42|Boss</t>
  </si>
  <si>
    <t>42|装备副本Boss</t>
  </si>
  <si>
    <t>43|普通怪</t>
  </si>
  <si>
    <t>43|盾怪</t>
  </si>
  <si>
    <t>43|二级普通怪</t>
  </si>
  <si>
    <t>43|站桩怪</t>
  </si>
  <si>
    <t>43|炮灰怪</t>
  </si>
  <si>
    <t>43|精英怪</t>
  </si>
  <si>
    <t>43|精英盾怪</t>
  </si>
  <si>
    <t>43|Boss</t>
  </si>
  <si>
    <t>43|装备副本Boss</t>
  </si>
  <si>
    <t>44|普通怪</t>
  </si>
  <si>
    <t>44|盾怪</t>
  </si>
  <si>
    <t>44|二级普通怪</t>
  </si>
  <si>
    <t>44|站桩怪</t>
  </si>
  <si>
    <t>44|炮灰怪</t>
  </si>
  <si>
    <t>44|精英怪</t>
  </si>
  <si>
    <t>44|精英盾怪</t>
  </si>
  <si>
    <t>44|Boss</t>
  </si>
  <si>
    <t>44|装备副本Boss</t>
  </si>
  <si>
    <t>45|普通怪</t>
  </si>
  <si>
    <t>45|盾怪</t>
  </si>
  <si>
    <t>45|二级普通怪</t>
  </si>
  <si>
    <t>45|站桩怪</t>
  </si>
  <si>
    <t>45|炮灰怪</t>
  </si>
  <si>
    <t>45|精英怪</t>
  </si>
  <si>
    <t>45|精英盾怪</t>
  </si>
  <si>
    <t>45|Boss</t>
  </si>
  <si>
    <t>45|装备副本Boss</t>
  </si>
  <si>
    <t>46|普通怪</t>
  </si>
  <si>
    <t>46|盾怪</t>
  </si>
  <si>
    <t>46|二级普通怪</t>
  </si>
  <si>
    <t>46|站桩怪</t>
  </si>
  <si>
    <t>46|炮灰怪</t>
  </si>
  <si>
    <t>46|精英怪</t>
  </si>
  <si>
    <t>46|精英盾怪</t>
  </si>
  <si>
    <t>46|Boss</t>
  </si>
  <si>
    <t>46|装备副本Boss</t>
  </si>
  <si>
    <t>47|普通怪</t>
  </si>
  <si>
    <t>47|盾怪</t>
  </si>
  <si>
    <t>47|二级普通怪</t>
  </si>
  <si>
    <t>47|站桩怪</t>
  </si>
  <si>
    <t>47|炮灰怪</t>
  </si>
  <si>
    <t>47|精英怪</t>
  </si>
  <si>
    <t>47|精英盾怪</t>
  </si>
  <si>
    <t>47|Boss</t>
  </si>
  <si>
    <t>47|装备副本Boss</t>
  </si>
  <si>
    <t>48|普通怪</t>
  </si>
  <si>
    <t>48|盾怪</t>
  </si>
  <si>
    <t>48|二级普通怪</t>
  </si>
  <si>
    <t>48|站桩怪</t>
  </si>
  <si>
    <t>48|炮灰怪</t>
  </si>
  <si>
    <t>48|精英怪</t>
  </si>
  <si>
    <t>48|精英盾怪</t>
  </si>
  <si>
    <t>48|Boss</t>
  </si>
  <si>
    <t>48|装备副本Boss</t>
  </si>
  <si>
    <t>49|普通怪</t>
  </si>
  <si>
    <t>49|盾怪</t>
  </si>
  <si>
    <t>49|二级普通怪</t>
  </si>
  <si>
    <t>49|站桩怪</t>
  </si>
  <si>
    <t>49|炮灰怪</t>
  </si>
  <si>
    <t>49|精英怪</t>
  </si>
  <si>
    <t>49|精英盾怪</t>
  </si>
  <si>
    <t>49|Boss</t>
  </si>
  <si>
    <t>49|装备副本Boss</t>
  </si>
  <si>
    <t>50|普通怪</t>
  </si>
  <si>
    <t>50|盾怪</t>
  </si>
  <si>
    <t>50|二级普通怪</t>
  </si>
  <si>
    <t>50|站桩怪</t>
  </si>
  <si>
    <t>50|炮灰怪</t>
  </si>
  <si>
    <t>50|精英怪</t>
  </si>
  <si>
    <t>50|精英盾怪</t>
  </si>
  <si>
    <t>50|Boss</t>
  </si>
  <si>
    <t>50|装备副本Boss</t>
  </si>
  <si>
    <t>51|普通怪</t>
  </si>
  <si>
    <t>51|盾怪</t>
  </si>
  <si>
    <t>51|二级普通怪</t>
  </si>
  <si>
    <t>51|站桩怪</t>
  </si>
  <si>
    <t>51|炮灰怪</t>
  </si>
  <si>
    <t>51|精英怪</t>
  </si>
  <si>
    <t>51|精英盾怪</t>
  </si>
  <si>
    <t>51|Boss</t>
  </si>
  <si>
    <t>51|装备副本Boss</t>
  </si>
  <si>
    <t>52|普通怪</t>
  </si>
  <si>
    <t>52|盾怪</t>
  </si>
  <si>
    <t>52|二级普通怪</t>
  </si>
  <si>
    <t>52|站桩怪</t>
  </si>
  <si>
    <t>52|炮灰怪</t>
  </si>
  <si>
    <t>52|精英怪</t>
  </si>
  <si>
    <t>52|精英盾怪</t>
  </si>
  <si>
    <t>52|Boss</t>
  </si>
  <si>
    <t>52|装备副本Boss</t>
  </si>
  <si>
    <t>53|普通怪</t>
  </si>
  <si>
    <t>53|盾怪</t>
  </si>
  <si>
    <t>53|二级普通怪</t>
  </si>
  <si>
    <t>53|站桩怪</t>
  </si>
  <si>
    <t>53|炮灰怪</t>
  </si>
  <si>
    <t>53|精英怪</t>
  </si>
  <si>
    <t>53|精英盾怪</t>
  </si>
  <si>
    <t>53|Boss</t>
  </si>
  <si>
    <t>53|装备副本Boss</t>
  </si>
  <si>
    <t>54|普通怪</t>
  </si>
  <si>
    <t>54|盾怪</t>
  </si>
  <si>
    <t>54|二级普通怪</t>
  </si>
  <si>
    <t>54|站桩怪</t>
  </si>
  <si>
    <t>54|炮灰怪</t>
  </si>
  <si>
    <t>54|精英怪</t>
  </si>
  <si>
    <t>54|精英盾怪</t>
  </si>
  <si>
    <t>54|Boss</t>
  </si>
  <si>
    <t>54|装备副本Boss</t>
  </si>
  <si>
    <t>55|普通怪</t>
  </si>
  <si>
    <t>55|盾怪</t>
  </si>
  <si>
    <t>55|二级普通怪</t>
  </si>
  <si>
    <t>55|站桩怪</t>
  </si>
  <si>
    <t>55|炮灰怪</t>
  </si>
  <si>
    <t>55|精英怪</t>
  </si>
  <si>
    <t>55|精英盾怪</t>
  </si>
  <si>
    <t>55|Boss</t>
  </si>
  <si>
    <t>55|装备副本Boss</t>
  </si>
  <si>
    <t>56|普通怪</t>
  </si>
  <si>
    <t>56|盾怪</t>
  </si>
  <si>
    <t>56|二级普通怪</t>
  </si>
  <si>
    <t>56|站桩怪</t>
  </si>
  <si>
    <t>56|炮灰怪</t>
  </si>
  <si>
    <t>56|精英怪</t>
  </si>
  <si>
    <t>56|精英盾怪</t>
  </si>
  <si>
    <t>56|Boss</t>
  </si>
  <si>
    <t>56|装备副本Boss</t>
  </si>
  <si>
    <t>57|普通怪</t>
  </si>
  <si>
    <t>57|盾怪</t>
  </si>
  <si>
    <t>57|二级普通怪</t>
  </si>
  <si>
    <t>57|站桩怪</t>
  </si>
  <si>
    <t>57|炮灰怪</t>
  </si>
  <si>
    <t>57|精英怪</t>
  </si>
  <si>
    <t>57|精英盾怪</t>
  </si>
  <si>
    <t>57|Boss</t>
  </si>
  <si>
    <t>57|装备副本Boss</t>
  </si>
  <si>
    <t>58|普通怪</t>
  </si>
  <si>
    <t>58|盾怪</t>
  </si>
  <si>
    <t>58|二级普通怪</t>
  </si>
  <si>
    <t>58|站桩怪</t>
  </si>
  <si>
    <t>58|炮灰怪</t>
  </si>
  <si>
    <t>58|精英怪</t>
  </si>
  <si>
    <t>58|精英盾怪</t>
  </si>
  <si>
    <t>58|Boss</t>
  </si>
  <si>
    <t>58|装备副本Boss</t>
  </si>
  <si>
    <t>59|普通怪</t>
  </si>
  <si>
    <t>59|盾怪</t>
  </si>
  <si>
    <t>59|二级普通怪</t>
  </si>
  <si>
    <t>59|站桩怪</t>
  </si>
  <si>
    <t>59|炮灰怪</t>
  </si>
  <si>
    <t>59|精英怪</t>
  </si>
  <si>
    <t>59|精英盾怪</t>
  </si>
  <si>
    <t>59|Boss</t>
  </si>
  <si>
    <t>59|装备副本Boss</t>
  </si>
  <si>
    <t>60|普通怪</t>
  </si>
  <si>
    <t>60|盾怪</t>
  </si>
  <si>
    <t>60|二级普通怪</t>
  </si>
  <si>
    <t>60|站桩怪</t>
  </si>
  <si>
    <t>60|炮灰怪</t>
  </si>
  <si>
    <t>60|精英怪</t>
  </si>
  <si>
    <t>60|精英盾怪</t>
  </si>
  <si>
    <t>60|Boss</t>
  </si>
  <si>
    <t>60|装备副本Boss</t>
  </si>
  <si>
    <t>61|普通怪</t>
  </si>
  <si>
    <t>61|盾怪</t>
  </si>
  <si>
    <t>61|二级普通怪</t>
  </si>
  <si>
    <t>61|站桩怪</t>
  </si>
  <si>
    <t>61|炮灰怪</t>
  </si>
  <si>
    <t>61|精英怪</t>
  </si>
  <si>
    <t>61|精英盾怪</t>
  </si>
  <si>
    <t>61|Boss</t>
  </si>
  <si>
    <t>61|装备副本Boss</t>
  </si>
  <si>
    <t>62|普通怪</t>
  </si>
  <si>
    <t>62|盾怪</t>
  </si>
  <si>
    <t>62|二级普通怪</t>
  </si>
  <si>
    <t>62|站桩怪</t>
  </si>
  <si>
    <t>62|炮灰怪</t>
  </si>
  <si>
    <t>62|精英怪</t>
  </si>
  <si>
    <t>62|精英盾怪</t>
  </si>
  <si>
    <t>62|Boss</t>
  </si>
  <si>
    <t>62|装备副本Boss</t>
  </si>
  <si>
    <t>63|普通怪</t>
  </si>
  <si>
    <t>63|盾怪</t>
  </si>
  <si>
    <t>63|二级普通怪</t>
  </si>
  <si>
    <t>63|站桩怪</t>
  </si>
  <si>
    <t>63|炮灰怪</t>
  </si>
  <si>
    <t>63|精英怪</t>
  </si>
  <si>
    <t>63|精英盾怪</t>
  </si>
  <si>
    <t>63|Boss</t>
  </si>
  <si>
    <t>63|装备副本Boss</t>
  </si>
  <si>
    <t>64|普通怪</t>
  </si>
  <si>
    <t>64|盾怪</t>
  </si>
  <si>
    <t>64|二级普通怪</t>
  </si>
  <si>
    <t>64|站桩怪</t>
  </si>
  <si>
    <t>64|炮灰怪</t>
  </si>
  <si>
    <t>64|精英怪</t>
  </si>
  <si>
    <t>64|精英盾怪</t>
  </si>
  <si>
    <t>64|Boss</t>
  </si>
  <si>
    <t>64|装备副本Boss</t>
  </si>
  <si>
    <t>65|普通怪</t>
  </si>
  <si>
    <t>65|盾怪</t>
  </si>
  <si>
    <t>65|二级普通怪</t>
  </si>
  <si>
    <t>65|站桩怪</t>
  </si>
  <si>
    <t>65|炮灰怪</t>
  </si>
  <si>
    <t>65|精英怪</t>
  </si>
  <si>
    <t>65|精英盾怪</t>
  </si>
  <si>
    <t>65|Boss</t>
  </si>
  <si>
    <t>65|装备副本Boss</t>
  </si>
  <si>
    <t>66|普通怪</t>
  </si>
  <si>
    <t>66|盾怪</t>
  </si>
  <si>
    <t>66|二级普通怪</t>
  </si>
  <si>
    <t>66|站桩怪</t>
  </si>
  <si>
    <t>66|炮灰怪</t>
  </si>
  <si>
    <t>66|精英怪</t>
  </si>
  <si>
    <t>66|精英盾怪</t>
  </si>
  <si>
    <t>66|Boss</t>
  </si>
  <si>
    <t>66|装备副本Boss</t>
  </si>
  <si>
    <t>67|普通怪</t>
  </si>
  <si>
    <t>67|盾怪</t>
  </si>
  <si>
    <t>67|二级普通怪</t>
  </si>
  <si>
    <t>67|站桩怪</t>
  </si>
  <si>
    <t>67|炮灰怪</t>
  </si>
  <si>
    <t>67|精英怪</t>
  </si>
  <si>
    <t>67|精英盾怪</t>
  </si>
  <si>
    <t>67|Boss</t>
  </si>
  <si>
    <t>67|装备副本Boss</t>
  </si>
  <si>
    <t>68|普通怪</t>
  </si>
  <si>
    <t>68|盾怪</t>
  </si>
  <si>
    <t>68|二级普通怪</t>
  </si>
  <si>
    <t>68|站桩怪</t>
  </si>
  <si>
    <t>68|炮灰怪</t>
  </si>
  <si>
    <t>68|精英怪</t>
  </si>
  <si>
    <t>68|精英盾怪</t>
  </si>
  <si>
    <t>68|Boss</t>
  </si>
  <si>
    <t>68|装备副本Boss</t>
  </si>
  <si>
    <t>69|普通怪</t>
  </si>
  <si>
    <t>69|盾怪</t>
  </si>
  <si>
    <t>69|二级普通怪</t>
  </si>
  <si>
    <t>69|站桩怪</t>
  </si>
  <si>
    <t>69|炮灰怪</t>
  </si>
  <si>
    <t>69|精英怪</t>
  </si>
  <si>
    <t>69|精英盾怪</t>
  </si>
  <si>
    <t>69|Boss</t>
  </si>
  <si>
    <t>69|装备副本Boss</t>
  </si>
  <si>
    <t>70|普通怪</t>
  </si>
  <si>
    <t>70|盾怪</t>
  </si>
  <si>
    <t>70|二级普通怪</t>
  </si>
  <si>
    <t>70|站桩怪</t>
  </si>
  <si>
    <t>70|炮灰怪</t>
  </si>
  <si>
    <t>70|精英怪</t>
  </si>
  <si>
    <t>70|精英盾怪</t>
  </si>
  <si>
    <t>70|Boss</t>
  </si>
  <si>
    <t>70|装备副本Boss</t>
  </si>
  <si>
    <t>71|普通怪</t>
  </si>
  <si>
    <t>71|盾怪</t>
  </si>
  <si>
    <t>71|二级普通怪</t>
  </si>
  <si>
    <t>71|站桩怪</t>
  </si>
  <si>
    <t>71|炮灰怪</t>
  </si>
  <si>
    <t>71|精英怪</t>
  </si>
  <si>
    <t>71|精英盾怪</t>
  </si>
  <si>
    <t>71|Boss</t>
  </si>
  <si>
    <t>71|装备副本Boss</t>
  </si>
  <si>
    <t>72|普通怪</t>
  </si>
  <si>
    <t>72|盾怪</t>
  </si>
  <si>
    <t>72|二级普通怪</t>
  </si>
  <si>
    <t>72|站桩怪</t>
  </si>
  <si>
    <t>72|炮灰怪</t>
  </si>
  <si>
    <t>72|精英怪</t>
  </si>
  <si>
    <t>72|精英盾怪</t>
  </si>
  <si>
    <t>72|Boss</t>
  </si>
  <si>
    <t>72|装备副本Boss</t>
  </si>
  <si>
    <t>73|普通怪</t>
  </si>
  <si>
    <t>73|盾怪</t>
  </si>
  <si>
    <t>73|二级普通怪</t>
  </si>
  <si>
    <t>73|站桩怪</t>
  </si>
  <si>
    <t>73|炮灰怪</t>
  </si>
  <si>
    <t>73|精英怪</t>
  </si>
  <si>
    <t>73|精英盾怪</t>
  </si>
  <si>
    <t>73|Boss</t>
  </si>
  <si>
    <t>73|装备副本Boss</t>
  </si>
  <si>
    <t>74|普通怪</t>
  </si>
  <si>
    <t>74|盾怪</t>
  </si>
  <si>
    <t>74|二级普通怪</t>
  </si>
  <si>
    <t>74|站桩怪</t>
  </si>
  <si>
    <t>74|炮灰怪</t>
  </si>
  <si>
    <t>74|精英怪</t>
  </si>
  <si>
    <t>74|精英盾怪</t>
  </si>
  <si>
    <t>74|Boss</t>
  </si>
  <si>
    <t>74|装备副本Boss</t>
  </si>
  <si>
    <t>75|普通怪</t>
  </si>
  <si>
    <t>75|盾怪</t>
  </si>
  <si>
    <t>75|二级普通怪</t>
  </si>
  <si>
    <t>75|站桩怪</t>
  </si>
  <si>
    <t>75|炮灰怪</t>
  </si>
  <si>
    <t>75|精英怪</t>
  </si>
  <si>
    <t>75|精英盾怪</t>
  </si>
  <si>
    <t>75|Boss</t>
  </si>
  <si>
    <t>75|装备副本Boss</t>
  </si>
  <si>
    <t>76|普通怪</t>
  </si>
  <si>
    <t>76|盾怪</t>
  </si>
  <si>
    <t>76|二级普通怪</t>
  </si>
  <si>
    <t>76|站桩怪</t>
  </si>
  <si>
    <t>76|炮灰怪</t>
  </si>
  <si>
    <t>76|精英怪</t>
  </si>
  <si>
    <t>76|精英盾怪</t>
  </si>
  <si>
    <t>76|Boss</t>
  </si>
  <si>
    <t>76|装备副本Boss</t>
  </si>
  <si>
    <t>77|普通怪</t>
  </si>
  <si>
    <t>77|盾怪</t>
  </si>
  <si>
    <t>77|二级普通怪</t>
  </si>
  <si>
    <t>77|站桩怪</t>
  </si>
  <si>
    <t>77|炮灰怪</t>
  </si>
  <si>
    <t>77|精英怪</t>
  </si>
  <si>
    <t>77|精英盾怪</t>
  </si>
  <si>
    <t>77|Boss</t>
  </si>
  <si>
    <t>77|装备副本Boss</t>
  </si>
  <si>
    <t>78|普通怪</t>
  </si>
  <si>
    <t>78|盾怪</t>
  </si>
  <si>
    <t>78|二级普通怪</t>
  </si>
  <si>
    <t>78|站桩怪</t>
  </si>
  <si>
    <t>78|炮灰怪</t>
  </si>
  <si>
    <t>78|精英怪</t>
  </si>
  <si>
    <t>78|精英盾怪</t>
  </si>
  <si>
    <t>78|Boss</t>
  </si>
  <si>
    <t>78|装备副本Boss</t>
  </si>
  <si>
    <t>79|普通怪</t>
  </si>
  <si>
    <t>79|盾怪</t>
  </si>
  <si>
    <t>79|二级普通怪</t>
  </si>
  <si>
    <t>79|站桩怪</t>
  </si>
  <si>
    <t>79|炮灰怪</t>
  </si>
  <si>
    <t>79|精英怪</t>
  </si>
  <si>
    <t>79|精英盾怪</t>
  </si>
  <si>
    <t>79|Boss</t>
  </si>
  <si>
    <t>79|装备副本Boss</t>
  </si>
  <si>
    <t>80|普通怪</t>
  </si>
  <si>
    <t>80|盾怪</t>
  </si>
  <si>
    <t>80|二级普通怪</t>
  </si>
  <si>
    <t>80|站桩怪</t>
  </si>
  <si>
    <t>80|炮灰怪</t>
  </si>
  <si>
    <t>80|精英怪</t>
  </si>
  <si>
    <t>80|精英盾怪</t>
  </si>
  <si>
    <t>80|Boss</t>
  </si>
  <si>
    <t>80|装备副本Boss</t>
  </si>
  <si>
    <t>81|普通怪</t>
  </si>
  <si>
    <t>81|盾怪</t>
  </si>
  <si>
    <t>81|二级普通怪</t>
  </si>
  <si>
    <t>81|站桩怪</t>
  </si>
  <si>
    <t>81|炮灰怪</t>
  </si>
  <si>
    <t>81|精英怪</t>
  </si>
  <si>
    <t>81|精英盾怪</t>
  </si>
  <si>
    <t>81|Boss</t>
  </si>
  <si>
    <t>81|装备副本Boss</t>
  </si>
  <si>
    <t>82|普通怪</t>
  </si>
  <si>
    <t>82|盾怪</t>
  </si>
  <si>
    <t>82|二级普通怪</t>
  </si>
  <si>
    <t>82|站桩怪</t>
  </si>
  <si>
    <t>82|炮灰怪</t>
  </si>
  <si>
    <t>82|精英怪</t>
  </si>
  <si>
    <t>82|精英盾怪</t>
  </si>
  <si>
    <t>82|Boss</t>
  </si>
  <si>
    <t>82|装备副本Boss</t>
  </si>
  <si>
    <t>83|普通怪</t>
  </si>
  <si>
    <t>83|盾怪</t>
  </si>
  <si>
    <t>83|二级普通怪</t>
  </si>
  <si>
    <t>83|站桩怪</t>
  </si>
  <si>
    <t>83|炮灰怪</t>
  </si>
  <si>
    <t>83|精英怪</t>
  </si>
  <si>
    <t>83|精英盾怪</t>
  </si>
  <si>
    <t>83|Boss</t>
  </si>
  <si>
    <t>83|装备副本Boss</t>
  </si>
  <si>
    <t>84|普通怪</t>
  </si>
  <si>
    <t>84|盾怪</t>
  </si>
  <si>
    <t>84|二级普通怪</t>
  </si>
  <si>
    <t>84|站桩怪</t>
  </si>
  <si>
    <t>84|炮灰怪</t>
  </si>
  <si>
    <t>84|精英怪</t>
  </si>
  <si>
    <t>84|精英盾怪</t>
  </si>
  <si>
    <t>84|Boss</t>
  </si>
  <si>
    <t>84|装备副本Boss</t>
  </si>
  <si>
    <t>85|普通怪</t>
  </si>
  <si>
    <t>85|盾怪</t>
  </si>
  <si>
    <t>85|二级普通怪</t>
  </si>
  <si>
    <t>85|站桩怪</t>
  </si>
  <si>
    <t>85|炮灰怪</t>
  </si>
  <si>
    <t>85|精英怪</t>
  </si>
  <si>
    <t>85|精英盾怪</t>
  </si>
  <si>
    <t>85|Boss</t>
  </si>
  <si>
    <t>85|装备副本Boss</t>
  </si>
  <si>
    <t>86|普通怪</t>
  </si>
  <si>
    <t>86|盾怪</t>
  </si>
  <si>
    <t>86|二级普通怪</t>
  </si>
  <si>
    <t>86|站桩怪</t>
  </si>
  <si>
    <t>86|炮灰怪</t>
  </si>
  <si>
    <t>86|精英怪</t>
  </si>
  <si>
    <t>86|精英盾怪</t>
  </si>
  <si>
    <t>86|Boss</t>
  </si>
  <si>
    <t>86|装备副本Boss</t>
  </si>
  <si>
    <t>87|普通怪</t>
  </si>
  <si>
    <t>87|盾怪</t>
  </si>
  <si>
    <t>87|二级普通怪</t>
  </si>
  <si>
    <t>87|站桩怪</t>
  </si>
  <si>
    <t>87|炮灰怪</t>
  </si>
  <si>
    <t>87|精英怪</t>
  </si>
  <si>
    <t>87|精英盾怪</t>
  </si>
  <si>
    <t>87|Boss</t>
  </si>
  <si>
    <t>87|装备副本Boss</t>
  </si>
  <si>
    <t>88|普通怪</t>
  </si>
  <si>
    <t>88|盾怪</t>
  </si>
  <si>
    <t>88|二级普通怪</t>
  </si>
  <si>
    <t>88|站桩怪</t>
  </si>
  <si>
    <t>88|炮灰怪</t>
  </si>
  <si>
    <t>88|精英怪</t>
  </si>
  <si>
    <t>88|精英盾怪</t>
  </si>
  <si>
    <t>88|Boss</t>
  </si>
  <si>
    <t>88|装备副本Boss</t>
  </si>
  <si>
    <t>89|普通怪</t>
  </si>
  <si>
    <t>89|盾怪</t>
  </si>
  <si>
    <t>89|二级普通怪</t>
  </si>
  <si>
    <t>89|站桩怪</t>
  </si>
  <si>
    <t>89|炮灰怪</t>
  </si>
  <si>
    <t>89|精英怪</t>
  </si>
  <si>
    <t>89|精英盾怪</t>
  </si>
  <si>
    <t>89|Boss</t>
  </si>
  <si>
    <t>89|装备副本Boss</t>
  </si>
  <si>
    <t>90|普通怪</t>
  </si>
  <si>
    <t>90|盾怪</t>
  </si>
  <si>
    <t>90|二级普通怪</t>
  </si>
  <si>
    <t>90|站桩怪</t>
  </si>
  <si>
    <t>90|炮灰怪</t>
  </si>
  <si>
    <t>90|精英怪</t>
  </si>
  <si>
    <t>90|精英盾怪</t>
  </si>
  <si>
    <t>90|Boss</t>
  </si>
  <si>
    <t>90|装备副本Boss</t>
  </si>
  <si>
    <t>91|普通怪</t>
  </si>
  <si>
    <t>91|盾怪</t>
  </si>
  <si>
    <t>91|二级普通怪</t>
  </si>
  <si>
    <t>91|站桩怪</t>
  </si>
  <si>
    <t>91|炮灰怪</t>
  </si>
  <si>
    <t>91|精英怪</t>
  </si>
  <si>
    <t>91|精英盾怪</t>
  </si>
  <si>
    <t>91|Boss</t>
  </si>
  <si>
    <t>91|装备副本Boss</t>
  </si>
  <si>
    <t>92|普通怪</t>
  </si>
  <si>
    <t>92|盾怪</t>
  </si>
  <si>
    <t>92|二级普通怪</t>
  </si>
  <si>
    <t>92|站桩怪</t>
  </si>
  <si>
    <t>92|炮灰怪</t>
  </si>
  <si>
    <t>92|精英怪</t>
  </si>
  <si>
    <t>92|精英盾怪</t>
  </si>
  <si>
    <t>92|Boss</t>
  </si>
  <si>
    <t>92|装备副本Boss</t>
  </si>
  <si>
    <t>93|普通怪</t>
  </si>
  <si>
    <t>93|盾怪</t>
  </si>
  <si>
    <t>93|二级普通怪</t>
  </si>
  <si>
    <t>93|站桩怪</t>
  </si>
  <si>
    <t>93|炮灰怪</t>
  </si>
  <si>
    <t>93|精英怪</t>
  </si>
  <si>
    <t>93|精英盾怪</t>
  </si>
  <si>
    <t>93|Boss</t>
  </si>
  <si>
    <t>93|装备副本Boss</t>
  </si>
  <si>
    <t>94|普通怪</t>
  </si>
  <si>
    <t>94|盾怪</t>
  </si>
  <si>
    <t>94|二级普通怪</t>
  </si>
  <si>
    <t>94|站桩怪</t>
  </si>
  <si>
    <t>94|炮灰怪</t>
  </si>
  <si>
    <t>94|精英怪</t>
  </si>
  <si>
    <t>94|精英盾怪</t>
  </si>
  <si>
    <t>94|Boss</t>
  </si>
  <si>
    <t>94|装备副本Boss</t>
  </si>
  <si>
    <t>95|普通怪</t>
  </si>
  <si>
    <t>95|盾怪</t>
  </si>
  <si>
    <t>95|二级普通怪</t>
  </si>
  <si>
    <t>95|站桩怪</t>
  </si>
  <si>
    <t>95|炮灰怪</t>
  </si>
  <si>
    <t>95|精英怪</t>
  </si>
  <si>
    <t>95|精英盾怪</t>
  </si>
  <si>
    <t>95|Boss</t>
  </si>
  <si>
    <t>95|装备副本Boss</t>
  </si>
  <si>
    <t>96|普通怪</t>
  </si>
  <si>
    <t>96|盾怪</t>
  </si>
  <si>
    <t>96|二级普通怪</t>
  </si>
  <si>
    <t>96|站桩怪</t>
  </si>
  <si>
    <t>96|炮灰怪</t>
  </si>
  <si>
    <t>96|精英怪</t>
  </si>
  <si>
    <t>96|精英盾怪</t>
  </si>
  <si>
    <t>96|Boss</t>
  </si>
  <si>
    <t>96|装备副本Boss</t>
  </si>
  <si>
    <t>97|普通怪</t>
  </si>
  <si>
    <t>97|盾怪</t>
  </si>
  <si>
    <t>97|二级普通怪</t>
  </si>
  <si>
    <t>97|站桩怪</t>
  </si>
  <si>
    <t>97|炮灰怪</t>
  </si>
  <si>
    <t>97|精英怪</t>
  </si>
  <si>
    <t>97|精英盾怪</t>
  </si>
  <si>
    <t>97|Boss</t>
  </si>
  <si>
    <t>97|装备副本Boss</t>
  </si>
  <si>
    <t>98|普通怪</t>
  </si>
  <si>
    <t>98|盾怪</t>
  </si>
  <si>
    <t>98|二级普通怪</t>
  </si>
  <si>
    <t>98|站桩怪</t>
  </si>
  <si>
    <t>98|炮灰怪</t>
  </si>
  <si>
    <t>98|精英怪</t>
  </si>
  <si>
    <t>98|精英盾怪</t>
  </si>
  <si>
    <t>98|Boss</t>
  </si>
  <si>
    <t>98|装备副本Boss</t>
  </si>
  <si>
    <t>99|普通怪</t>
  </si>
  <si>
    <t>99|盾怪</t>
  </si>
  <si>
    <t>99|二级普通怪</t>
  </si>
  <si>
    <t>99|站桩怪</t>
  </si>
  <si>
    <t>99|炮灰怪</t>
  </si>
  <si>
    <t>99|精英怪</t>
  </si>
  <si>
    <t>99|精英盾怪</t>
  </si>
  <si>
    <t>99|Boss</t>
  </si>
  <si>
    <t>99|装备副本Boss</t>
  </si>
  <si>
    <t>100|普通怪</t>
  </si>
  <si>
    <t>100|盾怪</t>
  </si>
  <si>
    <t>100|二级普通怪</t>
  </si>
  <si>
    <t>100|站桩怪</t>
  </si>
  <si>
    <t>100|炮灰怪</t>
  </si>
  <si>
    <t>100|精英怪</t>
  </si>
  <si>
    <t>100|精英盾怪</t>
  </si>
  <si>
    <t>100|Boss</t>
  </si>
  <si>
    <t>100|装备副本Boss</t>
  </si>
  <si>
    <t>101|普通怪</t>
  </si>
  <si>
    <t>101|盾怪</t>
  </si>
  <si>
    <t>101|二级普通怪</t>
  </si>
  <si>
    <t>101|站桩怪</t>
  </si>
  <si>
    <t>101|炮灰怪</t>
  </si>
  <si>
    <t>101|精英怪</t>
  </si>
  <si>
    <t>101|精英盾怪</t>
  </si>
  <si>
    <t>101|Boss</t>
  </si>
  <si>
    <t>101|装备副本Boss</t>
  </si>
  <si>
    <t>102|普通怪</t>
  </si>
  <si>
    <t>102|盾怪</t>
  </si>
  <si>
    <t>102|二级普通怪</t>
  </si>
  <si>
    <t>102|站桩怪</t>
  </si>
  <si>
    <t>102|炮灰怪</t>
  </si>
  <si>
    <t>102|精英怪</t>
  </si>
  <si>
    <t>102|精英盾怪</t>
  </si>
  <si>
    <t>102|Boss</t>
  </si>
  <si>
    <t>102|装备副本Boss</t>
  </si>
  <si>
    <t>103|普通怪</t>
  </si>
  <si>
    <t>103|盾怪</t>
  </si>
  <si>
    <t>103|二级普通怪</t>
  </si>
  <si>
    <t>103|站桩怪</t>
  </si>
  <si>
    <t>103|炮灰怪</t>
  </si>
  <si>
    <t>103|精英怪</t>
  </si>
  <si>
    <t>103|精英盾怪</t>
  </si>
  <si>
    <t>103|Boss</t>
  </si>
  <si>
    <t>103|装备副本Boss</t>
  </si>
  <si>
    <t>104|普通怪</t>
  </si>
  <si>
    <t>104|盾怪</t>
  </si>
  <si>
    <t>104|二级普通怪</t>
  </si>
  <si>
    <t>104|站桩怪</t>
  </si>
  <si>
    <t>104|炮灰怪</t>
  </si>
  <si>
    <t>104|精英怪</t>
  </si>
  <si>
    <t>104|精英盾怪</t>
  </si>
  <si>
    <t>104|Boss</t>
  </si>
  <si>
    <t>104|装备副本Boss</t>
  </si>
  <si>
    <t>105|普通怪</t>
  </si>
  <si>
    <t>105|盾怪</t>
  </si>
  <si>
    <t>105|二级普通怪</t>
  </si>
  <si>
    <t>105|站桩怪</t>
  </si>
  <si>
    <t>105|炮灰怪</t>
  </si>
  <si>
    <t>105|精英怪</t>
  </si>
  <si>
    <t>105|精英盾怪</t>
  </si>
  <si>
    <t>105|Boss</t>
  </si>
  <si>
    <t>105|装备副本Boss</t>
  </si>
  <si>
    <t>106|普通怪</t>
  </si>
  <si>
    <t>106|盾怪</t>
  </si>
  <si>
    <t>106|二级普通怪</t>
  </si>
  <si>
    <t>106|站桩怪</t>
  </si>
  <si>
    <t>106|炮灰怪</t>
  </si>
  <si>
    <t>106|精英怪</t>
  </si>
  <si>
    <t>106|精英盾怪</t>
  </si>
  <si>
    <t>106|Boss</t>
  </si>
  <si>
    <t>106|装备副本Boss</t>
  </si>
  <si>
    <t>107|普通怪</t>
  </si>
  <si>
    <t>107|盾怪</t>
  </si>
  <si>
    <t>107|二级普通怪</t>
  </si>
  <si>
    <t>107|站桩怪</t>
  </si>
  <si>
    <t>107|炮灰怪</t>
  </si>
  <si>
    <t>107|精英怪</t>
  </si>
  <si>
    <t>107|精英盾怪</t>
  </si>
  <si>
    <t>107|Boss</t>
  </si>
  <si>
    <t>107|装备副本Boss</t>
  </si>
  <si>
    <t>108|普通怪</t>
  </si>
  <si>
    <t>108|盾怪</t>
  </si>
  <si>
    <t>108|二级普通怪</t>
  </si>
  <si>
    <t>108|站桩怪</t>
  </si>
  <si>
    <t>108|炮灰怪</t>
  </si>
  <si>
    <t>108|精英怪</t>
  </si>
  <si>
    <t>108|精英盾怪</t>
  </si>
  <si>
    <t>108|Boss</t>
  </si>
  <si>
    <t>108|装备副本Boss</t>
  </si>
  <si>
    <t>109|普通怪</t>
  </si>
  <si>
    <t>109|盾怪</t>
  </si>
  <si>
    <t>109|二级普通怪</t>
  </si>
  <si>
    <t>109|站桩怪</t>
  </si>
  <si>
    <t>109|炮灰怪</t>
  </si>
  <si>
    <t>109|精英怪</t>
  </si>
  <si>
    <t>109|精英盾怪</t>
  </si>
  <si>
    <t>109|Boss</t>
  </si>
  <si>
    <t>109|装备副本Boss</t>
  </si>
  <si>
    <t>110|普通怪</t>
  </si>
  <si>
    <t>110|盾怪</t>
  </si>
  <si>
    <t>110|二级普通怪</t>
  </si>
  <si>
    <t>110|站桩怪</t>
  </si>
  <si>
    <t>110|炮灰怪</t>
  </si>
  <si>
    <t>110|精英怪</t>
  </si>
  <si>
    <t>110|精英盾怪</t>
  </si>
  <si>
    <t>110|Boss</t>
  </si>
  <si>
    <t>110|装备副本Boss</t>
  </si>
  <si>
    <t>111|普通怪</t>
  </si>
  <si>
    <t>111|盾怪</t>
  </si>
  <si>
    <t>111|二级普通怪</t>
  </si>
  <si>
    <t>111|站桩怪</t>
  </si>
  <si>
    <t>111|炮灰怪</t>
  </si>
  <si>
    <t>111|精英怪</t>
  </si>
  <si>
    <t>111|精英盾怪</t>
  </si>
  <si>
    <t>111|Boss</t>
  </si>
  <si>
    <t>111|装备副本Boss</t>
  </si>
  <si>
    <t>112|普通怪</t>
  </si>
  <si>
    <t>112|盾怪</t>
  </si>
  <si>
    <t>112|二级普通怪</t>
  </si>
  <si>
    <t>112|站桩怪</t>
  </si>
  <si>
    <t>112|炮灰怪</t>
  </si>
  <si>
    <t>112|精英怪</t>
  </si>
  <si>
    <t>112|精英盾怪</t>
  </si>
  <si>
    <t>112|Boss</t>
  </si>
  <si>
    <t>112|装备副本Boss</t>
  </si>
  <si>
    <t>113|普通怪</t>
  </si>
  <si>
    <t>113|盾怪</t>
  </si>
  <si>
    <t>113|二级普通怪</t>
  </si>
  <si>
    <t>113|站桩怪</t>
  </si>
  <si>
    <t>113|炮灰怪</t>
  </si>
  <si>
    <t>113|精英怪</t>
  </si>
  <si>
    <t>113|精英盾怪</t>
  </si>
  <si>
    <t>113|Boss</t>
  </si>
  <si>
    <t>113|装备副本Boss</t>
  </si>
  <si>
    <t>114|普通怪</t>
  </si>
  <si>
    <t>114|盾怪</t>
  </si>
  <si>
    <t>114|二级普通怪</t>
  </si>
  <si>
    <t>114|站桩怪</t>
  </si>
  <si>
    <t>114|炮灰怪</t>
  </si>
  <si>
    <t>114|精英怪</t>
  </si>
  <si>
    <t>114|精英盾怪</t>
  </si>
  <si>
    <t>114|Boss</t>
  </si>
  <si>
    <t>114|装备副本Boss</t>
  </si>
  <si>
    <t>115|普通怪</t>
  </si>
  <si>
    <t>115|盾怪</t>
  </si>
  <si>
    <t>115|二级普通怪</t>
  </si>
  <si>
    <t>115|站桩怪</t>
  </si>
  <si>
    <t>115|炮灰怪</t>
  </si>
  <si>
    <t>115|精英怪</t>
  </si>
  <si>
    <t>115|精英盾怪</t>
  </si>
  <si>
    <t>115|Boss</t>
  </si>
  <si>
    <t>115|装备副本Boss</t>
  </si>
  <si>
    <t>116|普通怪</t>
  </si>
  <si>
    <t>116|盾怪</t>
  </si>
  <si>
    <t>116|二级普通怪</t>
  </si>
  <si>
    <t>116|站桩怪</t>
  </si>
  <si>
    <t>116|炮灰怪</t>
  </si>
  <si>
    <t>116|精英怪</t>
  </si>
  <si>
    <t>116|精英盾怪</t>
  </si>
  <si>
    <t>116|Boss</t>
  </si>
  <si>
    <t>116|装备副本Boss</t>
  </si>
  <si>
    <t>117|普通怪</t>
  </si>
  <si>
    <t>117|盾怪</t>
  </si>
  <si>
    <t>117|二级普通怪</t>
  </si>
  <si>
    <t>117|站桩怪</t>
  </si>
  <si>
    <t>117|炮灰怪</t>
  </si>
  <si>
    <t>117|精英怪</t>
  </si>
  <si>
    <t>117|精英盾怪</t>
  </si>
  <si>
    <t>117|Boss</t>
  </si>
  <si>
    <t>117|装备副本Boss</t>
  </si>
  <si>
    <t>118|普通怪</t>
  </si>
  <si>
    <t>118|盾怪</t>
  </si>
  <si>
    <t>118|二级普通怪</t>
  </si>
  <si>
    <t>118|站桩怪</t>
  </si>
  <si>
    <t>118|炮灰怪</t>
  </si>
  <si>
    <t>118|精英怪</t>
  </si>
  <si>
    <t>118|精英盾怪</t>
  </si>
  <si>
    <t>118|Boss</t>
  </si>
  <si>
    <t>118|装备副本Boss</t>
  </si>
  <si>
    <t>119|普通怪</t>
  </si>
  <si>
    <t>119|盾怪</t>
  </si>
  <si>
    <t>119|二级普通怪</t>
  </si>
  <si>
    <t>119|站桩怪</t>
  </si>
  <si>
    <t>119|炮灰怪</t>
  </si>
  <si>
    <t>119|精英怪</t>
  </si>
  <si>
    <t>119|精英盾怪</t>
  </si>
  <si>
    <t>119|Boss</t>
  </si>
  <si>
    <t>119|装备副本Boss</t>
  </si>
  <si>
    <t>120|普通怪</t>
  </si>
  <si>
    <t>120|盾怪</t>
  </si>
  <si>
    <t>120|二级普通怪</t>
  </si>
  <si>
    <t>120|站桩怪</t>
  </si>
  <si>
    <t>120|炮灰怪</t>
  </si>
  <si>
    <t>120|精英怪</t>
  </si>
  <si>
    <t>120|精英盾怪</t>
  </si>
  <si>
    <t>120|Boss</t>
  </si>
  <si>
    <t>120|装备副本Boss</t>
  </si>
  <si>
    <t>121|普通怪</t>
  </si>
  <si>
    <t>121|盾怪</t>
  </si>
  <si>
    <t>121|二级普通怪</t>
  </si>
  <si>
    <t>121|站桩怪</t>
  </si>
  <si>
    <t>121|炮灰怪</t>
  </si>
  <si>
    <t>121|精英怪</t>
  </si>
  <si>
    <t>121|精英盾怪</t>
  </si>
  <si>
    <t>121|Boss</t>
  </si>
  <si>
    <t>121|装备副本Boss</t>
  </si>
  <si>
    <t>122|普通怪</t>
  </si>
  <si>
    <t>122|盾怪</t>
  </si>
  <si>
    <t>122|二级普通怪</t>
  </si>
  <si>
    <t>122|站桩怪</t>
  </si>
  <si>
    <t>122|炮灰怪</t>
  </si>
  <si>
    <t>122|精英怪</t>
  </si>
  <si>
    <t>122|精英盾怪</t>
  </si>
  <si>
    <t>122|Boss</t>
  </si>
  <si>
    <t>122|装备副本Boss</t>
  </si>
  <si>
    <t>123|普通怪</t>
  </si>
  <si>
    <t>123|盾怪</t>
  </si>
  <si>
    <t>123|二级普通怪</t>
  </si>
  <si>
    <t>123|站桩怪</t>
  </si>
  <si>
    <t>123|炮灰怪</t>
  </si>
  <si>
    <t>123|精英怪</t>
  </si>
  <si>
    <t>123|精英盾怪</t>
  </si>
  <si>
    <t>123|Boss</t>
  </si>
  <si>
    <t>123|装备副本Boss</t>
  </si>
  <si>
    <t>124|普通怪</t>
  </si>
  <si>
    <t>124|盾怪</t>
  </si>
  <si>
    <t>124|二级普通怪</t>
  </si>
  <si>
    <t>124|站桩怪</t>
  </si>
  <si>
    <t>124|炮灰怪</t>
  </si>
  <si>
    <t>124|精英怪</t>
  </si>
  <si>
    <t>124|精英盾怪</t>
  </si>
  <si>
    <t>124|Boss</t>
  </si>
  <si>
    <t>124|装备副本Boss</t>
  </si>
  <si>
    <t>125|普通怪</t>
  </si>
  <si>
    <t>125|盾怪</t>
  </si>
  <si>
    <t>125|二级普通怪</t>
  </si>
  <si>
    <t>125|站桩怪</t>
  </si>
  <si>
    <t>125|炮灰怪</t>
  </si>
  <si>
    <t>125|精英怪</t>
  </si>
  <si>
    <t>125|精英盾怪</t>
  </si>
  <si>
    <t>125|Boss</t>
  </si>
  <si>
    <t>125|装备副本Boss</t>
  </si>
  <si>
    <t>126|普通怪</t>
  </si>
  <si>
    <t>126|盾怪</t>
  </si>
  <si>
    <t>126|二级普通怪</t>
  </si>
  <si>
    <t>126|站桩怪</t>
  </si>
  <si>
    <t>126|炮灰怪</t>
  </si>
  <si>
    <t>126|精英怪</t>
  </si>
  <si>
    <t>126|精英盾怪</t>
  </si>
  <si>
    <t>126|Boss</t>
  </si>
  <si>
    <t>126|装备副本Boss</t>
  </si>
  <si>
    <t>127|普通怪</t>
  </si>
  <si>
    <t>127|盾怪</t>
  </si>
  <si>
    <t>127|二级普通怪</t>
  </si>
  <si>
    <t>127|站桩怪</t>
  </si>
  <si>
    <t>127|炮灰怪</t>
  </si>
  <si>
    <t>127|精英怪</t>
  </si>
  <si>
    <t>127|精英盾怪</t>
  </si>
  <si>
    <t>127|Boss</t>
  </si>
  <si>
    <t>127|装备副本Boss</t>
  </si>
  <si>
    <t>128|普通怪</t>
  </si>
  <si>
    <t>128|盾怪</t>
  </si>
  <si>
    <t>128|二级普通怪</t>
  </si>
  <si>
    <t>128|站桩怪</t>
  </si>
  <si>
    <t>128|炮灰怪</t>
  </si>
  <si>
    <t>128|精英怪</t>
  </si>
  <si>
    <t>128|精英盾怪</t>
  </si>
  <si>
    <t>128|Boss</t>
  </si>
  <si>
    <t>128|装备副本Boss</t>
  </si>
  <si>
    <t>129|普通怪</t>
  </si>
  <si>
    <t>129|盾怪</t>
  </si>
  <si>
    <t>129|二级普通怪</t>
  </si>
  <si>
    <t>129|站桩怪</t>
  </si>
  <si>
    <t>129|炮灰怪</t>
  </si>
  <si>
    <t>129|精英怪</t>
  </si>
  <si>
    <t>129|精英盾怪</t>
  </si>
  <si>
    <t>129|Boss</t>
  </si>
  <si>
    <t>129|装备副本Boss</t>
  </si>
  <si>
    <t>130|普通怪</t>
  </si>
  <si>
    <t>130|盾怪</t>
  </si>
  <si>
    <t>130|二级普通怪</t>
  </si>
  <si>
    <t>130|站桩怪</t>
  </si>
  <si>
    <t>130|炮灰怪</t>
  </si>
  <si>
    <t>130|精英怪</t>
  </si>
  <si>
    <t>130|精英盾怪</t>
  </si>
  <si>
    <t>130|Boss</t>
  </si>
  <si>
    <t>130|装备副本Boss</t>
  </si>
  <si>
    <t>131|普通怪</t>
  </si>
  <si>
    <t>131|盾怪</t>
  </si>
  <si>
    <t>131|二级普通怪</t>
  </si>
  <si>
    <t>131|站桩怪</t>
  </si>
  <si>
    <t>131|炮灰怪</t>
  </si>
  <si>
    <t>131|精英怪</t>
  </si>
  <si>
    <t>131|精英盾怪</t>
  </si>
  <si>
    <t>131|Boss</t>
  </si>
  <si>
    <t>131|装备副本Boss</t>
  </si>
  <si>
    <t>132|普通怪</t>
  </si>
  <si>
    <t>132|盾怪</t>
  </si>
  <si>
    <t>132|二级普通怪</t>
  </si>
  <si>
    <t>132|站桩怪</t>
  </si>
  <si>
    <t>132|炮灰怪</t>
  </si>
  <si>
    <t>132|精英怪</t>
  </si>
  <si>
    <t>132|精英盾怪</t>
  </si>
  <si>
    <t>132|Boss</t>
  </si>
  <si>
    <t>132|装备副本Boss</t>
  </si>
  <si>
    <t>133|普通怪</t>
  </si>
  <si>
    <t>133|盾怪</t>
  </si>
  <si>
    <t>133|二级普通怪</t>
  </si>
  <si>
    <t>133|站桩怪</t>
  </si>
  <si>
    <t>133|炮灰怪</t>
  </si>
  <si>
    <t>133|精英怪</t>
  </si>
  <si>
    <t>133|精英盾怪</t>
  </si>
  <si>
    <t>133|Boss</t>
  </si>
  <si>
    <t>133|装备副本Boss</t>
  </si>
  <si>
    <t>134|普通怪</t>
  </si>
  <si>
    <t>134|盾怪</t>
  </si>
  <si>
    <t>134|二级普通怪</t>
  </si>
  <si>
    <t>134|站桩怪</t>
  </si>
  <si>
    <t>134|炮灰怪</t>
  </si>
  <si>
    <t>134|精英怪</t>
  </si>
  <si>
    <t>134|精英盾怪</t>
  </si>
  <si>
    <t>134|Boss</t>
  </si>
  <si>
    <t>134|装备副本Boss</t>
  </si>
  <si>
    <t>135|普通怪</t>
  </si>
  <si>
    <t>135|盾怪</t>
  </si>
  <si>
    <t>135|二级普通怪</t>
  </si>
  <si>
    <t>135|站桩怪</t>
  </si>
  <si>
    <t>135|炮灰怪</t>
  </si>
  <si>
    <t>135|精英怪</t>
  </si>
  <si>
    <t>135|精英盾怪</t>
  </si>
  <si>
    <t>135|Boss</t>
  </si>
  <si>
    <t>135|装备副本Boss</t>
  </si>
  <si>
    <t>136|普通怪</t>
  </si>
  <si>
    <t>136|盾怪</t>
  </si>
  <si>
    <t>136|二级普通怪</t>
  </si>
  <si>
    <t>136|站桩怪</t>
  </si>
  <si>
    <t>136|炮灰怪</t>
  </si>
  <si>
    <t>136|精英怪</t>
  </si>
  <si>
    <t>136|精英盾怪</t>
  </si>
  <si>
    <t>136|Boss</t>
  </si>
  <si>
    <t>136|装备副本Boss</t>
  </si>
  <si>
    <t>137|普通怪</t>
  </si>
  <si>
    <t>137|盾怪</t>
  </si>
  <si>
    <t>137|二级普通怪</t>
  </si>
  <si>
    <t>137|站桩怪</t>
  </si>
  <si>
    <t>137|炮灰怪</t>
  </si>
  <si>
    <t>137|精英怪</t>
  </si>
  <si>
    <t>137|精英盾怪</t>
  </si>
  <si>
    <t>137|Boss</t>
  </si>
  <si>
    <t>137|装备副本Boss</t>
  </si>
  <si>
    <t>138|普通怪</t>
  </si>
  <si>
    <t>138|盾怪</t>
  </si>
  <si>
    <t>138|二级普通怪</t>
  </si>
  <si>
    <t>138|站桩怪</t>
  </si>
  <si>
    <t>138|炮灰怪</t>
  </si>
  <si>
    <t>138|精英怪</t>
  </si>
  <si>
    <t>138|精英盾怪</t>
  </si>
  <si>
    <t>138|Boss</t>
  </si>
  <si>
    <t>138|装备副本Boss</t>
  </si>
  <si>
    <t>139|普通怪</t>
  </si>
  <si>
    <t>139|盾怪</t>
  </si>
  <si>
    <t>139|二级普通怪</t>
  </si>
  <si>
    <t>139|站桩怪</t>
  </si>
  <si>
    <t>139|炮灰怪</t>
  </si>
  <si>
    <t>139|精英怪</t>
  </si>
  <si>
    <t>139|精英盾怪</t>
  </si>
  <si>
    <t>139|Boss</t>
  </si>
  <si>
    <t>139|装备副本Boss</t>
  </si>
  <si>
    <t>140|普通怪</t>
  </si>
  <si>
    <t>140|盾怪</t>
  </si>
  <si>
    <t>140|二级普通怪</t>
  </si>
  <si>
    <t>140|站桩怪</t>
  </si>
  <si>
    <t>140|炮灰怪</t>
  </si>
  <si>
    <t>140|精英怪</t>
  </si>
  <si>
    <t>140|精英盾怪</t>
  </si>
  <si>
    <t>140|Boss</t>
  </si>
  <si>
    <t>140|装备副本Boss</t>
  </si>
  <si>
    <t>141|普通怪</t>
  </si>
  <si>
    <t>141|盾怪</t>
  </si>
  <si>
    <t>141|二级普通怪</t>
  </si>
  <si>
    <t>141|站桩怪</t>
  </si>
  <si>
    <t>141|炮灰怪</t>
  </si>
  <si>
    <t>141|精英怪</t>
  </si>
  <si>
    <t>141|精英盾怪</t>
  </si>
  <si>
    <t>141|Boss</t>
  </si>
  <si>
    <t>141|装备副本Boss</t>
  </si>
  <si>
    <t>142|普通怪</t>
  </si>
  <si>
    <t>142|盾怪</t>
  </si>
  <si>
    <t>142|二级普通怪</t>
  </si>
  <si>
    <t>142|站桩怪</t>
  </si>
  <si>
    <t>142|炮灰怪</t>
  </si>
  <si>
    <t>142|精英怪</t>
  </si>
  <si>
    <t>142|精英盾怪</t>
  </si>
  <si>
    <t>142|Boss</t>
  </si>
  <si>
    <t>142|装备副本Boss</t>
  </si>
  <si>
    <t>143|普通怪</t>
  </si>
  <si>
    <t>143|盾怪</t>
  </si>
  <si>
    <t>143|二级普通怪</t>
  </si>
  <si>
    <t>143|站桩怪</t>
  </si>
  <si>
    <t>143|炮灰怪</t>
  </si>
  <si>
    <t>143|精英怪</t>
  </si>
  <si>
    <t>143|精英盾怪</t>
  </si>
  <si>
    <t>143|Boss</t>
  </si>
  <si>
    <t>143|装备副本Boss</t>
  </si>
  <si>
    <t>144|普通怪</t>
  </si>
  <si>
    <t>144|盾怪</t>
  </si>
  <si>
    <t>144|二级普通怪</t>
  </si>
  <si>
    <t>144|站桩怪</t>
  </si>
  <si>
    <t>144|炮灰怪</t>
  </si>
  <si>
    <t>144|精英怪</t>
  </si>
  <si>
    <t>144|精英盾怪</t>
  </si>
  <si>
    <t>144|Boss</t>
  </si>
  <si>
    <t>144|装备副本Boss</t>
  </si>
  <si>
    <t>145|普通怪</t>
  </si>
  <si>
    <t>145|盾怪</t>
  </si>
  <si>
    <t>145|二级普通怪</t>
  </si>
  <si>
    <t>145|站桩怪</t>
  </si>
  <si>
    <t>145|炮灰怪</t>
  </si>
  <si>
    <t>145|精英怪</t>
  </si>
  <si>
    <t>145|精英盾怪</t>
  </si>
  <si>
    <t>145|Boss</t>
  </si>
  <si>
    <t>145|装备副本Boss</t>
  </si>
  <si>
    <t>146|普通怪</t>
  </si>
  <si>
    <t>146|盾怪</t>
  </si>
  <si>
    <t>146|二级普通怪</t>
  </si>
  <si>
    <t>146|站桩怪</t>
  </si>
  <si>
    <t>146|炮灰怪</t>
  </si>
  <si>
    <t>146|精英怪</t>
  </si>
  <si>
    <t>146|精英盾怪</t>
  </si>
  <si>
    <t>146|Boss</t>
  </si>
  <si>
    <t>146|装备副本Boss</t>
  </si>
  <si>
    <t>147|普通怪</t>
  </si>
  <si>
    <t>147|盾怪</t>
  </si>
  <si>
    <t>147|二级普通怪</t>
  </si>
  <si>
    <t>147|站桩怪</t>
  </si>
  <si>
    <t>147|炮灰怪</t>
  </si>
  <si>
    <t>147|精英怪</t>
  </si>
  <si>
    <t>147|精英盾怪</t>
  </si>
  <si>
    <t>147|Boss</t>
  </si>
  <si>
    <t>147|装备副本Boss</t>
  </si>
  <si>
    <t>148|普通怪</t>
  </si>
  <si>
    <t>148|盾怪</t>
  </si>
  <si>
    <t>148|二级普通怪</t>
  </si>
  <si>
    <t>148|站桩怪</t>
  </si>
  <si>
    <t>148|炮灰怪</t>
  </si>
  <si>
    <t>148|精英怪</t>
  </si>
  <si>
    <t>148|精英盾怪</t>
  </si>
  <si>
    <t>148|Boss</t>
  </si>
  <si>
    <t>148|装备副本Boss</t>
  </si>
  <si>
    <t>149|普通怪</t>
  </si>
  <si>
    <t>149|盾怪</t>
  </si>
  <si>
    <t>149|二级普通怪</t>
  </si>
  <si>
    <t>149|站桩怪</t>
  </si>
  <si>
    <t>149|炮灰怪</t>
  </si>
  <si>
    <t>149|精英怪</t>
  </si>
  <si>
    <t>149|精英盾怪</t>
  </si>
  <si>
    <t>149|Boss</t>
  </si>
  <si>
    <t>149|装备副本Boss</t>
  </si>
  <si>
    <t>150|普通怪</t>
  </si>
  <si>
    <t>150|盾怪</t>
  </si>
  <si>
    <t>150|二级普通怪</t>
  </si>
  <si>
    <t>150|站桩怪</t>
  </si>
  <si>
    <t>150|炮灰怪</t>
  </si>
  <si>
    <t>150|精英怪</t>
  </si>
  <si>
    <t>150|精英盾怪</t>
  </si>
  <si>
    <t>150|Boss</t>
  </si>
  <si>
    <t>150|装备副本Boss</t>
  </si>
  <si>
    <t>151|普通怪</t>
  </si>
  <si>
    <t>151|盾怪</t>
  </si>
  <si>
    <t>151|二级普通怪</t>
  </si>
  <si>
    <t>151|站桩怪</t>
  </si>
  <si>
    <t>151|炮灰怪</t>
  </si>
  <si>
    <t>151|精英怪</t>
  </si>
  <si>
    <t>151|精英盾怪</t>
  </si>
  <si>
    <t>151|Boss</t>
  </si>
  <si>
    <t>151|装备副本Boss</t>
  </si>
  <si>
    <t>152|普通怪</t>
  </si>
  <si>
    <t>152|盾怪</t>
  </si>
  <si>
    <t>152|二级普通怪</t>
  </si>
  <si>
    <t>152|站桩怪</t>
  </si>
  <si>
    <t>152|炮灰怪</t>
  </si>
  <si>
    <t>152|精英怪</t>
  </si>
  <si>
    <t>152|精英盾怪</t>
  </si>
  <si>
    <t>152|Boss</t>
  </si>
  <si>
    <t>152|装备副本Boss</t>
  </si>
  <si>
    <t>153|普通怪</t>
  </si>
  <si>
    <t>153|盾怪</t>
  </si>
  <si>
    <t>153|二级普通怪</t>
  </si>
  <si>
    <t>153|站桩怪</t>
  </si>
  <si>
    <t>153|炮灰怪</t>
  </si>
  <si>
    <t>153|精英怪</t>
  </si>
  <si>
    <t>153|精英盾怪</t>
  </si>
  <si>
    <t>153|Boss</t>
  </si>
  <si>
    <t>153|装备副本Boss</t>
  </si>
  <si>
    <t>154|普通怪</t>
  </si>
  <si>
    <t>154|盾怪</t>
  </si>
  <si>
    <t>154|二级普通怪</t>
  </si>
  <si>
    <t>154|站桩怪</t>
  </si>
  <si>
    <t>154|炮灰怪</t>
  </si>
  <si>
    <t>154|精英怪</t>
  </si>
  <si>
    <t>154|精英盾怪</t>
  </si>
  <si>
    <t>154|Boss</t>
  </si>
  <si>
    <t>154|装备副本Boss</t>
  </si>
  <si>
    <t>155|普通怪</t>
  </si>
  <si>
    <t>155|盾怪</t>
  </si>
  <si>
    <t>155|二级普通怪</t>
  </si>
  <si>
    <t>155|站桩怪</t>
  </si>
  <si>
    <t>155|炮灰怪</t>
  </si>
  <si>
    <t>155|精英怪</t>
  </si>
  <si>
    <t>155|精英盾怪</t>
  </si>
  <si>
    <t>155|Boss</t>
  </si>
  <si>
    <t>155|装备副本Boss</t>
  </si>
  <si>
    <t>156|普通怪</t>
  </si>
  <si>
    <t>156|盾怪</t>
  </si>
  <si>
    <t>156|二级普通怪</t>
  </si>
  <si>
    <t>156|站桩怪</t>
  </si>
  <si>
    <t>156|炮灰怪</t>
  </si>
  <si>
    <t>156|精英怪</t>
  </si>
  <si>
    <t>156|精英盾怪</t>
  </si>
  <si>
    <t>156|Boss</t>
  </si>
  <si>
    <t>156|装备副本Boss</t>
  </si>
  <si>
    <t>157|普通怪</t>
  </si>
  <si>
    <t>157|盾怪</t>
  </si>
  <si>
    <t>157|二级普通怪</t>
  </si>
  <si>
    <t>157|站桩怪</t>
  </si>
  <si>
    <t>157|炮灰怪</t>
  </si>
  <si>
    <t>157|精英怪</t>
  </si>
  <si>
    <t>157|精英盾怪</t>
  </si>
  <si>
    <t>157|Boss</t>
  </si>
  <si>
    <t>157|装备副本Boss</t>
  </si>
  <si>
    <t>158|普通怪</t>
  </si>
  <si>
    <t>158|盾怪</t>
  </si>
  <si>
    <t>158|二级普通怪</t>
  </si>
  <si>
    <t>158|站桩怪</t>
  </si>
  <si>
    <t>158|炮灰怪</t>
  </si>
  <si>
    <t>158|精英怪</t>
  </si>
  <si>
    <t>158|精英盾怪</t>
  </si>
  <si>
    <t>158|Boss</t>
  </si>
  <si>
    <t>158|装备副本Boss</t>
  </si>
  <si>
    <t>159|普通怪</t>
  </si>
  <si>
    <t>159|盾怪</t>
  </si>
  <si>
    <t>159|二级普通怪</t>
  </si>
  <si>
    <t>159|站桩怪</t>
  </si>
  <si>
    <t>159|炮灰怪</t>
  </si>
  <si>
    <t>159|精英怪</t>
  </si>
  <si>
    <t>159|精英盾怪</t>
  </si>
  <si>
    <t>159|Boss</t>
  </si>
  <si>
    <t>159|装备副本Boss</t>
  </si>
  <si>
    <t>160|普通怪</t>
  </si>
  <si>
    <t>160|盾怪</t>
  </si>
  <si>
    <t>160|二级普通怪</t>
  </si>
  <si>
    <t>160|站桩怪</t>
  </si>
  <si>
    <t>160|炮灰怪</t>
  </si>
  <si>
    <t>160|精英怪</t>
  </si>
  <si>
    <t>160|精英盾怪</t>
  </si>
  <si>
    <t>160|Boss</t>
  </si>
  <si>
    <t>160|装备副本Boss</t>
  </si>
  <si>
    <t>161|普通怪</t>
  </si>
  <si>
    <t>161|盾怪</t>
  </si>
  <si>
    <t>161|二级普通怪</t>
  </si>
  <si>
    <t>161|站桩怪</t>
  </si>
  <si>
    <t>161|炮灰怪</t>
  </si>
  <si>
    <t>161|精英怪</t>
  </si>
  <si>
    <t>161|精英盾怪</t>
  </si>
  <si>
    <t>161|Boss</t>
  </si>
  <si>
    <t>161|装备副本Boss</t>
  </si>
  <si>
    <t>162|普通怪</t>
  </si>
  <si>
    <t>162|盾怪</t>
  </si>
  <si>
    <t>162|二级普通怪</t>
  </si>
  <si>
    <t>162|站桩怪</t>
  </si>
  <si>
    <t>162|炮灰怪</t>
  </si>
  <si>
    <t>162|精英怪</t>
  </si>
  <si>
    <t>162|精英盾怪</t>
  </si>
  <si>
    <t>162|Boss</t>
  </si>
  <si>
    <t>162|装备副本Boss</t>
  </si>
  <si>
    <t>163|普通怪</t>
  </si>
  <si>
    <t>163|盾怪</t>
  </si>
  <si>
    <t>163|二级普通怪</t>
  </si>
  <si>
    <t>163|站桩怪</t>
  </si>
  <si>
    <t>163|炮灰怪</t>
  </si>
  <si>
    <t>163|精英怪</t>
  </si>
  <si>
    <t>163|精英盾怪</t>
  </si>
  <si>
    <t>163|Boss</t>
  </si>
  <si>
    <t>163|装备副本Boss</t>
  </si>
  <si>
    <t>164|普通怪</t>
  </si>
  <si>
    <t>164|盾怪</t>
  </si>
  <si>
    <t>164|二级普通怪</t>
  </si>
  <si>
    <t>164|站桩怪</t>
  </si>
  <si>
    <t>164|炮灰怪</t>
  </si>
  <si>
    <t>164|精英怪</t>
  </si>
  <si>
    <t>164|精英盾怪</t>
  </si>
  <si>
    <t>164|Boss</t>
  </si>
  <si>
    <t>164|装备副本Boss</t>
  </si>
  <si>
    <t>165|普通怪</t>
  </si>
  <si>
    <t>165|盾怪</t>
  </si>
  <si>
    <t>165|二级普通怪</t>
  </si>
  <si>
    <t>165|站桩怪</t>
  </si>
  <si>
    <t>165|炮灰怪</t>
  </si>
  <si>
    <t>165|精英怪</t>
  </si>
  <si>
    <t>165|精英盾怪</t>
  </si>
  <si>
    <t>165|Boss</t>
  </si>
  <si>
    <t>165|装备副本Boss</t>
  </si>
  <si>
    <t>166|普通怪</t>
  </si>
  <si>
    <t>166|盾怪</t>
  </si>
  <si>
    <t>166|二级普通怪</t>
  </si>
  <si>
    <t>166|站桩怪</t>
  </si>
  <si>
    <t>166|炮灰怪</t>
  </si>
  <si>
    <t>166|精英怪</t>
  </si>
  <si>
    <t>166|精英盾怪</t>
  </si>
  <si>
    <t>166|Boss</t>
  </si>
  <si>
    <t>166|装备副本Boss</t>
  </si>
  <si>
    <t>167|普通怪</t>
  </si>
  <si>
    <t>167|盾怪</t>
  </si>
  <si>
    <t>167|二级普通怪</t>
  </si>
  <si>
    <t>167|站桩怪</t>
  </si>
  <si>
    <t>167|炮灰怪</t>
  </si>
  <si>
    <t>167|精英怪</t>
  </si>
  <si>
    <t>167|精英盾怪</t>
  </si>
  <si>
    <t>167|Boss</t>
  </si>
  <si>
    <t>167|装备副本Boss</t>
  </si>
  <si>
    <t>168|普通怪</t>
  </si>
  <si>
    <t>168|盾怪</t>
  </si>
  <si>
    <t>168|二级普通怪</t>
  </si>
  <si>
    <t>168|站桩怪</t>
  </si>
  <si>
    <t>168|炮灰怪</t>
  </si>
  <si>
    <t>168|精英怪</t>
  </si>
  <si>
    <t>168|精英盾怪</t>
  </si>
  <si>
    <t>168|Boss</t>
  </si>
  <si>
    <t>168|装备副本Boss</t>
  </si>
  <si>
    <t>169|普通怪</t>
  </si>
  <si>
    <t>169|盾怪</t>
  </si>
  <si>
    <t>169|二级普通怪</t>
  </si>
  <si>
    <t>169|站桩怪</t>
  </si>
  <si>
    <t>169|炮灰怪</t>
  </si>
  <si>
    <t>169|精英怪</t>
  </si>
  <si>
    <t>169|精英盾怪</t>
  </si>
  <si>
    <t>169|Boss</t>
  </si>
  <si>
    <t>169|装备副本Boss</t>
  </si>
  <si>
    <t>170|普通怪</t>
  </si>
  <si>
    <t>170|盾怪</t>
  </si>
  <si>
    <t>170|二级普通怪</t>
  </si>
  <si>
    <t>170|站桩怪</t>
  </si>
  <si>
    <t>170|炮灰怪</t>
  </si>
  <si>
    <t>170|精英怪</t>
  </si>
  <si>
    <t>170|精英盾怪</t>
  </si>
  <si>
    <t>170|Boss</t>
  </si>
  <si>
    <t>170|装备副本Boss</t>
  </si>
  <si>
    <t>171|普通怪</t>
  </si>
  <si>
    <t>171|盾怪</t>
  </si>
  <si>
    <t>171|二级普通怪</t>
  </si>
  <si>
    <t>171|站桩怪</t>
  </si>
  <si>
    <t>171|炮灰怪</t>
  </si>
  <si>
    <t>171|精英怪</t>
  </si>
  <si>
    <t>171|精英盾怪</t>
  </si>
  <si>
    <t>171|Boss</t>
  </si>
  <si>
    <t>171|装备副本Boss</t>
  </si>
  <si>
    <t>172|普通怪</t>
  </si>
  <si>
    <t>172|盾怪</t>
  </si>
  <si>
    <t>172|二级普通怪</t>
  </si>
  <si>
    <t>172|站桩怪</t>
  </si>
  <si>
    <t>172|炮灰怪</t>
  </si>
  <si>
    <t>172|精英怪</t>
  </si>
  <si>
    <t>172|精英盾怪</t>
  </si>
  <si>
    <t>172|Boss</t>
  </si>
  <si>
    <t>172|装备副本Boss</t>
  </si>
  <si>
    <t>173|普通怪</t>
  </si>
  <si>
    <t>173|盾怪</t>
  </si>
  <si>
    <t>173|二级普通怪</t>
  </si>
  <si>
    <t>173|站桩怪</t>
  </si>
  <si>
    <t>173|炮灰怪</t>
  </si>
  <si>
    <t>173|精英怪</t>
  </si>
  <si>
    <t>173|精英盾怪</t>
  </si>
  <si>
    <t>173|Boss</t>
  </si>
  <si>
    <t>173|装备副本Boss</t>
  </si>
  <si>
    <t>174|普通怪</t>
  </si>
  <si>
    <t>174|盾怪</t>
  </si>
  <si>
    <t>174|二级普通怪</t>
  </si>
  <si>
    <t>174|站桩怪</t>
  </si>
  <si>
    <t>174|炮灰怪</t>
  </si>
  <si>
    <t>174|精英怪</t>
  </si>
  <si>
    <t>174|精英盾怪</t>
  </si>
  <si>
    <t>174|Boss</t>
  </si>
  <si>
    <t>174|装备副本Boss</t>
  </si>
  <si>
    <t>175|普通怪</t>
  </si>
  <si>
    <t>175|盾怪</t>
  </si>
  <si>
    <t>175|二级普通怪</t>
  </si>
  <si>
    <t>175|站桩怪</t>
  </si>
  <si>
    <t>175|炮灰怪</t>
  </si>
  <si>
    <t>175|精英怪</t>
  </si>
  <si>
    <t>175|精英盾怪</t>
  </si>
  <si>
    <t>175|Boss</t>
  </si>
  <si>
    <t>175|装备副本Boss</t>
  </si>
  <si>
    <t>176|普通怪</t>
  </si>
  <si>
    <t>176|盾怪</t>
  </si>
  <si>
    <t>176|二级普通怪</t>
  </si>
  <si>
    <t>176|站桩怪</t>
  </si>
  <si>
    <t>176|炮灰怪</t>
  </si>
  <si>
    <t>176|精英怪</t>
  </si>
  <si>
    <t>176|精英盾怪</t>
  </si>
  <si>
    <t>176|Boss</t>
  </si>
  <si>
    <t>176|装备副本Boss</t>
  </si>
  <si>
    <t>177|普通怪</t>
  </si>
  <si>
    <t>177|盾怪</t>
  </si>
  <si>
    <t>177|二级普通怪</t>
  </si>
  <si>
    <t>177|站桩怪</t>
  </si>
  <si>
    <t>177|炮灰怪</t>
  </si>
  <si>
    <t>177|精英怪</t>
  </si>
  <si>
    <t>177|精英盾怪</t>
  </si>
  <si>
    <t>177|Boss</t>
  </si>
  <si>
    <t>177|装备副本Boss</t>
  </si>
  <si>
    <t>178|普通怪</t>
  </si>
  <si>
    <t>178|盾怪</t>
  </si>
  <si>
    <t>178|二级普通怪</t>
  </si>
  <si>
    <t>178|站桩怪</t>
  </si>
  <si>
    <t>178|炮灰怪</t>
  </si>
  <si>
    <t>178|精英怪</t>
  </si>
  <si>
    <t>178|精英盾怪</t>
  </si>
  <si>
    <t>178|Boss</t>
  </si>
  <si>
    <t>178|装备副本Boss</t>
  </si>
  <si>
    <t>179|普通怪</t>
  </si>
  <si>
    <t>179|盾怪</t>
  </si>
  <si>
    <t>179|二级普通怪</t>
  </si>
  <si>
    <t>179|站桩怪</t>
  </si>
  <si>
    <t>179|炮灰怪</t>
  </si>
  <si>
    <t>179|精英怪</t>
  </si>
  <si>
    <t>179|精英盾怪</t>
  </si>
  <si>
    <t>179|Boss</t>
  </si>
  <si>
    <t>179|装备副本Boss</t>
  </si>
  <si>
    <t>180|普通怪</t>
  </si>
  <si>
    <t>180|盾怪</t>
  </si>
  <si>
    <t>180|二级普通怪</t>
  </si>
  <si>
    <t>180|站桩怪</t>
  </si>
  <si>
    <t>180|炮灰怪</t>
  </si>
  <si>
    <t>180|精英怪</t>
  </si>
  <si>
    <t>180|精英盾怪</t>
  </si>
  <si>
    <t>180|Boss</t>
  </si>
  <si>
    <t>180|装备副本Boss</t>
  </si>
  <si>
    <t>181|普通怪</t>
  </si>
  <si>
    <t>181|盾怪</t>
  </si>
  <si>
    <t>181|二级普通怪</t>
  </si>
  <si>
    <t>181|站桩怪</t>
  </si>
  <si>
    <t>181|炮灰怪</t>
  </si>
  <si>
    <t>181|精英怪</t>
  </si>
  <si>
    <t>181|精英盾怪</t>
  </si>
  <si>
    <t>181|Boss</t>
  </si>
  <si>
    <t>181|装备副本Boss</t>
  </si>
  <si>
    <t>182|普通怪</t>
  </si>
  <si>
    <t>182|盾怪</t>
  </si>
  <si>
    <t>182|二级普通怪</t>
  </si>
  <si>
    <t>182|站桩怪</t>
  </si>
  <si>
    <t>182|炮灰怪</t>
  </si>
  <si>
    <t>182|精英怪</t>
  </si>
  <si>
    <t>182|精英盾怪</t>
  </si>
  <si>
    <t>182|Boss</t>
  </si>
  <si>
    <t>182|装备副本Boss</t>
  </si>
  <si>
    <t>183|普通怪</t>
  </si>
  <si>
    <t>183|盾怪</t>
  </si>
  <si>
    <t>183|二级普通怪</t>
  </si>
  <si>
    <t>183|站桩怪</t>
  </si>
  <si>
    <t>183|炮灰怪</t>
  </si>
  <si>
    <t>183|精英怪</t>
  </si>
  <si>
    <t>183|精英盾怪</t>
  </si>
  <si>
    <t>183|Boss</t>
  </si>
  <si>
    <t>183|装备副本Boss</t>
  </si>
  <si>
    <t>184|普通怪</t>
  </si>
  <si>
    <t>184|盾怪</t>
  </si>
  <si>
    <t>184|二级普通怪</t>
  </si>
  <si>
    <t>184|站桩怪</t>
  </si>
  <si>
    <t>184|炮灰怪</t>
  </si>
  <si>
    <t>184|精英怪</t>
  </si>
  <si>
    <t>184|精英盾怪</t>
  </si>
  <si>
    <t>184|Boss</t>
  </si>
  <si>
    <t>184|装备副本Boss</t>
  </si>
  <si>
    <t>185|普通怪</t>
  </si>
  <si>
    <t>185|盾怪</t>
  </si>
  <si>
    <t>185|二级普通怪</t>
  </si>
  <si>
    <t>185|站桩怪</t>
  </si>
  <si>
    <t>185|炮灰怪</t>
  </si>
  <si>
    <t>185|精英怪</t>
  </si>
  <si>
    <t>185|精英盾怪</t>
  </si>
  <si>
    <t>185|Boss</t>
  </si>
  <si>
    <t>185|装备副本Boss</t>
  </si>
  <si>
    <t>186|普通怪</t>
  </si>
  <si>
    <t>186|盾怪</t>
  </si>
  <si>
    <t>186|二级普通怪</t>
  </si>
  <si>
    <t>186|站桩怪</t>
  </si>
  <si>
    <t>186|炮灰怪</t>
  </si>
  <si>
    <t>186|精英怪</t>
  </si>
  <si>
    <t>186|精英盾怪</t>
  </si>
  <si>
    <t>186|Boss</t>
  </si>
  <si>
    <t>186|装备副本Boss</t>
  </si>
  <si>
    <t>187|普通怪</t>
  </si>
  <si>
    <t>187|盾怪</t>
  </si>
  <si>
    <t>187|二级普通怪</t>
  </si>
  <si>
    <t>187|站桩怪</t>
  </si>
  <si>
    <t>187|炮灰怪</t>
  </si>
  <si>
    <t>187|精英怪</t>
  </si>
  <si>
    <t>187|精英盾怪</t>
  </si>
  <si>
    <t>187|Boss</t>
  </si>
  <si>
    <t>187|装备副本Boss</t>
  </si>
  <si>
    <t>188|普通怪</t>
  </si>
  <si>
    <t>188|盾怪</t>
  </si>
  <si>
    <t>188|二级普通怪</t>
  </si>
  <si>
    <t>188|站桩怪</t>
  </si>
  <si>
    <t>188|炮灰怪</t>
  </si>
  <si>
    <t>188|精英怪</t>
  </si>
  <si>
    <t>188|精英盾怪</t>
  </si>
  <si>
    <t>188|Boss</t>
  </si>
  <si>
    <t>188|装备副本Boss</t>
  </si>
  <si>
    <t>189|普通怪</t>
  </si>
  <si>
    <t>189|盾怪</t>
  </si>
  <si>
    <t>189|二级普通怪</t>
  </si>
  <si>
    <t>189|站桩怪</t>
  </si>
  <si>
    <t>189|炮灰怪</t>
  </si>
  <si>
    <t>189|精英怪</t>
  </si>
  <si>
    <t>189|精英盾怪</t>
  </si>
  <si>
    <t>189|Boss</t>
  </si>
  <si>
    <t>189|装备副本Boss</t>
  </si>
  <si>
    <t>190|普通怪</t>
  </si>
  <si>
    <t>190|盾怪</t>
  </si>
  <si>
    <t>190|二级普通怪</t>
  </si>
  <si>
    <t>190|站桩怪</t>
  </si>
  <si>
    <t>190|炮灰怪</t>
  </si>
  <si>
    <t>190|精英怪</t>
  </si>
  <si>
    <t>190|精英盾怪</t>
  </si>
  <si>
    <t>190|Boss</t>
  </si>
  <si>
    <t>190|装备副本Boss</t>
  </si>
  <si>
    <t>191|普通怪</t>
  </si>
  <si>
    <t>191|盾怪</t>
  </si>
  <si>
    <t>191|二级普通怪</t>
  </si>
  <si>
    <t>191|站桩怪</t>
  </si>
  <si>
    <t>191|炮灰怪</t>
  </si>
  <si>
    <t>191|精英怪</t>
  </si>
  <si>
    <t>191|精英盾怪</t>
  </si>
  <si>
    <t>191|Boss</t>
  </si>
  <si>
    <t>191|装备副本Boss</t>
  </si>
  <si>
    <t>192|普通怪</t>
  </si>
  <si>
    <t>192|盾怪</t>
  </si>
  <si>
    <t>192|二级普通怪</t>
  </si>
  <si>
    <t>192|站桩怪</t>
  </si>
  <si>
    <t>192|炮灰怪</t>
  </si>
  <si>
    <t>192|精英怪</t>
  </si>
  <si>
    <t>192|精英盾怪</t>
  </si>
  <si>
    <t>192|Boss</t>
  </si>
  <si>
    <t>192|装备副本Boss</t>
  </si>
  <si>
    <t>193|普通怪</t>
  </si>
  <si>
    <t>193|盾怪</t>
  </si>
  <si>
    <t>193|二级普通怪</t>
  </si>
  <si>
    <t>193|站桩怪</t>
  </si>
  <si>
    <t>193|炮灰怪</t>
  </si>
  <si>
    <t>193|精英怪</t>
  </si>
  <si>
    <t>193|精英盾怪</t>
  </si>
  <si>
    <t>193|Boss</t>
  </si>
  <si>
    <t>193|装备副本Boss</t>
  </si>
  <si>
    <t>194|普通怪</t>
  </si>
  <si>
    <t>194|盾怪</t>
  </si>
  <si>
    <t>194|二级普通怪</t>
  </si>
  <si>
    <t>194|站桩怪</t>
  </si>
  <si>
    <t>194|炮灰怪</t>
  </si>
  <si>
    <t>194|精英怪</t>
  </si>
  <si>
    <t>194|精英盾怪</t>
  </si>
  <si>
    <t>194|Boss</t>
  </si>
  <si>
    <t>194|装备副本Boss</t>
  </si>
  <si>
    <t>195|普通怪</t>
  </si>
  <si>
    <t>195|盾怪</t>
  </si>
  <si>
    <t>195|二级普通怪</t>
  </si>
  <si>
    <t>195|站桩怪</t>
  </si>
  <si>
    <t>195|炮灰怪</t>
  </si>
  <si>
    <t>195|精英怪</t>
  </si>
  <si>
    <t>195|精英盾怪</t>
  </si>
  <si>
    <t>195|Boss</t>
  </si>
  <si>
    <t>195|装备副本Boss</t>
  </si>
  <si>
    <t>196|普通怪</t>
  </si>
  <si>
    <t>196|盾怪</t>
  </si>
  <si>
    <t>196|二级普通怪</t>
  </si>
  <si>
    <t>196|站桩怪</t>
  </si>
  <si>
    <t>196|炮灰怪</t>
  </si>
  <si>
    <t>196|精英怪</t>
  </si>
  <si>
    <t>196|精英盾怪</t>
  </si>
  <si>
    <t>196|Boss</t>
  </si>
  <si>
    <t>196|装备副本Boss</t>
  </si>
  <si>
    <t>197|普通怪</t>
  </si>
  <si>
    <t>197|盾怪</t>
  </si>
  <si>
    <t>197|二级普通怪</t>
  </si>
  <si>
    <t>197|站桩怪</t>
  </si>
  <si>
    <t>197|炮灰怪</t>
  </si>
  <si>
    <t>197|精英怪</t>
  </si>
  <si>
    <t>197|精英盾怪</t>
  </si>
  <si>
    <t>197|Boss</t>
  </si>
  <si>
    <t>197|装备副本Boss</t>
  </si>
  <si>
    <t>198|普通怪</t>
  </si>
  <si>
    <t>198|盾怪</t>
  </si>
  <si>
    <t>198|二级普通怪</t>
  </si>
  <si>
    <t>198|站桩怪</t>
  </si>
  <si>
    <t>198|炮灰怪</t>
  </si>
  <si>
    <t>198|精英怪</t>
  </si>
  <si>
    <t>198|精英盾怪</t>
  </si>
  <si>
    <t>198|Boss</t>
  </si>
  <si>
    <t>198|装备副本Boss</t>
  </si>
  <si>
    <t>199|普通怪</t>
  </si>
  <si>
    <t>199|盾怪</t>
  </si>
  <si>
    <t>199|二级普通怪</t>
  </si>
  <si>
    <t>199|站桩怪</t>
  </si>
  <si>
    <t>199|炮灰怪</t>
  </si>
  <si>
    <t>199|精英怪</t>
  </si>
  <si>
    <t>199|精英盾怪</t>
  </si>
  <si>
    <t>199|Boss</t>
  </si>
  <si>
    <t>199|装备副本Boss</t>
  </si>
  <si>
    <t>200|普通怪</t>
  </si>
  <si>
    <t>200|盾怪</t>
  </si>
  <si>
    <t>200|二级普通怪</t>
  </si>
  <si>
    <t>200|站桩怪</t>
  </si>
  <si>
    <t>200|炮灰怪</t>
  </si>
  <si>
    <t>200|精英怪</t>
  </si>
  <si>
    <t>200|精英盾怪</t>
  </si>
  <si>
    <t>200|Boss</t>
  </si>
  <si>
    <t>200|装备副本Boss</t>
  </si>
  <si>
    <t>201|普通怪</t>
  </si>
  <si>
    <t>201|盾怪</t>
  </si>
  <si>
    <t>201|二级普通怪</t>
  </si>
  <si>
    <t>201|站桩怪</t>
  </si>
  <si>
    <t>201|炮灰怪</t>
  </si>
  <si>
    <t>201|精英怪</t>
  </si>
  <si>
    <t>201|精英盾怪</t>
  </si>
  <si>
    <t>201|Boss</t>
  </si>
  <si>
    <t>201|装备副本Boss</t>
  </si>
  <si>
    <t>202|普通怪</t>
  </si>
  <si>
    <t>202|盾怪</t>
  </si>
  <si>
    <t>202|二级普通怪</t>
  </si>
  <si>
    <t>202|站桩怪</t>
  </si>
  <si>
    <t>202|炮灰怪</t>
  </si>
  <si>
    <t>202|精英怪</t>
  </si>
  <si>
    <t>202|精英盾怪</t>
  </si>
  <si>
    <t>202|Boss</t>
  </si>
  <si>
    <t>202|装备副本Boss</t>
  </si>
  <si>
    <t>203|普通怪</t>
  </si>
  <si>
    <t>203|盾怪</t>
  </si>
  <si>
    <t>203|二级普通怪</t>
  </si>
  <si>
    <t>203|站桩怪</t>
  </si>
  <si>
    <t>203|炮灰怪</t>
  </si>
  <si>
    <t>203|精英怪</t>
  </si>
  <si>
    <t>203|精英盾怪</t>
  </si>
  <si>
    <t>203|Boss</t>
  </si>
  <si>
    <t>203|装备副本Boss</t>
  </si>
  <si>
    <t>204|普通怪</t>
  </si>
  <si>
    <t>204|盾怪</t>
  </si>
  <si>
    <t>204|二级普通怪</t>
  </si>
  <si>
    <t>204|站桩怪</t>
  </si>
  <si>
    <t>204|炮灰怪</t>
  </si>
  <si>
    <t>204|精英怪</t>
  </si>
  <si>
    <t>204|精英盾怪</t>
  </si>
  <si>
    <t>204|Boss</t>
  </si>
  <si>
    <t>204|装备副本Boss</t>
  </si>
  <si>
    <t>205|普通怪</t>
  </si>
  <si>
    <t>205|盾怪</t>
  </si>
  <si>
    <t>205|二级普通怪</t>
  </si>
  <si>
    <t>205|站桩怪</t>
  </si>
  <si>
    <t>205|炮灰怪</t>
  </si>
  <si>
    <t>205|精英怪</t>
  </si>
  <si>
    <t>205|精英盾怪</t>
  </si>
  <si>
    <t>205|Boss</t>
  </si>
  <si>
    <t>205|装备副本Boss</t>
  </si>
  <si>
    <t>206|普通怪</t>
  </si>
  <si>
    <t>206|盾怪</t>
  </si>
  <si>
    <t>206|二级普通怪</t>
  </si>
  <si>
    <t>206|站桩怪</t>
  </si>
  <si>
    <t>206|炮灰怪</t>
  </si>
  <si>
    <t>206|精英怪</t>
  </si>
  <si>
    <t>206|精英盾怪</t>
  </si>
  <si>
    <t>206|Boss</t>
  </si>
  <si>
    <t>206|装备副本Boss</t>
  </si>
  <si>
    <t>207|普通怪</t>
  </si>
  <si>
    <t>207|盾怪</t>
  </si>
  <si>
    <t>207|二级普通怪</t>
  </si>
  <si>
    <t>207|站桩怪</t>
  </si>
  <si>
    <t>207|炮灰怪</t>
  </si>
  <si>
    <t>207|精英怪</t>
  </si>
  <si>
    <t>207|精英盾怪</t>
  </si>
  <si>
    <t>207|Boss</t>
  </si>
  <si>
    <t>207|装备副本Boss</t>
  </si>
  <si>
    <t>208|普通怪</t>
  </si>
  <si>
    <t>208|盾怪</t>
  </si>
  <si>
    <t>208|二级普通怪</t>
  </si>
  <si>
    <t>208|站桩怪</t>
  </si>
  <si>
    <t>208|炮灰怪</t>
  </si>
  <si>
    <t>208|精英怪</t>
  </si>
  <si>
    <t>208|精英盾怪</t>
  </si>
  <si>
    <t>208|Boss</t>
  </si>
  <si>
    <t>208|装备副本Boss</t>
  </si>
  <si>
    <t>209|普通怪</t>
  </si>
  <si>
    <t>209|盾怪</t>
  </si>
  <si>
    <t>209|二级普通怪</t>
  </si>
  <si>
    <t>209|站桩怪</t>
  </si>
  <si>
    <t>209|炮灰怪</t>
  </si>
  <si>
    <t>209|精英怪</t>
  </si>
  <si>
    <t>209|精英盾怪</t>
  </si>
  <si>
    <t>209|Boss</t>
  </si>
  <si>
    <t>209|装备副本Boss</t>
  </si>
  <si>
    <t>210|普通怪</t>
  </si>
  <si>
    <t>210|盾怪</t>
  </si>
  <si>
    <t>210|二级普通怪</t>
  </si>
  <si>
    <t>210|站桩怪</t>
  </si>
  <si>
    <t>210|炮灰怪</t>
  </si>
  <si>
    <t>210|精英怪</t>
  </si>
  <si>
    <t>210|精英盾怪</t>
  </si>
  <si>
    <t>210|Boss</t>
  </si>
  <si>
    <t>210|装备副本Boss</t>
  </si>
  <si>
    <t>211|普通怪</t>
  </si>
  <si>
    <t>211|盾怪</t>
  </si>
  <si>
    <t>211|二级普通怪</t>
  </si>
  <si>
    <t>211|站桩怪</t>
  </si>
  <si>
    <t>211|炮灰怪</t>
  </si>
  <si>
    <t>211|精英怪</t>
  </si>
  <si>
    <t>211|精英盾怪</t>
  </si>
  <si>
    <t>211|Boss</t>
  </si>
  <si>
    <t>211|装备副本Boss</t>
  </si>
  <si>
    <t>212|普通怪</t>
  </si>
  <si>
    <t>212|盾怪</t>
  </si>
  <si>
    <t>212|二级普通怪</t>
  </si>
  <si>
    <t>212|站桩怪</t>
  </si>
  <si>
    <t>212|炮灰怪</t>
  </si>
  <si>
    <t>212|精英怪</t>
  </si>
  <si>
    <t>212|精英盾怪</t>
  </si>
  <si>
    <t>212|Boss</t>
  </si>
  <si>
    <t>212|装备副本Boss</t>
  </si>
  <si>
    <t>213|普通怪</t>
  </si>
  <si>
    <t>213|盾怪</t>
  </si>
  <si>
    <t>213|二级普通怪</t>
  </si>
  <si>
    <t>213|站桩怪</t>
  </si>
  <si>
    <t>213|炮灰怪</t>
  </si>
  <si>
    <t>213|精英怪</t>
  </si>
  <si>
    <t>213|精英盾怪</t>
  </si>
  <si>
    <t>213|Boss</t>
  </si>
  <si>
    <t>213|装备副本Boss</t>
  </si>
  <si>
    <t>214|普通怪</t>
  </si>
  <si>
    <t>214|盾怪</t>
  </si>
  <si>
    <t>214|二级普通怪</t>
  </si>
  <si>
    <t>214|站桩怪</t>
  </si>
  <si>
    <t>214|炮灰怪</t>
  </si>
  <si>
    <t>214|精英怪</t>
  </si>
  <si>
    <t>214|精英盾怪</t>
  </si>
  <si>
    <t>214|Boss</t>
  </si>
  <si>
    <t>214|装备副本Boss</t>
  </si>
  <si>
    <t>215|普通怪</t>
  </si>
  <si>
    <t>215|盾怪</t>
  </si>
  <si>
    <t>215|二级普通怪</t>
  </si>
  <si>
    <t>215|站桩怪</t>
  </si>
  <si>
    <t>215|炮灰怪</t>
  </si>
  <si>
    <t>215|精英怪</t>
  </si>
  <si>
    <t>215|精英盾怪</t>
  </si>
  <si>
    <t>215|Boss</t>
  </si>
  <si>
    <t>215|装备副本Boss</t>
  </si>
  <si>
    <t>216|普通怪</t>
  </si>
  <si>
    <t>216|盾怪</t>
  </si>
  <si>
    <t>216|二级普通怪</t>
  </si>
  <si>
    <t>216|站桩怪</t>
  </si>
  <si>
    <t>216|炮灰怪</t>
  </si>
  <si>
    <t>216|精英怪</t>
  </si>
  <si>
    <t>216|精英盾怪</t>
  </si>
  <si>
    <t>216|Boss</t>
  </si>
  <si>
    <t>216|装备副本Boss</t>
  </si>
  <si>
    <t>217|普通怪</t>
  </si>
  <si>
    <t>217|盾怪</t>
  </si>
  <si>
    <t>217|二级普通怪</t>
  </si>
  <si>
    <t>217|站桩怪</t>
  </si>
  <si>
    <t>217|炮灰怪</t>
  </si>
  <si>
    <t>217|精英怪</t>
  </si>
  <si>
    <t>217|精英盾怪</t>
  </si>
  <si>
    <t>217|Boss</t>
  </si>
  <si>
    <t>217|装备副本Boss</t>
  </si>
  <si>
    <t>218|普通怪</t>
  </si>
  <si>
    <t>218|盾怪</t>
  </si>
  <si>
    <t>218|二级普通怪</t>
  </si>
  <si>
    <t>218|站桩怪</t>
  </si>
  <si>
    <t>218|炮灰怪</t>
  </si>
  <si>
    <t>218|精英怪</t>
  </si>
  <si>
    <t>218|精英盾怪</t>
  </si>
  <si>
    <t>218|Boss</t>
  </si>
  <si>
    <t>218|装备副本Boss</t>
  </si>
  <si>
    <t>219|普通怪</t>
  </si>
  <si>
    <t>219|盾怪</t>
  </si>
  <si>
    <t>219|二级普通怪</t>
  </si>
  <si>
    <t>219|站桩怪</t>
  </si>
  <si>
    <t>219|炮灰怪</t>
  </si>
  <si>
    <t>219|精英怪</t>
  </si>
  <si>
    <t>219|精英盾怪</t>
  </si>
  <si>
    <t>219|Boss</t>
  </si>
  <si>
    <t>219|装备副本Boss</t>
  </si>
  <si>
    <t>220|普通怪</t>
  </si>
  <si>
    <t>220|盾怪</t>
  </si>
  <si>
    <t>220|二级普通怪</t>
  </si>
  <si>
    <t>220|站桩怪</t>
  </si>
  <si>
    <t>220|炮灰怪</t>
  </si>
  <si>
    <t>220|精英怪</t>
  </si>
  <si>
    <t>220|精英盾怪</t>
  </si>
  <si>
    <t>220|Boss</t>
  </si>
  <si>
    <t>220|装备副本Boss</t>
  </si>
  <si>
    <t>221|普通怪</t>
  </si>
  <si>
    <t>221|盾怪</t>
  </si>
  <si>
    <t>221|二级普通怪</t>
  </si>
  <si>
    <t>221|站桩怪</t>
  </si>
  <si>
    <t>221|炮灰怪</t>
  </si>
  <si>
    <t>221|精英怪</t>
  </si>
  <si>
    <t>221|精英盾怪</t>
  </si>
  <si>
    <t>221|Boss</t>
  </si>
  <si>
    <t>221|装备副本Boss</t>
  </si>
  <si>
    <t>222|普通怪</t>
  </si>
  <si>
    <t>222|盾怪</t>
  </si>
  <si>
    <t>222|二级普通怪</t>
  </si>
  <si>
    <t>222|站桩怪</t>
  </si>
  <si>
    <t>222|炮灰怪</t>
  </si>
  <si>
    <t>222|精英怪</t>
  </si>
  <si>
    <t>222|精英盾怪</t>
  </si>
  <si>
    <t>222|Boss</t>
  </si>
  <si>
    <t>222|装备副本Boss</t>
  </si>
  <si>
    <t>223|普通怪</t>
  </si>
  <si>
    <t>223|盾怪</t>
  </si>
  <si>
    <t>223|二级普通怪</t>
  </si>
  <si>
    <t>223|站桩怪</t>
  </si>
  <si>
    <t>223|炮灰怪</t>
  </si>
  <si>
    <t>223|精英怪</t>
  </si>
  <si>
    <t>223|精英盾怪</t>
  </si>
  <si>
    <t>223|Boss</t>
  </si>
  <si>
    <t>223|装备副本Boss</t>
  </si>
  <si>
    <t>224|普通怪</t>
  </si>
  <si>
    <t>224|盾怪</t>
  </si>
  <si>
    <t>224|二级普通怪</t>
  </si>
  <si>
    <t>224|站桩怪</t>
  </si>
  <si>
    <t>224|炮灰怪</t>
  </si>
  <si>
    <t>224|精英怪</t>
  </si>
  <si>
    <t>224|精英盾怪</t>
  </si>
  <si>
    <t>224|Boss</t>
  </si>
  <si>
    <t>224|装备副本Boss</t>
  </si>
  <si>
    <t>225|普通怪</t>
  </si>
  <si>
    <t>225|盾怪</t>
  </si>
  <si>
    <t>225|二级普通怪</t>
  </si>
  <si>
    <t>225|站桩怪</t>
  </si>
  <si>
    <t>225|炮灰怪</t>
  </si>
  <si>
    <t>225|精英怪</t>
  </si>
  <si>
    <t>225|精英盾怪</t>
  </si>
  <si>
    <t>225|Boss</t>
  </si>
  <si>
    <t>225|装备副本Boss</t>
  </si>
  <si>
    <t>226|普通怪</t>
  </si>
  <si>
    <t>226|盾怪</t>
  </si>
  <si>
    <t>226|二级普通怪</t>
  </si>
  <si>
    <t>226|站桩怪</t>
  </si>
  <si>
    <t>226|炮灰怪</t>
  </si>
  <si>
    <t>226|精英怪</t>
  </si>
  <si>
    <t>226|精英盾怪</t>
  </si>
  <si>
    <t>226|Boss</t>
  </si>
  <si>
    <t>226|装备副本Boss</t>
  </si>
  <si>
    <t>227|普通怪</t>
  </si>
  <si>
    <t>227|盾怪</t>
  </si>
  <si>
    <t>227|二级普通怪</t>
  </si>
  <si>
    <t>227|站桩怪</t>
  </si>
  <si>
    <t>227|炮灰怪</t>
  </si>
  <si>
    <t>227|精英怪</t>
  </si>
  <si>
    <t>227|精英盾怪</t>
  </si>
  <si>
    <t>227|Boss</t>
  </si>
  <si>
    <t>227|装备副本Boss</t>
  </si>
  <si>
    <t>228|普通怪</t>
  </si>
  <si>
    <t>228|盾怪</t>
  </si>
  <si>
    <t>228|二级普通怪</t>
  </si>
  <si>
    <t>228|站桩怪</t>
  </si>
  <si>
    <t>228|炮灰怪</t>
  </si>
  <si>
    <t>228|精英怪</t>
  </si>
  <si>
    <t>228|精英盾怪</t>
  </si>
  <si>
    <t>228|Boss</t>
  </si>
  <si>
    <t>228|装备副本Boss</t>
  </si>
  <si>
    <t>229|普通怪</t>
  </si>
  <si>
    <t>229|盾怪</t>
  </si>
  <si>
    <t>229|二级普通怪</t>
  </si>
  <si>
    <t>229|站桩怪</t>
  </si>
  <si>
    <t>229|炮灰怪</t>
  </si>
  <si>
    <t>229|精英怪</t>
  </si>
  <si>
    <t>229|精英盾怪</t>
  </si>
  <si>
    <t>229|Boss</t>
  </si>
  <si>
    <t>229|装备副本Boss</t>
  </si>
  <si>
    <t>230|普通怪</t>
  </si>
  <si>
    <t>230|盾怪</t>
  </si>
  <si>
    <t>230|二级普通怪</t>
  </si>
  <si>
    <t>230|站桩怪</t>
  </si>
  <si>
    <t>230|炮灰怪</t>
  </si>
  <si>
    <t>230|精英怪</t>
  </si>
  <si>
    <t>230|精英盾怪</t>
  </si>
  <si>
    <t>230|Boss</t>
  </si>
  <si>
    <t>230|装备副本Boss</t>
  </si>
  <si>
    <t>231|普通怪</t>
  </si>
  <si>
    <t>231|盾怪</t>
  </si>
  <si>
    <t>231|二级普通怪</t>
  </si>
  <si>
    <t>231|站桩怪</t>
  </si>
  <si>
    <t>231|炮灰怪</t>
  </si>
  <si>
    <t>231|精英怪</t>
  </si>
  <si>
    <t>231|精英盾怪</t>
  </si>
  <si>
    <t>231|Boss</t>
  </si>
  <si>
    <t>231|装备副本Boss</t>
  </si>
  <si>
    <t>232|普通怪</t>
  </si>
  <si>
    <t>232|盾怪</t>
  </si>
  <si>
    <t>232|二级普通怪</t>
  </si>
  <si>
    <t>232|站桩怪</t>
  </si>
  <si>
    <t>232|炮灰怪</t>
  </si>
  <si>
    <t>232|精英怪</t>
  </si>
  <si>
    <t>232|精英盾怪</t>
  </si>
  <si>
    <t>232|Boss</t>
  </si>
  <si>
    <t>232|装备副本Boss</t>
  </si>
  <si>
    <t>233|普通怪</t>
  </si>
  <si>
    <t>233|盾怪</t>
  </si>
  <si>
    <t>233|二级普通怪</t>
  </si>
  <si>
    <t>233|站桩怪</t>
  </si>
  <si>
    <t>233|炮灰怪</t>
  </si>
  <si>
    <t>233|精英怪</t>
  </si>
  <si>
    <t>233|精英盾怪</t>
  </si>
  <si>
    <t>233|Boss</t>
  </si>
  <si>
    <t>233|装备副本Boss</t>
  </si>
  <si>
    <t>234|普通怪</t>
  </si>
  <si>
    <t>234|盾怪</t>
  </si>
  <si>
    <t>234|二级普通怪</t>
  </si>
  <si>
    <t>234|站桩怪</t>
  </si>
  <si>
    <t>234|炮灰怪</t>
  </si>
  <si>
    <t>234|精英怪</t>
  </si>
  <si>
    <t>234|精英盾怪</t>
  </si>
  <si>
    <t>234|Boss</t>
  </si>
  <si>
    <t>234|装备副本Boss</t>
  </si>
  <si>
    <t>235|普通怪</t>
  </si>
  <si>
    <t>235|盾怪</t>
  </si>
  <si>
    <t>235|二级普通怪</t>
  </si>
  <si>
    <t>235|站桩怪</t>
  </si>
  <si>
    <t>235|炮灰怪</t>
  </si>
  <si>
    <t>235|精英怪</t>
  </si>
  <si>
    <t>235|精英盾怪</t>
  </si>
  <si>
    <t>235|Boss</t>
  </si>
  <si>
    <t>235|装备副本Boss</t>
  </si>
  <si>
    <t>236|普通怪</t>
  </si>
  <si>
    <t>236|盾怪</t>
  </si>
  <si>
    <t>236|二级普通怪</t>
  </si>
  <si>
    <t>236|站桩怪</t>
  </si>
  <si>
    <t>236|炮灰怪</t>
  </si>
  <si>
    <t>236|精英怪</t>
  </si>
  <si>
    <t>236|精英盾怪</t>
  </si>
  <si>
    <t>236|Boss</t>
  </si>
  <si>
    <t>236|装备副本Boss</t>
  </si>
  <si>
    <t>237|普通怪</t>
  </si>
  <si>
    <t>237|盾怪</t>
  </si>
  <si>
    <t>237|二级普通怪</t>
  </si>
  <si>
    <t>237|站桩怪</t>
  </si>
  <si>
    <t>237|炮灰怪</t>
  </si>
  <si>
    <t>237|精英怪</t>
  </si>
  <si>
    <t>237|精英盾怪</t>
  </si>
  <si>
    <t>237|Boss</t>
  </si>
  <si>
    <t>237|装备副本Boss</t>
  </si>
  <si>
    <t>238|普通怪</t>
  </si>
  <si>
    <t>238|盾怪</t>
  </si>
  <si>
    <t>238|二级普通怪</t>
  </si>
  <si>
    <t>238|站桩怪</t>
  </si>
  <si>
    <t>238|炮灰怪</t>
  </si>
  <si>
    <t>238|精英怪</t>
  </si>
  <si>
    <t>238|精英盾怪</t>
  </si>
  <si>
    <t>238|Boss</t>
  </si>
  <si>
    <t>238|装备副本Boss</t>
  </si>
  <si>
    <t>239|普通怪</t>
  </si>
  <si>
    <t>239|盾怪</t>
  </si>
  <si>
    <t>239|二级普通怪</t>
  </si>
  <si>
    <t>239|站桩怪</t>
  </si>
  <si>
    <t>239|炮灰怪</t>
  </si>
  <si>
    <t>239|精英怪</t>
  </si>
  <si>
    <t>239|精英盾怪</t>
  </si>
  <si>
    <t>239|Boss</t>
  </si>
  <si>
    <t>239|装备副本Boss</t>
  </si>
  <si>
    <t>240|普通怪</t>
  </si>
  <si>
    <t>240|盾怪</t>
  </si>
  <si>
    <t>240|二级普通怪</t>
  </si>
  <si>
    <t>240|站桩怪</t>
  </si>
  <si>
    <t>240|炮灰怪</t>
  </si>
  <si>
    <t>240|精英怪</t>
  </si>
  <si>
    <t>240|精英盾怪</t>
  </si>
  <si>
    <t>240|Boss</t>
  </si>
  <si>
    <t>240|装备副本Boss</t>
  </si>
  <si>
    <t>241|普通怪</t>
  </si>
  <si>
    <t>241|盾怪</t>
  </si>
  <si>
    <t>241|二级普通怪</t>
  </si>
  <si>
    <t>241|站桩怪</t>
  </si>
  <si>
    <t>241|炮灰怪</t>
  </si>
  <si>
    <t>241|精英怪</t>
  </si>
  <si>
    <t>241|精英盾怪</t>
  </si>
  <si>
    <t>241|Boss</t>
  </si>
  <si>
    <t>241|装备副本Boss</t>
  </si>
  <si>
    <t>242|普通怪</t>
  </si>
  <si>
    <t>242|盾怪</t>
  </si>
  <si>
    <t>242|二级普通怪</t>
  </si>
  <si>
    <t>242|站桩怪</t>
  </si>
  <si>
    <t>242|炮灰怪</t>
  </si>
  <si>
    <t>242|精英怪</t>
  </si>
  <si>
    <t>242|精英盾怪</t>
  </si>
  <si>
    <t>242|Boss</t>
  </si>
  <si>
    <t>242|装备副本Boss</t>
  </si>
  <si>
    <t>243|普通怪</t>
  </si>
  <si>
    <t>243|盾怪</t>
  </si>
  <si>
    <t>243|二级普通怪</t>
  </si>
  <si>
    <t>243|站桩怪</t>
  </si>
  <si>
    <t>243|炮灰怪</t>
  </si>
  <si>
    <t>243|精英怪</t>
  </si>
  <si>
    <t>243|精英盾怪</t>
  </si>
  <si>
    <t>243|Boss</t>
  </si>
  <si>
    <t>243|装备副本Boss</t>
  </si>
  <si>
    <t>244|普通怪</t>
  </si>
  <si>
    <t>244|盾怪</t>
  </si>
  <si>
    <t>244|二级普通怪</t>
  </si>
  <si>
    <t>244|站桩怪</t>
  </si>
  <si>
    <t>244|炮灰怪</t>
  </si>
  <si>
    <t>244|精英怪</t>
  </si>
  <si>
    <t>244|精英盾怪</t>
  </si>
  <si>
    <t>244|Boss</t>
  </si>
  <si>
    <t>244|装备副本Boss</t>
  </si>
  <si>
    <t>245|普通怪</t>
  </si>
  <si>
    <t>245|盾怪</t>
  </si>
  <si>
    <t>245|二级普通怪</t>
  </si>
  <si>
    <t>245|站桩怪</t>
  </si>
  <si>
    <t>245|炮灰怪</t>
  </si>
  <si>
    <t>245|精英怪</t>
  </si>
  <si>
    <t>245|精英盾怪</t>
  </si>
  <si>
    <t>245|Boss</t>
  </si>
  <si>
    <t>245|装备副本Boss</t>
  </si>
  <si>
    <t>246|普通怪</t>
  </si>
  <si>
    <t>246|盾怪</t>
  </si>
  <si>
    <t>246|二级普通怪</t>
  </si>
  <si>
    <t>246|站桩怪</t>
  </si>
  <si>
    <t>246|炮灰怪</t>
  </si>
  <si>
    <t>246|精英怪</t>
  </si>
  <si>
    <t>246|精英盾怪</t>
  </si>
  <si>
    <t>246|Boss</t>
  </si>
  <si>
    <t>246|装备副本Boss</t>
  </si>
  <si>
    <t>247|普通怪</t>
  </si>
  <si>
    <t>247|盾怪</t>
  </si>
  <si>
    <t>247|二级普通怪</t>
  </si>
  <si>
    <t>247|站桩怪</t>
  </si>
  <si>
    <t>247|炮灰怪</t>
  </si>
  <si>
    <t>247|精英怪</t>
  </si>
  <si>
    <t>247|精英盾怪</t>
  </si>
  <si>
    <t>247|Boss</t>
  </si>
  <si>
    <t>247|装备副本Boss</t>
  </si>
  <si>
    <t>248|普通怪</t>
  </si>
  <si>
    <t>248|盾怪</t>
  </si>
  <si>
    <t>248|二级普通怪</t>
  </si>
  <si>
    <t>248|站桩怪</t>
  </si>
  <si>
    <t>248|炮灰怪</t>
  </si>
  <si>
    <t>248|精英怪</t>
  </si>
  <si>
    <t>248|精英盾怪</t>
  </si>
  <si>
    <t>248|Boss</t>
  </si>
  <si>
    <t>248|装备副本Boss</t>
  </si>
  <si>
    <t>249|普通怪</t>
  </si>
  <si>
    <t>249|盾怪</t>
  </si>
  <si>
    <t>249|二级普通怪</t>
  </si>
  <si>
    <t>249|站桩怪</t>
  </si>
  <si>
    <t>249|炮灰怪</t>
  </si>
  <si>
    <t>249|精英怪</t>
  </si>
  <si>
    <t>249|精英盾怪</t>
  </si>
  <si>
    <t>249|Boss</t>
  </si>
  <si>
    <t>249|装备副本Boss</t>
  </si>
  <si>
    <t>250|普通怪</t>
  </si>
  <si>
    <t>250|盾怪</t>
  </si>
  <si>
    <t>250|二级普通怪</t>
  </si>
  <si>
    <t>250|站桩怪</t>
  </si>
  <si>
    <t>250|炮灰怪</t>
  </si>
  <si>
    <t>250|精英怪</t>
  </si>
  <si>
    <t>250|精英盾怪</t>
  </si>
  <si>
    <t>250|Boss</t>
  </si>
  <si>
    <t>250|装备副本Boss</t>
  </si>
  <si>
    <t>251|普通怪</t>
  </si>
  <si>
    <t>251|盾怪</t>
  </si>
  <si>
    <t>251|二级普通怪</t>
  </si>
  <si>
    <t>251|站桩怪</t>
  </si>
  <si>
    <t>251|炮灰怪</t>
  </si>
  <si>
    <t>251|精英怪</t>
  </si>
  <si>
    <t>251|精英盾怪</t>
  </si>
  <si>
    <t>251|Boss</t>
  </si>
  <si>
    <t>251|装备副本Boss</t>
  </si>
  <si>
    <t>252|普通怪</t>
  </si>
  <si>
    <t>252|盾怪</t>
  </si>
  <si>
    <t>252|二级普通怪</t>
  </si>
  <si>
    <t>252|站桩怪</t>
  </si>
  <si>
    <t>252|炮灰怪</t>
  </si>
  <si>
    <t>252|精英怪</t>
  </si>
  <si>
    <t>252|精英盾怪</t>
  </si>
  <si>
    <t>252|Boss</t>
  </si>
  <si>
    <t>252|装备副本Boss</t>
  </si>
  <si>
    <t>253|普通怪</t>
  </si>
  <si>
    <t>253|盾怪</t>
  </si>
  <si>
    <t>253|二级普通怪</t>
  </si>
  <si>
    <t>253|站桩怪</t>
  </si>
  <si>
    <t>253|炮灰怪</t>
  </si>
  <si>
    <t>253|精英怪</t>
  </si>
  <si>
    <t>253|精英盾怪</t>
  </si>
  <si>
    <t>253|Boss</t>
  </si>
  <si>
    <t>253|装备副本Boss</t>
  </si>
  <si>
    <t>254|普通怪</t>
  </si>
  <si>
    <t>254|盾怪</t>
  </si>
  <si>
    <t>254|二级普通怪</t>
  </si>
  <si>
    <t>254|站桩怪</t>
  </si>
  <si>
    <t>254|炮灰怪</t>
  </si>
  <si>
    <t>254|精英怪</t>
  </si>
  <si>
    <t>254|精英盾怪</t>
  </si>
  <si>
    <t>254|Boss</t>
  </si>
  <si>
    <t>254|装备副本Boss</t>
  </si>
  <si>
    <t>255|普通怪</t>
  </si>
  <si>
    <t>255|盾怪</t>
  </si>
  <si>
    <t>255|二级普通怪</t>
  </si>
  <si>
    <t>255|站桩怪</t>
  </si>
  <si>
    <t>255|炮灰怪</t>
  </si>
  <si>
    <t>255|精英怪</t>
  </si>
  <si>
    <t>255|精英盾怪</t>
  </si>
  <si>
    <t>255|Boss</t>
  </si>
  <si>
    <t>255|装备副本Boss</t>
  </si>
  <si>
    <t>256|普通怪</t>
  </si>
  <si>
    <t>256|盾怪</t>
  </si>
  <si>
    <t>256|二级普通怪</t>
  </si>
  <si>
    <t>256|站桩怪</t>
  </si>
  <si>
    <t>256|炮灰怪</t>
  </si>
  <si>
    <t>256|精英怪</t>
  </si>
  <si>
    <t>256|精英盾怪</t>
  </si>
  <si>
    <t>256|Boss</t>
  </si>
  <si>
    <t>256|装备副本Boss</t>
  </si>
  <si>
    <t>257|普通怪</t>
  </si>
  <si>
    <t>257|盾怪</t>
  </si>
  <si>
    <t>257|二级普通怪</t>
  </si>
  <si>
    <t>257|站桩怪</t>
  </si>
  <si>
    <t>257|炮灰怪</t>
  </si>
  <si>
    <t>257|精英怪</t>
  </si>
  <si>
    <t>257|精英盾怪</t>
  </si>
  <si>
    <t>257|Boss</t>
  </si>
  <si>
    <t>257|装备副本Boss</t>
  </si>
  <si>
    <t>258|普通怪</t>
  </si>
  <si>
    <t>258|盾怪</t>
  </si>
  <si>
    <t>258|二级普通怪</t>
  </si>
  <si>
    <t>258|站桩怪</t>
  </si>
  <si>
    <t>258|炮灰怪</t>
  </si>
  <si>
    <t>258|精英怪</t>
  </si>
  <si>
    <t>258|精英盾怪</t>
  </si>
  <si>
    <t>258|Boss</t>
  </si>
  <si>
    <t>258|装备副本Boss</t>
  </si>
  <si>
    <t>259|普通怪</t>
  </si>
  <si>
    <t>259|盾怪</t>
  </si>
  <si>
    <t>259|二级普通怪</t>
  </si>
  <si>
    <t>259|站桩怪</t>
  </si>
  <si>
    <t>259|炮灰怪</t>
  </si>
  <si>
    <t>259|精英怪</t>
  </si>
  <si>
    <t>259|精英盾怪</t>
  </si>
  <si>
    <t>259|Boss</t>
  </si>
  <si>
    <t>259|装备副本Boss</t>
  </si>
  <si>
    <t>260|普通怪</t>
  </si>
  <si>
    <t>260|盾怪</t>
  </si>
  <si>
    <t>260|二级普通怪</t>
  </si>
  <si>
    <t>260|站桩怪</t>
  </si>
  <si>
    <t>260|炮灰怪</t>
  </si>
  <si>
    <t>260|精英怪</t>
  </si>
  <si>
    <t>260|精英盾怪</t>
  </si>
  <si>
    <t>260|Boss</t>
  </si>
  <si>
    <t>260|装备副本Boss</t>
  </si>
  <si>
    <t>261|普通怪</t>
  </si>
  <si>
    <t>261|盾怪</t>
  </si>
  <si>
    <t>261|二级普通怪</t>
  </si>
  <si>
    <t>261|站桩怪</t>
  </si>
  <si>
    <t>261|炮灰怪</t>
  </si>
  <si>
    <t>261|精英怪</t>
  </si>
  <si>
    <t>261|精英盾怪</t>
  </si>
  <si>
    <t>261|Boss</t>
  </si>
  <si>
    <t>261|装备副本Boss</t>
  </si>
  <si>
    <t>262|普通怪</t>
  </si>
  <si>
    <t>262|盾怪</t>
  </si>
  <si>
    <t>262|二级普通怪</t>
  </si>
  <si>
    <t>262|站桩怪</t>
  </si>
  <si>
    <t>262|炮灰怪</t>
  </si>
  <si>
    <t>262|精英怪</t>
  </si>
  <si>
    <t>262|精英盾怪</t>
  </si>
  <si>
    <t>262|Boss</t>
  </si>
  <si>
    <t>262|装备副本Boss</t>
  </si>
  <si>
    <t>263|普通怪</t>
  </si>
  <si>
    <t>263|盾怪</t>
  </si>
  <si>
    <t>263|二级普通怪</t>
  </si>
  <si>
    <t>263|站桩怪</t>
  </si>
  <si>
    <t>263|炮灰怪</t>
  </si>
  <si>
    <t>263|精英怪</t>
  </si>
  <si>
    <t>263|精英盾怪</t>
  </si>
  <si>
    <t>263|Boss</t>
  </si>
  <si>
    <t>263|装备副本Boss</t>
  </si>
  <si>
    <t>264|普通怪</t>
  </si>
  <si>
    <t>264|盾怪</t>
  </si>
  <si>
    <t>264|二级普通怪</t>
  </si>
  <si>
    <t>264|站桩怪</t>
  </si>
  <si>
    <t>264|炮灰怪</t>
  </si>
  <si>
    <t>264|精英怪</t>
  </si>
  <si>
    <t>264|精英盾怪</t>
  </si>
  <si>
    <t>264|Boss</t>
  </si>
  <si>
    <t>264|装备副本Boss</t>
  </si>
  <si>
    <t>265|普通怪</t>
  </si>
  <si>
    <t>265|盾怪</t>
  </si>
  <si>
    <t>265|二级普通怪</t>
  </si>
  <si>
    <t>265|站桩怪</t>
  </si>
  <si>
    <t>265|炮灰怪</t>
  </si>
  <si>
    <t>265|精英怪</t>
  </si>
  <si>
    <t>265|精英盾怪</t>
  </si>
  <si>
    <t>265|Boss</t>
  </si>
  <si>
    <t>265|装备副本Boss</t>
  </si>
  <si>
    <t>266|普通怪</t>
  </si>
  <si>
    <t>266|盾怪</t>
  </si>
  <si>
    <t>266|二级普通怪</t>
  </si>
  <si>
    <t>266|站桩怪</t>
  </si>
  <si>
    <t>266|炮灰怪</t>
  </si>
  <si>
    <t>266|精英怪</t>
  </si>
  <si>
    <t>266|精英盾怪</t>
  </si>
  <si>
    <t>266|Boss</t>
  </si>
  <si>
    <t>266|装备副本Boss</t>
  </si>
  <si>
    <t>267|普通怪</t>
  </si>
  <si>
    <t>267|盾怪</t>
  </si>
  <si>
    <t>267|二级普通怪</t>
  </si>
  <si>
    <t>267|站桩怪</t>
  </si>
  <si>
    <t>267|炮灰怪</t>
  </si>
  <si>
    <t>267|精英怪</t>
  </si>
  <si>
    <t>267|精英盾怪</t>
  </si>
  <si>
    <t>267|Boss</t>
  </si>
  <si>
    <t>267|装备副本Boss</t>
  </si>
  <si>
    <t>268|普通怪</t>
  </si>
  <si>
    <t>268|盾怪</t>
  </si>
  <si>
    <t>268|二级普通怪</t>
  </si>
  <si>
    <t>268|站桩怪</t>
  </si>
  <si>
    <t>268|炮灰怪</t>
  </si>
  <si>
    <t>268|精英怪</t>
  </si>
  <si>
    <t>268|精英盾怪</t>
  </si>
  <si>
    <t>268|Boss</t>
  </si>
  <si>
    <t>268|装备副本Boss</t>
  </si>
  <si>
    <t>269|普通怪</t>
  </si>
  <si>
    <t>269|盾怪</t>
  </si>
  <si>
    <t>269|二级普通怪</t>
  </si>
  <si>
    <t>269|站桩怪</t>
  </si>
  <si>
    <t>269|炮灰怪</t>
  </si>
  <si>
    <t>269|精英怪</t>
  </si>
  <si>
    <t>269|精英盾怪</t>
  </si>
  <si>
    <t>269|Boss</t>
  </si>
  <si>
    <t>269|装备副本Boss</t>
  </si>
  <si>
    <t>270|普通怪</t>
  </si>
  <si>
    <t>270|盾怪</t>
  </si>
  <si>
    <t>270|二级普通怪</t>
  </si>
  <si>
    <t>270|站桩怪</t>
  </si>
  <si>
    <t>270|炮灰怪</t>
  </si>
  <si>
    <t>270|精英怪</t>
  </si>
  <si>
    <t>270|精英盾怪</t>
  </si>
  <si>
    <t>270|Boss</t>
  </si>
  <si>
    <t>270|装备副本Boss</t>
  </si>
  <si>
    <t>271|普通怪</t>
  </si>
  <si>
    <t>271|盾怪</t>
  </si>
  <si>
    <t>271|二级普通怪</t>
  </si>
  <si>
    <t>271|站桩怪</t>
  </si>
  <si>
    <t>271|炮灰怪</t>
  </si>
  <si>
    <t>271|精英怪</t>
  </si>
  <si>
    <t>271|精英盾怪</t>
  </si>
  <si>
    <t>271|Boss</t>
  </si>
  <si>
    <t>271|装备副本Boss</t>
  </si>
  <si>
    <t>272|普通怪</t>
  </si>
  <si>
    <t>272|盾怪</t>
  </si>
  <si>
    <t>272|二级普通怪</t>
  </si>
  <si>
    <t>272|站桩怪</t>
  </si>
  <si>
    <t>272|炮灰怪</t>
  </si>
  <si>
    <t>272|精英怪</t>
  </si>
  <si>
    <t>272|精英盾怪</t>
  </si>
  <si>
    <t>272|Boss</t>
  </si>
  <si>
    <t>272|装备副本Boss</t>
  </si>
  <si>
    <t>273|普通怪</t>
  </si>
  <si>
    <t>273|盾怪</t>
  </si>
  <si>
    <t>273|二级普通怪</t>
  </si>
  <si>
    <t>273|站桩怪</t>
  </si>
  <si>
    <t>273|炮灰怪</t>
  </si>
  <si>
    <t>273|精英怪</t>
  </si>
  <si>
    <t>273|精英盾怪</t>
  </si>
  <si>
    <t>273|Boss</t>
  </si>
  <si>
    <t>273|装备副本Boss</t>
  </si>
  <si>
    <t>274|普通怪</t>
  </si>
  <si>
    <t>274|盾怪</t>
  </si>
  <si>
    <t>274|二级普通怪</t>
  </si>
  <si>
    <t>274|站桩怪</t>
  </si>
  <si>
    <t>274|炮灰怪</t>
  </si>
  <si>
    <t>274|精英怪</t>
  </si>
  <si>
    <t>274|精英盾怪</t>
  </si>
  <si>
    <t>274|Boss</t>
  </si>
  <si>
    <t>274|装备副本Boss</t>
  </si>
  <si>
    <t>275|普通怪</t>
  </si>
  <si>
    <t>275|盾怪</t>
  </si>
  <si>
    <t>275|二级普通怪</t>
  </si>
  <si>
    <t>275|站桩怪</t>
  </si>
  <si>
    <t>275|炮灰怪</t>
  </si>
  <si>
    <t>275|精英怪</t>
  </si>
  <si>
    <t>275|精英盾怪</t>
  </si>
  <si>
    <t>275|Boss</t>
  </si>
  <si>
    <t>275|装备副本Boss</t>
  </si>
  <si>
    <t>276|普通怪</t>
  </si>
  <si>
    <t>276|盾怪</t>
  </si>
  <si>
    <t>276|二级普通怪</t>
  </si>
  <si>
    <t>276|站桩怪</t>
  </si>
  <si>
    <t>276|炮灰怪</t>
  </si>
  <si>
    <t>276|精英怪</t>
  </si>
  <si>
    <t>276|精英盾怪</t>
  </si>
  <si>
    <t>276|Boss</t>
  </si>
  <si>
    <t>276|装备副本Boss</t>
  </si>
  <si>
    <t>277|普通怪</t>
  </si>
  <si>
    <t>277|盾怪</t>
  </si>
  <si>
    <t>277|二级普通怪</t>
  </si>
  <si>
    <t>277|站桩怪</t>
  </si>
  <si>
    <t>277|炮灰怪</t>
  </si>
  <si>
    <t>277|精英怪</t>
  </si>
  <si>
    <t>277|精英盾怪</t>
  </si>
  <si>
    <t>277|Boss</t>
  </si>
  <si>
    <t>277|装备副本Boss</t>
  </si>
  <si>
    <t>278|普通怪</t>
  </si>
  <si>
    <t>278|盾怪</t>
  </si>
  <si>
    <t>278|二级普通怪</t>
  </si>
  <si>
    <t>278|站桩怪</t>
  </si>
  <si>
    <t>278|炮灰怪</t>
  </si>
  <si>
    <t>278|精英怪</t>
  </si>
  <si>
    <t>278|精英盾怪</t>
  </si>
  <si>
    <t>278|Boss</t>
  </si>
  <si>
    <t>278|装备副本Boss</t>
  </si>
  <si>
    <t>279|普通怪</t>
  </si>
  <si>
    <t>279|盾怪</t>
  </si>
  <si>
    <t>279|二级普通怪</t>
  </si>
  <si>
    <t>279|站桩怪</t>
  </si>
  <si>
    <t>279|炮灰怪</t>
  </si>
  <si>
    <t>279|精英怪</t>
  </si>
  <si>
    <t>279|精英盾怪</t>
  </si>
  <si>
    <t>279|Boss</t>
  </si>
  <si>
    <t>279|装备副本Boss</t>
  </si>
  <si>
    <t>280|普通怪</t>
  </si>
  <si>
    <t>280|盾怪</t>
  </si>
  <si>
    <t>280|二级普通怪</t>
  </si>
  <si>
    <t>280|站桩怪</t>
  </si>
  <si>
    <t>280|炮灰怪</t>
  </si>
  <si>
    <t>280|精英怪</t>
  </si>
  <si>
    <t>280|精英盾怪</t>
  </si>
  <si>
    <t>280|Boss</t>
  </si>
  <si>
    <t>280|装备副本Boss</t>
  </si>
  <si>
    <t>281|普通怪</t>
  </si>
  <si>
    <t>281|盾怪</t>
  </si>
  <si>
    <t>281|二级普通怪</t>
  </si>
  <si>
    <t>281|站桩怪</t>
  </si>
  <si>
    <t>281|炮灰怪</t>
  </si>
  <si>
    <t>281|精英怪</t>
  </si>
  <si>
    <t>281|精英盾怪</t>
  </si>
  <si>
    <t>281|Boss</t>
  </si>
  <si>
    <t>281|装备副本Boss</t>
  </si>
  <si>
    <t>282|普通怪</t>
  </si>
  <si>
    <t>282|盾怪</t>
  </si>
  <si>
    <t>282|二级普通怪</t>
  </si>
  <si>
    <t>282|站桩怪</t>
  </si>
  <si>
    <t>282|炮灰怪</t>
  </si>
  <si>
    <t>282|精英怪</t>
  </si>
  <si>
    <t>282|精英盾怪</t>
  </si>
  <si>
    <t>282|Boss</t>
  </si>
  <si>
    <t>282|装备副本Boss</t>
  </si>
  <si>
    <t>283|普通怪</t>
  </si>
  <si>
    <t>283|盾怪</t>
  </si>
  <si>
    <t>283|二级普通怪</t>
  </si>
  <si>
    <t>283|站桩怪</t>
  </si>
  <si>
    <t>283|炮灰怪</t>
  </si>
  <si>
    <t>283|精英怪</t>
  </si>
  <si>
    <t>283|精英盾怪</t>
  </si>
  <si>
    <t>283|Boss</t>
  </si>
  <si>
    <t>283|装备副本Boss</t>
  </si>
  <si>
    <t>284|普通怪</t>
  </si>
  <si>
    <t>284|盾怪</t>
  </si>
  <si>
    <t>284|二级普通怪</t>
  </si>
  <si>
    <t>284|站桩怪</t>
  </si>
  <si>
    <t>284|炮灰怪</t>
  </si>
  <si>
    <t>284|精英怪</t>
  </si>
  <si>
    <t>284|精英盾怪</t>
  </si>
  <si>
    <t>284|Boss</t>
  </si>
  <si>
    <t>284|装备副本Boss</t>
  </si>
  <si>
    <t>285|普通怪</t>
  </si>
  <si>
    <t>285|盾怪</t>
  </si>
  <si>
    <t>285|二级普通怪</t>
  </si>
  <si>
    <t>285|站桩怪</t>
  </si>
  <si>
    <t>285|炮灰怪</t>
  </si>
  <si>
    <t>285|精英怪</t>
  </si>
  <si>
    <t>285|精英盾怪</t>
  </si>
  <si>
    <t>285|Boss</t>
  </si>
  <si>
    <t>285|装备副本Boss</t>
  </si>
  <si>
    <t>286|普通怪</t>
  </si>
  <si>
    <t>286|盾怪</t>
  </si>
  <si>
    <t>286|二级普通怪</t>
  </si>
  <si>
    <t>286|站桩怪</t>
  </si>
  <si>
    <t>286|炮灰怪</t>
  </si>
  <si>
    <t>286|精英怪</t>
  </si>
  <si>
    <t>286|精英盾怪</t>
  </si>
  <si>
    <t>286|Boss</t>
  </si>
  <si>
    <t>286|装备副本Boss</t>
  </si>
  <si>
    <t>287|普通怪</t>
  </si>
  <si>
    <t>287|盾怪</t>
  </si>
  <si>
    <t>287|二级普通怪</t>
  </si>
  <si>
    <t>287|站桩怪</t>
  </si>
  <si>
    <t>287|炮灰怪</t>
  </si>
  <si>
    <t>287|精英怪</t>
  </si>
  <si>
    <t>287|精英盾怪</t>
  </si>
  <si>
    <t>287|Boss</t>
  </si>
  <si>
    <t>287|装备副本Boss</t>
  </si>
  <si>
    <t>288|普通怪</t>
  </si>
  <si>
    <t>288|盾怪</t>
  </si>
  <si>
    <t>288|二级普通怪</t>
  </si>
  <si>
    <t>288|站桩怪</t>
  </si>
  <si>
    <t>288|炮灰怪</t>
  </si>
  <si>
    <t>288|精英怪</t>
  </si>
  <si>
    <t>288|精英盾怪</t>
  </si>
  <si>
    <t>288|Boss</t>
  </si>
  <si>
    <t>288|装备副本Boss</t>
  </si>
  <si>
    <t>289|普通怪</t>
  </si>
  <si>
    <t>289|盾怪</t>
  </si>
  <si>
    <t>289|二级普通怪</t>
  </si>
  <si>
    <t>289|站桩怪</t>
  </si>
  <si>
    <t>289|炮灰怪</t>
  </si>
  <si>
    <t>289|精英怪</t>
  </si>
  <si>
    <t>289|精英盾怪</t>
  </si>
  <si>
    <t>289|Boss</t>
  </si>
  <si>
    <t>289|装备副本Boss</t>
  </si>
  <si>
    <t>290|普通怪</t>
  </si>
  <si>
    <t>290|盾怪</t>
  </si>
  <si>
    <t>290|二级普通怪</t>
  </si>
  <si>
    <t>290|站桩怪</t>
  </si>
  <si>
    <t>290|炮灰怪</t>
  </si>
  <si>
    <t>290|精英怪</t>
  </si>
  <si>
    <t>290|精英盾怪</t>
  </si>
  <si>
    <t>290|Boss</t>
  </si>
  <si>
    <t>290|装备副本Boss</t>
  </si>
  <si>
    <t>291|普通怪</t>
  </si>
  <si>
    <t>291|盾怪</t>
  </si>
  <si>
    <t>291|二级普通怪</t>
  </si>
  <si>
    <t>291|站桩怪</t>
  </si>
  <si>
    <t>291|炮灰怪</t>
  </si>
  <si>
    <t>291|精英怪</t>
  </si>
  <si>
    <t>291|精英盾怪</t>
  </si>
  <si>
    <t>291|Boss</t>
  </si>
  <si>
    <t>291|装备副本Boss</t>
  </si>
  <si>
    <t>292|普通怪</t>
  </si>
  <si>
    <t>292|盾怪</t>
  </si>
  <si>
    <t>292|二级普通怪</t>
  </si>
  <si>
    <t>292|站桩怪</t>
  </si>
  <si>
    <t>292|炮灰怪</t>
  </si>
  <si>
    <t>292|精英怪</t>
  </si>
  <si>
    <t>292|精英盾怪</t>
  </si>
  <si>
    <t>292|Boss</t>
  </si>
  <si>
    <t>292|装备副本Boss</t>
  </si>
  <si>
    <t>293|普通怪</t>
  </si>
  <si>
    <t>293|盾怪</t>
  </si>
  <si>
    <t>293|二级普通怪</t>
  </si>
  <si>
    <t>293|站桩怪</t>
  </si>
  <si>
    <t>293|炮灰怪</t>
  </si>
  <si>
    <t>293|精英怪</t>
  </si>
  <si>
    <t>293|精英盾怪</t>
  </si>
  <si>
    <t>293|Boss</t>
  </si>
  <si>
    <t>293|装备副本Boss</t>
  </si>
  <si>
    <t>294|普通怪</t>
  </si>
  <si>
    <t>294|盾怪</t>
  </si>
  <si>
    <t>294|二级普通怪</t>
  </si>
  <si>
    <t>294|站桩怪</t>
  </si>
  <si>
    <t>294|炮灰怪</t>
  </si>
  <si>
    <t>294|精英怪</t>
  </si>
  <si>
    <t>294|精英盾怪</t>
  </si>
  <si>
    <t>294|Boss</t>
  </si>
  <si>
    <t>294|装备副本Boss</t>
  </si>
  <si>
    <t>295|普通怪</t>
  </si>
  <si>
    <t>295|盾怪</t>
  </si>
  <si>
    <t>295|二级普通怪</t>
  </si>
  <si>
    <t>295|站桩怪</t>
  </si>
  <si>
    <t>295|炮灰怪</t>
  </si>
  <si>
    <t>295|精英怪</t>
  </si>
  <si>
    <t>295|精英盾怪</t>
  </si>
  <si>
    <t>295|Boss</t>
  </si>
  <si>
    <t>295|装备副本Boss</t>
  </si>
  <si>
    <t>296|普通怪</t>
  </si>
  <si>
    <t>296|盾怪</t>
  </si>
  <si>
    <t>296|二级普通怪</t>
  </si>
  <si>
    <t>296|站桩怪</t>
  </si>
  <si>
    <t>296|炮灰怪</t>
  </si>
  <si>
    <t>296|精英怪</t>
  </si>
  <si>
    <t>296|精英盾怪</t>
  </si>
  <si>
    <t>296|Boss</t>
  </si>
  <si>
    <t>296|装备副本Boss</t>
  </si>
  <si>
    <t>297|普通怪</t>
  </si>
  <si>
    <t>297|盾怪</t>
  </si>
  <si>
    <t>297|二级普通怪</t>
  </si>
  <si>
    <t>297|站桩怪</t>
  </si>
  <si>
    <t>297|炮灰怪</t>
  </si>
  <si>
    <t>297|精英怪</t>
  </si>
  <si>
    <t>297|精英盾怪</t>
  </si>
  <si>
    <t>297|Boss</t>
  </si>
  <si>
    <t>297|装备副本Boss</t>
  </si>
  <si>
    <t>298|普通怪</t>
  </si>
  <si>
    <t>298|盾怪</t>
  </si>
  <si>
    <t>298|二级普通怪</t>
  </si>
  <si>
    <t>298|站桩怪</t>
  </si>
  <si>
    <t>298|炮灰怪</t>
  </si>
  <si>
    <t>298|精英怪</t>
  </si>
  <si>
    <t>298|精英盾怪</t>
  </si>
  <si>
    <t>298|Boss</t>
  </si>
  <si>
    <t>298|装备副本Boss</t>
  </si>
  <si>
    <t>299|普通怪</t>
  </si>
  <si>
    <t>299|盾怪</t>
  </si>
  <si>
    <t>299|二级普通怪</t>
  </si>
  <si>
    <t>299|站桩怪</t>
  </si>
  <si>
    <t>299|炮灰怪</t>
  </si>
  <si>
    <t>299|精英怪</t>
  </si>
  <si>
    <t>299|精英盾怪</t>
  </si>
  <si>
    <t>299|Boss</t>
  </si>
  <si>
    <t>299|装备副本Boss</t>
  </si>
  <si>
    <t>300|普通怪</t>
  </si>
  <si>
    <t>300|盾怪</t>
  </si>
  <si>
    <t>300|二级普通怪</t>
  </si>
  <si>
    <t>300|站桩怪</t>
  </si>
  <si>
    <t>300|炮灰怪</t>
  </si>
  <si>
    <t>300|精英怪</t>
  </si>
  <si>
    <t>300|精英盾怪</t>
  </si>
  <si>
    <t>300|Boss</t>
  </si>
  <si>
    <t>300|装备副本Boss</t>
  </si>
  <si>
    <t>301|普通怪</t>
  </si>
  <si>
    <t>301|盾怪</t>
  </si>
  <si>
    <t>301|二级普通怪</t>
  </si>
  <si>
    <t>301|站桩怪</t>
  </si>
  <si>
    <t>301|炮灰怪</t>
  </si>
  <si>
    <t>301|精英怪</t>
  </si>
  <si>
    <t>301|精英盾怪</t>
  </si>
  <si>
    <t>301|Boss</t>
  </si>
  <si>
    <t>301|装备副本Boss</t>
  </si>
  <si>
    <t>302|普通怪</t>
  </si>
  <si>
    <t>302|盾怪</t>
  </si>
  <si>
    <t>302|二级普通怪</t>
  </si>
  <si>
    <t>302|站桩怪</t>
  </si>
  <si>
    <t>302|炮灰怪</t>
  </si>
  <si>
    <t>302|精英怪</t>
  </si>
  <si>
    <t>302|精英盾怪</t>
  </si>
  <si>
    <t>302|Boss</t>
  </si>
  <si>
    <t>302|装备副本Boss</t>
  </si>
  <si>
    <t>303|普通怪</t>
  </si>
  <si>
    <t>303|盾怪</t>
  </si>
  <si>
    <t>303|二级普通怪</t>
  </si>
  <si>
    <t>303|站桩怪</t>
  </si>
  <si>
    <t>303|炮灰怪</t>
  </si>
  <si>
    <t>303|精英怪</t>
  </si>
  <si>
    <t>303|精英盾怪</t>
  </si>
  <si>
    <t>303|Boss</t>
  </si>
  <si>
    <t>303|装备副本Boss</t>
  </si>
  <si>
    <t>304|普通怪</t>
  </si>
  <si>
    <t>304|盾怪</t>
  </si>
  <si>
    <t>304|二级普通怪</t>
  </si>
  <si>
    <t>304|站桩怪</t>
  </si>
  <si>
    <t>304|炮灰怪</t>
  </si>
  <si>
    <t>304|精英怪</t>
  </si>
  <si>
    <t>304|精英盾怪</t>
  </si>
  <si>
    <t>304|Boss</t>
  </si>
  <si>
    <t>304|装备副本Boss</t>
  </si>
  <si>
    <t>305|普通怪</t>
  </si>
  <si>
    <t>305|盾怪</t>
  </si>
  <si>
    <t>305|二级普通怪</t>
  </si>
  <si>
    <t>305|站桩怪</t>
  </si>
  <si>
    <t>305|炮灰怪</t>
  </si>
  <si>
    <t>305|精英怪</t>
  </si>
  <si>
    <t>305|精英盾怪</t>
  </si>
  <si>
    <t>305|Boss</t>
  </si>
  <si>
    <t>305|装备副本Boss</t>
  </si>
  <si>
    <t>306|普通怪</t>
  </si>
  <si>
    <t>306|盾怪</t>
  </si>
  <si>
    <t>306|二级普通怪</t>
  </si>
  <si>
    <t>306|站桩怪</t>
  </si>
  <si>
    <t>306|炮灰怪</t>
  </si>
  <si>
    <t>306|精英怪</t>
  </si>
  <si>
    <t>306|精英盾怪</t>
  </si>
  <si>
    <t>306|Boss</t>
  </si>
  <si>
    <t>306|装备副本Boss</t>
  </si>
  <si>
    <t>307|普通怪</t>
  </si>
  <si>
    <t>307|盾怪</t>
  </si>
  <si>
    <t>307|二级普通怪</t>
  </si>
  <si>
    <t>307|站桩怪</t>
  </si>
  <si>
    <t>307|炮灰怪</t>
  </si>
  <si>
    <t>307|精英怪</t>
  </si>
  <si>
    <t>307|精英盾怪</t>
  </si>
  <si>
    <t>307|Boss</t>
  </si>
  <si>
    <t>307|装备副本Boss</t>
  </si>
  <si>
    <t>308|普通怪</t>
  </si>
  <si>
    <t>308|盾怪</t>
  </si>
  <si>
    <t>308|二级普通怪</t>
  </si>
  <si>
    <t>308|站桩怪</t>
  </si>
  <si>
    <t>308|炮灰怪</t>
  </si>
  <si>
    <t>308|精英怪</t>
  </si>
  <si>
    <t>308|精英盾怪</t>
  </si>
  <si>
    <t>308|Boss</t>
  </si>
  <si>
    <t>308|装备副本Boss</t>
  </si>
  <si>
    <t>309|普通怪</t>
  </si>
  <si>
    <t>309|盾怪</t>
  </si>
  <si>
    <t>309|二级普通怪</t>
  </si>
  <si>
    <t>309|站桩怪</t>
  </si>
  <si>
    <t>309|炮灰怪</t>
  </si>
  <si>
    <t>309|精英怪</t>
  </si>
  <si>
    <t>309|精英盾怪</t>
  </si>
  <si>
    <t>309|Boss</t>
  </si>
  <si>
    <t>309|装备副本Boss</t>
  </si>
  <si>
    <t>310|普通怪</t>
  </si>
  <si>
    <t>310|盾怪</t>
  </si>
  <si>
    <t>310|二级普通怪</t>
  </si>
  <si>
    <t>310|站桩怪</t>
  </si>
  <si>
    <t>310|炮灰怪</t>
  </si>
  <si>
    <t>310|精英怪</t>
  </si>
  <si>
    <t>310|精英盾怪</t>
  </si>
  <si>
    <t>310|Boss</t>
  </si>
  <si>
    <t>310|装备副本Boss</t>
  </si>
  <si>
    <t>311|普通怪</t>
  </si>
  <si>
    <t>311|盾怪</t>
  </si>
  <si>
    <t>311|二级普通怪</t>
  </si>
  <si>
    <t>311|站桩怪</t>
  </si>
  <si>
    <t>311|炮灰怪</t>
  </si>
  <si>
    <t>311|精英怪</t>
  </si>
  <si>
    <t>311|精英盾怪</t>
  </si>
  <si>
    <t>311|Boss</t>
  </si>
  <si>
    <t>311|装备副本Boss</t>
  </si>
  <si>
    <t>312|普通怪</t>
  </si>
  <si>
    <t>312|盾怪</t>
  </si>
  <si>
    <t>312|二级普通怪</t>
  </si>
  <si>
    <t>312|站桩怪</t>
  </si>
  <si>
    <t>312|炮灰怪</t>
  </si>
  <si>
    <t>312|精英怪</t>
  </si>
  <si>
    <t>312|精英盾怪</t>
  </si>
  <si>
    <t>312|Boss</t>
  </si>
  <si>
    <t>312|装备副本Boss</t>
  </si>
  <si>
    <t>313|普通怪</t>
  </si>
  <si>
    <t>313|盾怪</t>
  </si>
  <si>
    <t>313|二级普通怪</t>
  </si>
  <si>
    <t>313|站桩怪</t>
  </si>
  <si>
    <t>313|炮灰怪</t>
  </si>
  <si>
    <t>313|精英怪</t>
  </si>
  <si>
    <t>313|精英盾怪</t>
  </si>
  <si>
    <t>313|Boss</t>
  </si>
  <si>
    <t>313|装备副本Boss</t>
  </si>
  <si>
    <t>314|普通怪</t>
  </si>
  <si>
    <t>314|盾怪</t>
  </si>
  <si>
    <t>314|二级普通怪</t>
  </si>
  <si>
    <t>314|站桩怪</t>
  </si>
  <si>
    <t>314|炮灰怪</t>
  </si>
  <si>
    <t>314|精英怪</t>
  </si>
  <si>
    <t>314|精英盾怪</t>
  </si>
  <si>
    <t>314|Boss</t>
  </si>
  <si>
    <t>314|装备副本Boss</t>
  </si>
  <si>
    <t>315|普通怪</t>
  </si>
  <si>
    <t>315|盾怪</t>
  </si>
  <si>
    <t>315|二级普通怪</t>
  </si>
  <si>
    <t>315|站桩怪</t>
  </si>
  <si>
    <t>315|炮灰怪</t>
  </si>
  <si>
    <t>315|精英怪</t>
  </si>
  <si>
    <t>315|精英盾怪</t>
  </si>
  <si>
    <t>315|Boss</t>
  </si>
  <si>
    <t>315|装备副本Boss</t>
  </si>
  <si>
    <t>316|普通怪</t>
  </si>
  <si>
    <t>316|盾怪</t>
  </si>
  <si>
    <t>316|二级普通怪</t>
  </si>
  <si>
    <t>316|站桩怪</t>
  </si>
  <si>
    <t>316|炮灰怪</t>
  </si>
  <si>
    <t>316|精英怪</t>
  </si>
  <si>
    <t>316|精英盾怪</t>
  </si>
  <si>
    <t>316|Boss</t>
  </si>
  <si>
    <t>316|装备副本Boss</t>
  </si>
  <si>
    <t>317|普通怪</t>
  </si>
  <si>
    <t>317|盾怪</t>
  </si>
  <si>
    <t>317|二级普通怪</t>
  </si>
  <si>
    <t>317|站桩怪</t>
  </si>
  <si>
    <t>317|炮灰怪</t>
  </si>
  <si>
    <t>317|精英怪</t>
  </si>
  <si>
    <t>317|精英盾怪</t>
  </si>
  <si>
    <t>317|Boss</t>
  </si>
  <si>
    <t>317|装备副本Boss</t>
  </si>
  <si>
    <t>318|普通怪</t>
  </si>
  <si>
    <t>318|盾怪</t>
  </si>
  <si>
    <t>318|二级普通怪</t>
  </si>
  <si>
    <t>318|站桩怪</t>
  </si>
  <si>
    <t>318|炮灰怪</t>
  </si>
  <si>
    <t>318|精英怪</t>
  </si>
  <si>
    <t>318|精英盾怪</t>
  </si>
  <si>
    <t>318|Boss</t>
  </si>
  <si>
    <t>318|装备副本Boss</t>
  </si>
  <si>
    <t>319|普通怪</t>
  </si>
  <si>
    <t>319|盾怪</t>
  </si>
  <si>
    <t>319|二级普通怪</t>
  </si>
  <si>
    <t>319|站桩怪</t>
  </si>
  <si>
    <t>319|炮灰怪</t>
  </si>
  <si>
    <t>319|精英怪</t>
  </si>
  <si>
    <t>319|精英盾怪</t>
  </si>
  <si>
    <t>319|Boss</t>
  </si>
  <si>
    <t>319|装备副本Boss</t>
  </si>
  <si>
    <t>320|普通怪</t>
  </si>
  <si>
    <t>320|盾怪</t>
  </si>
  <si>
    <t>320|二级普通怪</t>
  </si>
  <si>
    <t>320|站桩怪</t>
  </si>
  <si>
    <t>320|炮灰怪</t>
  </si>
  <si>
    <t>320|精英怪</t>
  </si>
  <si>
    <t>320|精英盾怪</t>
  </si>
  <si>
    <t>320|Boss</t>
  </si>
  <si>
    <t>320|装备副本Boss</t>
  </si>
  <si>
    <t>321|普通怪</t>
  </si>
  <si>
    <t>321|盾怪</t>
  </si>
  <si>
    <t>321|二级普通怪</t>
  </si>
  <si>
    <t>321|站桩怪</t>
  </si>
  <si>
    <t>321|炮灰怪</t>
  </si>
  <si>
    <t>321|精英怪</t>
  </si>
  <si>
    <t>321|精英盾怪</t>
  </si>
  <si>
    <t>321|Boss</t>
  </si>
  <si>
    <t>321|装备副本Boss</t>
  </si>
  <si>
    <t>322|普通怪</t>
  </si>
  <si>
    <t>322|盾怪</t>
  </si>
  <si>
    <t>322|二级普通怪</t>
  </si>
  <si>
    <t>322|站桩怪</t>
  </si>
  <si>
    <t>322|炮灰怪</t>
  </si>
  <si>
    <t>322|精英怪</t>
  </si>
  <si>
    <t>322|精英盾怪</t>
  </si>
  <si>
    <t>322|Boss</t>
  </si>
  <si>
    <t>322|装备副本Boss</t>
  </si>
  <si>
    <t>323|普通怪</t>
  </si>
  <si>
    <t>323|盾怪</t>
  </si>
  <si>
    <t>323|二级普通怪</t>
  </si>
  <si>
    <t>323|站桩怪</t>
  </si>
  <si>
    <t>323|炮灰怪</t>
  </si>
  <si>
    <t>323|精英怪</t>
  </si>
  <si>
    <t>323|精英盾怪</t>
  </si>
  <si>
    <t>323|Boss</t>
  </si>
  <si>
    <t>323|装备副本Boss</t>
  </si>
  <si>
    <t>324|普通怪</t>
  </si>
  <si>
    <t>324|盾怪</t>
  </si>
  <si>
    <t>324|二级普通怪</t>
  </si>
  <si>
    <t>324|站桩怪</t>
  </si>
  <si>
    <t>324|炮灰怪</t>
  </si>
  <si>
    <t>324|精英怪</t>
  </si>
  <si>
    <t>324|精英盾怪</t>
  </si>
  <si>
    <t>324|Boss</t>
  </si>
  <si>
    <t>324|装备副本Boss</t>
  </si>
  <si>
    <t>325|普通怪</t>
  </si>
  <si>
    <t>325|盾怪</t>
  </si>
  <si>
    <t>325|二级普通怪</t>
  </si>
  <si>
    <t>325|站桩怪</t>
  </si>
  <si>
    <t>325|炮灰怪</t>
  </si>
  <si>
    <t>325|精英怪</t>
  </si>
  <si>
    <t>325|精英盾怪</t>
  </si>
  <si>
    <t>325|Boss</t>
  </si>
  <si>
    <t>325|装备副本Boss</t>
  </si>
  <si>
    <t>326|普通怪</t>
  </si>
  <si>
    <t>326|盾怪</t>
  </si>
  <si>
    <t>326|二级普通怪</t>
  </si>
  <si>
    <t>326|站桩怪</t>
  </si>
  <si>
    <t>326|炮灰怪</t>
  </si>
  <si>
    <t>326|精英怪</t>
  </si>
  <si>
    <t>326|精英盾怪</t>
  </si>
  <si>
    <t>326|Boss</t>
  </si>
  <si>
    <t>326|装备副本Boss</t>
  </si>
  <si>
    <t>327|普通怪</t>
  </si>
  <si>
    <t>327|盾怪</t>
  </si>
  <si>
    <t>327|二级普通怪</t>
  </si>
  <si>
    <t>327|站桩怪</t>
  </si>
  <si>
    <t>327|炮灰怪</t>
  </si>
  <si>
    <t>327|精英怪</t>
  </si>
  <si>
    <t>327|精英盾怪</t>
  </si>
  <si>
    <t>327|Boss</t>
  </si>
  <si>
    <t>327|装备副本Boss</t>
  </si>
  <si>
    <t>328|普通怪</t>
  </si>
  <si>
    <t>328|盾怪</t>
  </si>
  <si>
    <t>328|二级普通怪</t>
  </si>
  <si>
    <t>328|站桩怪</t>
  </si>
  <si>
    <t>328|炮灰怪</t>
  </si>
  <si>
    <t>328|精英怪</t>
  </si>
  <si>
    <t>328|精英盾怪</t>
  </si>
  <si>
    <t>328|Boss</t>
  </si>
  <si>
    <t>328|装备副本Boss</t>
  </si>
  <si>
    <t>329|普通怪</t>
  </si>
  <si>
    <t>329|盾怪</t>
  </si>
  <si>
    <t>329|二级普通怪</t>
  </si>
  <si>
    <t>329|站桩怪</t>
  </si>
  <si>
    <t>329|炮灰怪</t>
  </si>
  <si>
    <t>329|精英怪</t>
  </si>
  <si>
    <t>329|精英盾怪</t>
  </si>
  <si>
    <t>329|Boss</t>
  </si>
  <si>
    <t>329|装备副本Boss</t>
  </si>
  <si>
    <t>330|普通怪</t>
  </si>
  <si>
    <t>330|盾怪</t>
  </si>
  <si>
    <t>330|二级普通怪</t>
  </si>
  <si>
    <t>330|站桩怪</t>
  </si>
  <si>
    <t>330|炮灰怪</t>
  </si>
  <si>
    <t>330|精英怪</t>
  </si>
  <si>
    <t>330|精英盾怪</t>
  </si>
  <si>
    <t>330|Boss</t>
  </si>
  <si>
    <t>330|装备副本Boss</t>
  </si>
  <si>
    <t>331|普通怪</t>
  </si>
  <si>
    <t>331|盾怪</t>
  </si>
  <si>
    <t>331|二级普通怪</t>
  </si>
  <si>
    <t>331|站桩怪</t>
  </si>
  <si>
    <t>331|炮灰怪</t>
  </si>
  <si>
    <t>331|精英怪</t>
  </si>
  <si>
    <t>331|精英盾怪</t>
  </si>
  <si>
    <t>331|Boss</t>
  </si>
  <si>
    <t>331|装备副本Boss</t>
  </si>
  <si>
    <t>332|普通怪</t>
  </si>
  <si>
    <t>332|盾怪</t>
  </si>
  <si>
    <t>332|二级普通怪</t>
  </si>
  <si>
    <t>332|站桩怪</t>
  </si>
  <si>
    <t>332|炮灰怪</t>
  </si>
  <si>
    <t>332|精英怪</t>
  </si>
  <si>
    <t>332|精英盾怪</t>
  </si>
  <si>
    <t>332|Boss</t>
  </si>
  <si>
    <t>332|装备副本Boss</t>
  </si>
  <si>
    <t>333|普通怪</t>
  </si>
  <si>
    <t>333|盾怪</t>
  </si>
  <si>
    <t>333|二级普通怪</t>
  </si>
  <si>
    <t>333|站桩怪</t>
  </si>
  <si>
    <t>333|炮灰怪</t>
  </si>
  <si>
    <t>333|精英怪</t>
  </si>
  <si>
    <t>333|精英盾怪</t>
  </si>
  <si>
    <t>333|Boss</t>
  </si>
  <si>
    <t>333|装备副本Boss</t>
  </si>
  <si>
    <t>334|普通怪</t>
  </si>
  <si>
    <t>334|盾怪</t>
  </si>
  <si>
    <t>334|二级普通怪</t>
  </si>
  <si>
    <t>334|站桩怪</t>
  </si>
  <si>
    <t>334|炮灰怪</t>
  </si>
  <si>
    <t>334|精英怪</t>
  </si>
  <si>
    <t>334|精英盾怪</t>
  </si>
  <si>
    <t>334|Boss</t>
  </si>
  <si>
    <t>334|装备副本Boss</t>
  </si>
  <si>
    <t>335|普通怪</t>
  </si>
  <si>
    <t>335|盾怪</t>
  </si>
  <si>
    <t>335|二级普通怪</t>
  </si>
  <si>
    <t>335|站桩怪</t>
  </si>
  <si>
    <t>335|炮灰怪</t>
  </si>
  <si>
    <t>335|精英怪</t>
  </si>
  <si>
    <t>335|精英盾怪</t>
  </si>
  <si>
    <t>335|Boss</t>
  </si>
  <si>
    <t>335|装备副本Boss</t>
  </si>
  <si>
    <t>336|普通怪</t>
  </si>
  <si>
    <t>336|盾怪</t>
  </si>
  <si>
    <t>336|二级普通怪</t>
  </si>
  <si>
    <t>336|站桩怪</t>
  </si>
  <si>
    <t>336|炮灰怪</t>
  </si>
  <si>
    <t>336|精英怪</t>
  </si>
  <si>
    <t>336|精英盾怪</t>
  </si>
  <si>
    <t>336|Boss</t>
  </si>
  <si>
    <t>336|装备副本Boss</t>
  </si>
  <si>
    <t>337|普通怪</t>
  </si>
  <si>
    <t>337|盾怪</t>
  </si>
  <si>
    <t>337|二级普通怪</t>
  </si>
  <si>
    <t>337|站桩怪</t>
  </si>
  <si>
    <t>337|炮灰怪</t>
  </si>
  <si>
    <t>337|精英怪</t>
  </si>
  <si>
    <t>337|精英盾怪</t>
  </si>
  <si>
    <t>337|Boss</t>
  </si>
  <si>
    <t>337|装备副本Boss</t>
  </si>
  <si>
    <t>338|普通怪</t>
  </si>
  <si>
    <t>338|盾怪</t>
  </si>
  <si>
    <t>338|二级普通怪</t>
  </si>
  <si>
    <t>338|站桩怪</t>
  </si>
  <si>
    <t>338|炮灰怪</t>
  </si>
  <si>
    <t>338|精英怪</t>
  </si>
  <si>
    <t>338|精英盾怪</t>
  </si>
  <si>
    <t>338|Boss</t>
  </si>
  <si>
    <t>338|装备副本Boss</t>
  </si>
  <si>
    <t>339|普通怪</t>
  </si>
  <si>
    <t>339|盾怪</t>
  </si>
  <si>
    <t>339|二级普通怪</t>
  </si>
  <si>
    <t>339|站桩怪</t>
  </si>
  <si>
    <t>339|炮灰怪</t>
  </si>
  <si>
    <t>339|精英怪</t>
  </si>
  <si>
    <t>339|精英盾怪</t>
  </si>
  <si>
    <t>339|Boss</t>
  </si>
  <si>
    <t>339|装备副本Boss</t>
  </si>
  <si>
    <t>340|普通怪</t>
  </si>
  <si>
    <t>340|盾怪</t>
  </si>
  <si>
    <t>340|二级普通怪</t>
  </si>
  <si>
    <t>340|站桩怪</t>
  </si>
  <si>
    <t>340|炮灰怪</t>
  </si>
  <si>
    <t>340|精英怪</t>
  </si>
  <si>
    <t>340|精英盾怪</t>
  </si>
  <si>
    <t>340|Boss</t>
  </si>
  <si>
    <t>340|装备副本Boss</t>
  </si>
  <si>
    <t>341|普通怪</t>
  </si>
  <si>
    <t>341|盾怪</t>
  </si>
  <si>
    <t>341|二级普通怪</t>
  </si>
  <si>
    <t>341|站桩怪</t>
  </si>
  <si>
    <t>341|炮灰怪</t>
  </si>
  <si>
    <t>341|精英怪</t>
  </si>
  <si>
    <t>341|精英盾怪</t>
  </si>
  <si>
    <t>341|Boss</t>
  </si>
  <si>
    <t>341|装备副本Boss</t>
  </si>
  <si>
    <t>342|普通怪</t>
  </si>
  <si>
    <t>342|盾怪</t>
  </si>
  <si>
    <t>342|二级普通怪</t>
  </si>
  <si>
    <t>342|站桩怪</t>
  </si>
  <si>
    <t>342|炮灰怪</t>
  </si>
  <si>
    <t>342|精英怪</t>
  </si>
  <si>
    <t>342|精英盾怪</t>
  </si>
  <si>
    <t>342|Boss</t>
  </si>
  <si>
    <t>342|装备副本Boss</t>
  </si>
  <si>
    <t>343|普通怪</t>
  </si>
  <si>
    <t>343|盾怪</t>
  </si>
  <si>
    <t>343|二级普通怪</t>
  </si>
  <si>
    <t>343|站桩怪</t>
  </si>
  <si>
    <t>343|炮灰怪</t>
  </si>
  <si>
    <t>343|精英怪</t>
  </si>
  <si>
    <t>343|精英盾怪</t>
  </si>
  <si>
    <t>343|Boss</t>
  </si>
  <si>
    <t>343|装备副本Boss</t>
  </si>
  <si>
    <t>344|普通怪</t>
  </si>
  <si>
    <t>344|盾怪</t>
  </si>
  <si>
    <t>344|二级普通怪</t>
  </si>
  <si>
    <t>344|站桩怪</t>
  </si>
  <si>
    <t>344|炮灰怪</t>
  </si>
  <si>
    <t>344|精英怪</t>
  </si>
  <si>
    <t>344|精英盾怪</t>
  </si>
  <si>
    <t>344|Boss</t>
  </si>
  <si>
    <t>344|装备副本Boss</t>
  </si>
  <si>
    <t>345|普通怪</t>
  </si>
  <si>
    <t>345|盾怪</t>
  </si>
  <si>
    <t>345|二级普通怪</t>
  </si>
  <si>
    <t>345|站桩怪</t>
  </si>
  <si>
    <t>345|炮灰怪</t>
  </si>
  <si>
    <t>345|精英怪</t>
  </si>
  <si>
    <t>345|精英盾怪</t>
  </si>
  <si>
    <t>345|Boss</t>
  </si>
  <si>
    <t>345|装备副本Boss</t>
  </si>
  <si>
    <t>346|普通怪</t>
  </si>
  <si>
    <t>346|盾怪</t>
  </si>
  <si>
    <t>346|二级普通怪</t>
  </si>
  <si>
    <t>346|站桩怪</t>
  </si>
  <si>
    <t>346|炮灰怪</t>
  </si>
  <si>
    <t>346|精英怪</t>
  </si>
  <si>
    <t>346|精英盾怪</t>
  </si>
  <si>
    <t>346|Boss</t>
  </si>
  <si>
    <t>346|装备副本Boss</t>
  </si>
  <si>
    <t>347|普通怪</t>
  </si>
  <si>
    <t>347|盾怪</t>
  </si>
  <si>
    <t>347|二级普通怪</t>
  </si>
  <si>
    <t>347|站桩怪</t>
  </si>
  <si>
    <t>347|炮灰怪</t>
  </si>
  <si>
    <t>347|精英怪</t>
  </si>
  <si>
    <t>347|精英盾怪</t>
  </si>
  <si>
    <t>347|Boss</t>
  </si>
  <si>
    <t>347|装备副本Boss</t>
  </si>
  <si>
    <t>348|普通怪</t>
  </si>
  <si>
    <t>348|盾怪</t>
  </si>
  <si>
    <t>348|二级普通怪</t>
  </si>
  <si>
    <t>348|站桩怪</t>
  </si>
  <si>
    <t>348|炮灰怪</t>
  </si>
  <si>
    <t>348|精英怪</t>
  </si>
  <si>
    <t>348|精英盾怪</t>
  </si>
  <si>
    <t>348|Boss</t>
  </si>
  <si>
    <t>348|装备副本Boss</t>
  </si>
  <si>
    <t>349|普通怪</t>
  </si>
  <si>
    <t>349|盾怪</t>
  </si>
  <si>
    <t>349|二级普通怪</t>
  </si>
  <si>
    <t>349|站桩怪</t>
  </si>
  <si>
    <t>349|炮灰怪</t>
  </si>
  <si>
    <t>349|精英怪</t>
  </si>
  <si>
    <t>349|精英盾怪</t>
  </si>
  <si>
    <t>349|Boss</t>
  </si>
  <si>
    <t>349|装备副本Boss</t>
  </si>
  <si>
    <t>350|普通怪</t>
  </si>
  <si>
    <t>350|盾怪</t>
  </si>
  <si>
    <t>350|二级普通怪</t>
  </si>
  <si>
    <t>350|站桩怪</t>
  </si>
  <si>
    <t>350|炮灰怪</t>
  </si>
  <si>
    <t>350|精英怪</t>
  </si>
  <si>
    <t>350|精英盾怪</t>
  </si>
  <si>
    <t>350|Boss</t>
  </si>
  <si>
    <t>350|装备副本Boss</t>
  </si>
  <si>
    <t>351|普通怪</t>
  </si>
  <si>
    <t>351|盾怪</t>
  </si>
  <si>
    <t>351|二级普通怪</t>
  </si>
  <si>
    <t>351|站桩怪</t>
  </si>
  <si>
    <t>351|炮灰怪</t>
  </si>
  <si>
    <t>351|精英怪</t>
  </si>
  <si>
    <t>351|精英盾怪</t>
  </si>
  <si>
    <t>351|Boss</t>
  </si>
  <si>
    <t>351|装备副本Boss</t>
  </si>
  <si>
    <t>352|普通怪</t>
  </si>
  <si>
    <t>352|盾怪</t>
  </si>
  <si>
    <t>352|二级普通怪</t>
  </si>
  <si>
    <t>352|站桩怪</t>
  </si>
  <si>
    <t>352|炮灰怪</t>
  </si>
  <si>
    <t>352|精英怪</t>
  </si>
  <si>
    <t>352|精英盾怪</t>
  </si>
  <si>
    <t>352|Boss</t>
  </si>
  <si>
    <t>352|装备副本Boss</t>
  </si>
  <si>
    <t>353|普通怪</t>
  </si>
  <si>
    <t>353|盾怪</t>
  </si>
  <si>
    <t>353|二级普通怪</t>
  </si>
  <si>
    <t>353|站桩怪</t>
  </si>
  <si>
    <t>353|炮灰怪</t>
  </si>
  <si>
    <t>353|精英怪</t>
  </si>
  <si>
    <t>353|精英盾怪</t>
  </si>
  <si>
    <t>353|Boss</t>
  </si>
  <si>
    <t>353|装备副本Boss</t>
  </si>
  <si>
    <t>354|普通怪</t>
  </si>
  <si>
    <t>354|盾怪</t>
  </si>
  <si>
    <t>354|二级普通怪</t>
  </si>
  <si>
    <t>354|站桩怪</t>
  </si>
  <si>
    <t>354|炮灰怪</t>
  </si>
  <si>
    <t>354|精英怪</t>
  </si>
  <si>
    <t>354|精英盾怪</t>
  </si>
  <si>
    <t>354|Boss</t>
  </si>
  <si>
    <t>354|装备副本Boss</t>
  </si>
  <si>
    <t>355|普通怪</t>
  </si>
  <si>
    <t>355|盾怪</t>
  </si>
  <si>
    <t>355|二级普通怪</t>
  </si>
  <si>
    <t>355|站桩怪</t>
  </si>
  <si>
    <t>355|炮灰怪</t>
  </si>
  <si>
    <t>355|精英怪</t>
  </si>
  <si>
    <t>355|精英盾怪</t>
  </si>
  <si>
    <t>355|Boss</t>
  </si>
  <si>
    <t>355|装备副本Boss</t>
  </si>
  <si>
    <t>356|普通怪</t>
  </si>
  <si>
    <t>356|盾怪</t>
  </si>
  <si>
    <t>356|二级普通怪</t>
  </si>
  <si>
    <t>356|站桩怪</t>
  </si>
  <si>
    <t>356|炮灰怪</t>
  </si>
  <si>
    <t>356|精英怪</t>
  </si>
  <si>
    <t>356|精英盾怪</t>
  </si>
  <si>
    <t>356|Boss</t>
  </si>
  <si>
    <t>356|装备副本Boss</t>
  </si>
  <si>
    <t>357|普通怪</t>
  </si>
  <si>
    <t>357|盾怪</t>
  </si>
  <si>
    <t>357|二级普通怪</t>
  </si>
  <si>
    <t>357|站桩怪</t>
  </si>
  <si>
    <t>357|炮灰怪</t>
  </si>
  <si>
    <t>357|精英怪</t>
  </si>
  <si>
    <t>357|精英盾怪</t>
  </si>
  <si>
    <t>357|Boss</t>
  </si>
  <si>
    <t>357|装备副本Boss</t>
  </si>
  <si>
    <t>358|普通怪</t>
  </si>
  <si>
    <t>358|盾怪</t>
  </si>
  <si>
    <t>358|二级普通怪</t>
  </si>
  <si>
    <t>358|站桩怪</t>
  </si>
  <si>
    <t>358|炮灰怪</t>
  </si>
  <si>
    <t>358|精英怪</t>
  </si>
  <si>
    <t>358|精英盾怪</t>
  </si>
  <si>
    <t>358|Boss</t>
  </si>
  <si>
    <t>358|装备副本Boss</t>
  </si>
  <si>
    <t>359|普通怪</t>
  </si>
  <si>
    <t>359|盾怪</t>
  </si>
  <si>
    <t>359|二级普通怪</t>
  </si>
  <si>
    <t>359|站桩怪</t>
  </si>
  <si>
    <t>359|炮灰怪</t>
  </si>
  <si>
    <t>359|精英怪</t>
  </si>
  <si>
    <t>359|精英盾怪</t>
  </si>
  <si>
    <t>359|Boss</t>
  </si>
  <si>
    <t>359|装备副本Boss</t>
  </si>
  <si>
    <t>360|普通怪</t>
  </si>
  <si>
    <t>360|盾怪</t>
  </si>
  <si>
    <t>360|二级普通怪</t>
  </si>
  <si>
    <t>360|站桩怪</t>
  </si>
  <si>
    <t>360|炮灰怪</t>
  </si>
  <si>
    <t>360|精英怪</t>
  </si>
  <si>
    <t>360|精英盾怪</t>
  </si>
  <si>
    <t>360|Boss</t>
  </si>
  <si>
    <t>360|装备副本Boss</t>
  </si>
  <si>
    <t>361|普通怪</t>
  </si>
  <si>
    <t>361|盾怪</t>
  </si>
  <si>
    <t>361|二级普通怪</t>
  </si>
  <si>
    <t>361|站桩怪</t>
  </si>
  <si>
    <t>361|炮灰怪</t>
  </si>
  <si>
    <t>361|精英怪</t>
  </si>
  <si>
    <t>361|精英盾怪</t>
  </si>
  <si>
    <t>361|Boss</t>
  </si>
  <si>
    <t>361|装备副本Boss</t>
  </si>
  <si>
    <t>362|普通怪</t>
  </si>
  <si>
    <t>362|盾怪</t>
  </si>
  <si>
    <t>362|二级普通怪</t>
  </si>
  <si>
    <t>362|站桩怪</t>
  </si>
  <si>
    <t>362|炮灰怪</t>
  </si>
  <si>
    <t>362|精英怪</t>
  </si>
  <si>
    <t>362|精英盾怪</t>
  </si>
  <si>
    <t>362|Boss</t>
  </si>
  <si>
    <t>362|装备副本Boss</t>
  </si>
  <si>
    <t>363|普通怪</t>
  </si>
  <si>
    <t>363|盾怪</t>
  </si>
  <si>
    <t>363|二级普通怪</t>
  </si>
  <si>
    <t>363|站桩怪</t>
  </si>
  <si>
    <t>363|炮灰怪</t>
  </si>
  <si>
    <t>363|精英怪</t>
  </si>
  <si>
    <t>363|精英盾怪</t>
  </si>
  <si>
    <t>363|Boss</t>
  </si>
  <si>
    <t>363|装备副本Boss</t>
  </si>
  <si>
    <t>364|普通怪</t>
  </si>
  <si>
    <t>364|盾怪</t>
  </si>
  <si>
    <t>364|二级普通怪</t>
  </si>
  <si>
    <t>364|站桩怪</t>
  </si>
  <si>
    <t>364|炮灰怪</t>
  </si>
  <si>
    <t>364|精英怪</t>
  </si>
  <si>
    <t>364|精英盾怪</t>
  </si>
  <si>
    <t>364|Boss</t>
  </si>
  <si>
    <t>364|装备副本Boss</t>
  </si>
  <si>
    <t>365|普通怪</t>
  </si>
  <si>
    <t>365|盾怪</t>
  </si>
  <si>
    <t>365|二级普通怪</t>
  </si>
  <si>
    <t>365|站桩怪</t>
  </si>
  <si>
    <t>365|炮灰怪</t>
  </si>
  <si>
    <t>365|精英怪</t>
  </si>
  <si>
    <t>365|精英盾怪</t>
  </si>
  <si>
    <t>365|Boss</t>
  </si>
  <si>
    <t>365|装备副本Boss</t>
  </si>
  <si>
    <t>366|普通怪</t>
  </si>
  <si>
    <t>366|盾怪</t>
  </si>
  <si>
    <t>366|二级普通怪</t>
  </si>
  <si>
    <t>366|站桩怪</t>
  </si>
  <si>
    <t>366|炮灰怪</t>
  </si>
  <si>
    <t>366|精英怪</t>
  </si>
  <si>
    <t>366|精英盾怪</t>
  </si>
  <si>
    <t>366|Boss</t>
  </si>
  <si>
    <t>366|装备副本Boss</t>
  </si>
  <si>
    <t>367|普通怪</t>
  </si>
  <si>
    <t>367|盾怪</t>
  </si>
  <si>
    <t>367|二级普通怪</t>
  </si>
  <si>
    <t>367|站桩怪</t>
  </si>
  <si>
    <t>367|炮灰怪</t>
  </si>
  <si>
    <t>367|精英怪</t>
  </si>
  <si>
    <t>367|精英盾怪</t>
  </si>
  <si>
    <t>367|Boss</t>
  </si>
  <si>
    <t>367|装备副本Boss</t>
  </si>
  <si>
    <t>368|普通怪</t>
  </si>
  <si>
    <t>368|盾怪</t>
  </si>
  <si>
    <t>368|二级普通怪</t>
  </si>
  <si>
    <t>368|站桩怪</t>
  </si>
  <si>
    <t>368|炮灰怪</t>
  </si>
  <si>
    <t>368|精英怪</t>
  </si>
  <si>
    <t>368|精英盾怪</t>
  </si>
  <si>
    <t>368|Boss</t>
  </si>
  <si>
    <t>368|装备副本Boss</t>
  </si>
  <si>
    <t>369|普通怪</t>
  </si>
  <si>
    <t>369|盾怪</t>
  </si>
  <si>
    <t>369|二级普通怪</t>
  </si>
  <si>
    <t>369|站桩怪</t>
  </si>
  <si>
    <t>369|炮灰怪</t>
  </si>
  <si>
    <t>369|精英怪</t>
  </si>
  <si>
    <t>369|精英盾怪</t>
  </si>
  <si>
    <t>369|Boss</t>
  </si>
  <si>
    <t>369|装备副本Boss</t>
  </si>
  <si>
    <t>370|普通怪</t>
  </si>
  <si>
    <t>370|盾怪</t>
  </si>
  <si>
    <t>370|二级普通怪</t>
  </si>
  <si>
    <t>370|站桩怪</t>
  </si>
  <si>
    <t>370|炮灰怪</t>
  </si>
  <si>
    <t>370|精英怪</t>
  </si>
  <si>
    <t>370|精英盾怪</t>
  </si>
  <si>
    <t>370|Boss</t>
  </si>
  <si>
    <t>370|装备副本Boss</t>
  </si>
  <si>
    <t>371|普通怪</t>
  </si>
  <si>
    <t>371|盾怪</t>
  </si>
  <si>
    <t>371|二级普通怪</t>
  </si>
  <si>
    <t>371|站桩怪</t>
  </si>
  <si>
    <t>371|炮灰怪</t>
  </si>
  <si>
    <t>371|精英怪</t>
  </si>
  <si>
    <t>371|精英盾怪</t>
  </si>
  <si>
    <t>371|Boss</t>
  </si>
  <si>
    <t>371|装备副本Boss</t>
  </si>
  <si>
    <t>372|普通怪</t>
  </si>
  <si>
    <t>372|盾怪</t>
  </si>
  <si>
    <t>372|二级普通怪</t>
  </si>
  <si>
    <t>372|站桩怪</t>
  </si>
  <si>
    <t>372|炮灰怪</t>
  </si>
  <si>
    <t>372|精英怪</t>
  </si>
  <si>
    <t>372|精英盾怪</t>
  </si>
  <si>
    <t>372|Boss</t>
  </si>
  <si>
    <t>372|装备副本Boss</t>
  </si>
  <si>
    <t>373|普通怪</t>
  </si>
  <si>
    <t>373|盾怪</t>
  </si>
  <si>
    <t>373|二级普通怪</t>
  </si>
  <si>
    <t>373|站桩怪</t>
  </si>
  <si>
    <t>373|炮灰怪</t>
  </si>
  <si>
    <t>373|精英怪</t>
  </si>
  <si>
    <t>373|精英盾怪</t>
  </si>
  <si>
    <t>373|Boss</t>
  </si>
  <si>
    <t>373|装备副本Boss</t>
  </si>
  <si>
    <t>374|普通怪</t>
  </si>
  <si>
    <t>374|盾怪</t>
  </si>
  <si>
    <t>374|二级普通怪</t>
  </si>
  <si>
    <t>374|站桩怪</t>
  </si>
  <si>
    <t>374|炮灰怪</t>
  </si>
  <si>
    <t>374|精英怪</t>
  </si>
  <si>
    <t>374|精英盾怪</t>
  </si>
  <si>
    <t>374|Boss</t>
  </si>
  <si>
    <t>374|装备副本Boss</t>
  </si>
  <si>
    <t>375|普通怪</t>
  </si>
  <si>
    <t>375|盾怪</t>
  </si>
  <si>
    <t>375|二级普通怪</t>
  </si>
  <si>
    <t>375|站桩怪</t>
  </si>
  <si>
    <t>375|炮灰怪</t>
  </si>
  <si>
    <t>375|精英怪</t>
  </si>
  <si>
    <t>375|精英盾怪</t>
  </si>
  <si>
    <t>375|Boss</t>
  </si>
  <si>
    <t>375|装备副本Boss</t>
  </si>
  <si>
    <t>376|普通怪</t>
  </si>
  <si>
    <t>376|盾怪</t>
  </si>
  <si>
    <t>376|二级普通怪</t>
  </si>
  <si>
    <t>376|站桩怪</t>
  </si>
  <si>
    <t>376|炮灰怪</t>
  </si>
  <si>
    <t>376|精英怪</t>
  </si>
  <si>
    <t>376|精英盾怪</t>
  </si>
  <si>
    <t>376|Boss</t>
  </si>
  <si>
    <t>376|装备副本Boss</t>
  </si>
  <si>
    <t>377|普通怪</t>
  </si>
  <si>
    <t>377|盾怪</t>
  </si>
  <si>
    <t>377|二级普通怪</t>
  </si>
  <si>
    <t>377|站桩怪</t>
  </si>
  <si>
    <t>377|炮灰怪</t>
  </si>
  <si>
    <t>377|精英怪</t>
  </si>
  <si>
    <t>377|精英盾怪</t>
  </si>
  <si>
    <t>377|Boss</t>
  </si>
  <si>
    <t>377|装备副本Boss</t>
  </si>
  <si>
    <t>378|普通怪</t>
  </si>
  <si>
    <t>378|盾怪</t>
  </si>
  <si>
    <t>378|二级普通怪</t>
  </si>
  <si>
    <t>378|站桩怪</t>
  </si>
  <si>
    <t>378|炮灰怪</t>
  </si>
  <si>
    <t>378|精英怪</t>
  </si>
  <si>
    <t>378|精英盾怪</t>
  </si>
  <si>
    <t>378|Boss</t>
  </si>
  <si>
    <t>378|装备副本Boss</t>
  </si>
  <si>
    <t>379|普通怪</t>
  </si>
  <si>
    <t>379|盾怪</t>
  </si>
  <si>
    <t>379|二级普通怪</t>
  </si>
  <si>
    <t>379|站桩怪</t>
  </si>
  <si>
    <t>379|炮灰怪</t>
  </si>
  <si>
    <t>379|精英怪</t>
  </si>
  <si>
    <t>379|精英盾怪</t>
  </si>
  <si>
    <t>379|Boss</t>
  </si>
  <si>
    <t>379|装备副本Boss</t>
  </si>
  <si>
    <t>380|普通怪</t>
  </si>
  <si>
    <t>380|盾怪</t>
  </si>
  <si>
    <t>380|二级普通怪</t>
  </si>
  <si>
    <t>380|站桩怪</t>
  </si>
  <si>
    <t>380|炮灰怪</t>
  </si>
  <si>
    <t>380|精英怪</t>
  </si>
  <si>
    <t>380|精英盾怪</t>
  </si>
  <si>
    <t>380|Boss</t>
  </si>
  <si>
    <t>380|装备副本Boss</t>
  </si>
  <si>
    <t>381|普通怪</t>
  </si>
  <si>
    <t>381|盾怪</t>
  </si>
  <si>
    <t>381|二级普通怪</t>
  </si>
  <si>
    <t>381|站桩怪</t>
  </si>
  <si>
    <t>381|炮灰怪</t>
  </si>
  <si>
    <t>381|精英怪</t>
  </si>
  <si>
    <t>381|精英盾怪</t>
  </si>
  <si>
    <t>381|Boss</t>
  </si>
  <si>
    <t>381|装备副本Boss</t>
  </si>
  <si>
    <t>382|普通怪</t>
  </si>
  <si>
    <t>382|盾怪</t>
  </si>
  <si>
    <t>382|二级普通怪</t>
  </si>
  <si>
    <t>382|站桩怪</t>
  </si>
  <si>
    <t>382|炮灰怪</t>
  </si>
  <si>
    <t>382|精英怪</t>
  </si>
  <si>
    <t>382|精英盾怪</t>
  </si>
  <si>
    <t>382|Boss</t>
  </si>
  <si>
    <t>382|装备副本Boss</t>
  </si>
  <si>
    <t>383|普通怪</t>
  </si>
  <si>
    <t>383|盾怪</t>
  </si>
  <si>
    <t>383|二级普通怪</t>
  </si>
  <si>
    <t>383|站桩怪</t>
  </si>
  <si>
    <t>383|炮灰怪</t>
  </si>
  <si>
    <t>383|精英怪</t>
  </si>
  <si>
    <t>383|精英盾怪</t>
  </si>
  <si>
    <t>383|Boss</t>
  </si>
  <si>
    <t>383|装备副本Boss</t>
  </si>
  <si>
    <t>384|普通怪</t>
  </si>
  <si>
    <t>384|盾怪</t>
  </si>
  <si>
    <t>384|二级普通怪</t>
  </si>
  <si>
    <t>384|站桩怪</t>
  </si>
  <si>
    <t>384|炮灰怪</t>
  </si>
  <si>
    <t>384|精英怪</t>
  </si>
  <si>
    <t>384|精英盾怪</t>
  </si>
  <si>
    <t>384|Boss</t>
  </si>
  <si>
    <t>384|装备副本Boss</t>
  </si>
  <si>
    <t>385|普通怪</t>
  </si>
  <si>
    <t>385|盾怪</t>
  </si>
  <si>
    <t>385|二级普通怪</t>
  </si>
  <si>
    <t>385|站桩怪</t>
  </si>
  <si>
    <t>385|炮灰怪</t>
  </si>
  <si>
    <t>385|精英怪</t>
  </si>
  <si>
    <t>385|精英盾怪</t>
  </si>
  <si>
    <t>385|Boss</t>
  </si>
  <si>
    <t>385|装备副本Boss</t>
  </si>
  <si>
    <t>386|普通怪</t>
  </si>
  <si>
    <t>386|盾怪</t>
  </si>
  <si>
    <t>386|二级普通怪</t>
  </si>
  <si>
    <t>386|站桩怪</t>
  </si>
  <si>
    <t>386|炮灰怪</t>
  </si>
  <si>
    <t>386|精英怪</t>
  </si>
  <si>
    <t>386|精英盾怪</t>
  </si>
  <si>
    <t>386|Boss</t>
  </si>
  <si>
    <t>386|装备副本Boss</t>
  </si>
  <si>
    <t>387|普通怪</t>
  </si>
  <si>
    <t>387|盾怪</t>
  </si>
  <si>
    <t>387|二级普通怪</t>
  </si>
  <si>
    <t>387|站桩怪</t>
  </si>
  <si>
    <t>387|炮灰怪</t>
  </si>
  <si>
    <t>387|精英怪</t>
  </si>
  <si>
    <t>387|精英盾怪</t>
  </si>
  <si>
    <t>387|Boss</t>
  </si>
  <si>
    <t>387|装备副本Boss</t>
  </si>
  <si>
    <t>388|普通怪</t>
  </si>
  <si>
    <t>388|盾怪</t>
  </si>
  <si>
    <t>388|二级普通怪</t>
  </si>
  <si>
    <t>388|站桩怪</t>
  </si>
  <si>
    <t>388|炮灰怪</t>
  </si>
  <si>
    <t>388|精英怪</t>
  </si>
  <si>
    <t>388|精英盾怪</t>
  </si>
  <si>
    <t>388|Boss</t>
  </si>
  <si>
    <t>388|装备副本Boss</t>
  </si>
  <si>
    <t>389|普通怪</t>
  </si>
  <si>
    <t>389|盾怪</t>
  </si>
  <si>
    <t>389|二级普通怪</t>
  </si>
  <si>
    <t>389|站桩怪</t>
  </si>
  <si>
    <t>389|炮灰怪</t>
  </si>
  <si>
    <t>389|精英怪</t>
  </si>
  <si>
    <t>389|精英盾怪</t>
  </si>
  <si>
    <t>389|Boss</t>
  </si>
  <si>
    <t>389|装备副本Boss</t>
  </si>
  <si>
    <t>390|普通怪</t>
  </si>
  <si>
    <t>390|盾怪</t>
  </si>
  <si>
    <t>390|二级普通怪</t>
  </si>
  <si>
    <t>390|站桩怪</t>
  </si>
  <si>
    <t>390|炮灰怪</t>
  </si>
  <si>
    <t>390|精英怪</t>
  </si>
  <si>
    <t>390|精英盾怪</t>
  </si>
  <si>
    <t>390|Boss</t>
  </si>
  <si>
    <t>390|装备副本Boss</t>
  </si>
  <si>
    <t>391|普通怪</t>
  </si>
  <si>
    <t>391|盾怪</t>
  </si>
  <si>
    <t>391|二级普通怪</t>
  </si>
  <si>
    <t>391|站桩怪</t>
  </si>
  <si>
    <t>391|炮灰怪</t>
  </si>
  <si>
    <t>391|精英怪</t>
  </si>
  <si>
    <t>391|精英盾怪</t>
  </si>
  <si>
    <t>391|Boss</t>
  </si>
  <si>
    <t>391|装备副本Boss</t>
  </si>
  <si>
    <t>392|普通怪</t>
  </si>
  <si>
    <t>392|盾怪</t>
  </si>
  <si>
    <t>392|二级普通怪</t>
  </si>
  <si>
    <t>392|站桩怪</t>
  </si>
  <si>
    <t>392|炮灰怪</t>
  </si>
  <si>
    <t>392|精英怪</t>
  </si>
  <si>
    <t>392|精英盾怪</t>
  </si>
  <si>
    <t>392|Boss</t>
  </si>
  <si>
    <t>392|装备副本Boss</t>
  </si>
  <si>
    <t>393|普通怪</t>
  </si>
  <si>
    <t>393|盾怪</t>
  </si>
  <si>
    <t>393|二级普通怪</t>
  </si>
  <si>
    <t>393|站桩怪</t>
  </si>
  <si>
    <t>393|炮灰怪</t>
  </si>
  <si>
    <t>393|精英怪</t>
  </si>
  <si>
    <t>393|精英盾怪</t>
  </si>
  <si>
    <t>393|Boss</t>
  </si>
  <si>
    <t>393|装备副本Boss</t>
  </si>
  <si>
    <t>394|普通怪</t>
  </si>
  <si>
    <t>394|盾怪</t>
  </si>
  <si>
    <t>394|二级普通怪</t>
  </si>
  <si>
    <t>394|站桩怪</t>
  </si>
  <si>
    <t>394|炮灰怪</t>
  </si>
  <si>
    <t>394|精英怪</t>
  </si>
  <si>
    <t>394|精英盾怪</t>
  </si>
  <si>
    <t>394|Boss</t>
  </si>
  <si>
    <t>394|装备副本Boss</t>
  </si>
  <si>
    <t>395|普通怪</t>
  </si>
  <si>
    <t>395|盾怪</t>
  </si>
  <si>
    <t>395|二级普通怪</t>
  </si>
  <si>
    <t>395|站桩怪</t>
  </si>
  <si>
    <t>395|炮灰怪</t>
  </si>
  <si>
    <t>395|精英怪</t>
  </si>
  <si>
    <t>395|精英盾怪</t>
  </si>
  <si>
    <t>395|Boss</t>
  </si>
  <si>
    <t>395|装备副本Boss</t>
  </si>
  <si>
    <t>396|普通怪</t>
  </si>
  <si>
    <t>396|盾怪</t>
  </si>
  <si>
    <t>396|二级普通怪</t>
  </si>
  <si>
    <t>396|站桩怪</t>
  </si>
  <si>
    <t>396|炮灰怪</t>
  </si>
  <si>
    <t>396|精英怪</t>
  </si>
  <si>
    <t>396|精英盾怪</t>
  </si>
  <si>
    <t>396|Boss</t>
  </si>
  <si>
    <t>396|装备副本Boss</t>
  </si>
  <si>
    <t>397|普通怪</t>
  </si>
  <si>
    <t>397|盾怪</t>
  </si>
  <si>
    <t>397|二级普通怪</t>
  </si>
  <si>
    <t>397|站桩怪</t>
  </si>
  <si>
    <t>397|炮灰怪</t>
  </si>
  <si>
    <t>397|精英怪</t>
  </si>
  <si>
    <t>397|精英盾怪</t>
  </si>
  <si>
    <t>397|Boss</t>
  </si>
  <si>
    <t>397|装备副本Boss</t>
  </si>
  <si>
    <t>398|普通怪</t>
  </si>
  <si>
    <t>398|盾怪</t>
  </si>
  <si>
    <t>398|二级普通怪</t>
  </si>
  <si>
    <t>398|站桩怪</t>
  </si>
  <si>
    <t>398|炮灰怪</t>
  </si>
  <si>
    <t>398|精英怪</t>
  </si>
  <si>
    <t>398|精英盾怪</t>
  </si>
  <si>
    <t>398|Boss</t>
  </si>
  <si>
    <t>398|装备副本Boss</t>
  </si>
  <si>
    <t>399|普通怪</t>
  </si>
  <si>
    <t>399|盾怪</t>
  </si>
  <si>
    <t>399|二级普通怪</t>
  </si>
  <si>
    <t>399|站桩怪</t>
  </si>
  <si>
    <t>399|炮灰怪</t>
  </si>
  <si>
    <t>399|精英怪</t>
  </si>
  <si>
    <t>399|精英盾怪</t>
  </si>
  <si>
    <t>399|Boss</t>
  </si>
  <si>
    <t>399|装备副本Boss</t>
  </si>
  <si>
    <t>400|普通怪</t>
  </si>
  <si>
    <t>400|盾怪</t>
  </si>
  <si>
    <t>400|二级普通怪</t>
  </si>
  <si>
    <t>400|站桩怪</t>
  </si>
  <si>
    <t>400|炮灰怪</t>
  </si>
  <si>
    <t>400|精英怪</t>
  </si>
  <si>
    <t>400|精英盾怪</t>
  </si>
  <si>
    <t>400|Boss</t>
  </si>
  <si>
    <t>400|装备副本Boss</t>
  </si>
  <si>
    <t>401|普通怪</t>
  </si>
  <si>
    <t>401|盾怪</t>
  </si>
  <si>
    <t>401|二级普通怪</t>
  </si>
  <si>
    <t>401|站桩怪</t>
  </si>
  <si>
    <t>401|炮灰怪</t>
  </si>
  <si>
    <t>401|精英怪</t>
  </si>
  <si>
    <t>401|精英盾怪</t>
  </si>
  <si>
    <t>401|Boss</t>
  </si>
  <si>
    <t>401|装备副本Boss</t>
  </si>
  <si>
    <t>402|普通怪</t>
  </si>
  <si>
    <t>402|盾怪</t>
  </si>
  <si>
    <t>402|二级普通怪</t>
  </si>
  <si>
    <t>402|站桩怪</t>
  </si>
  <si>
    <t>402|炮灰怪</t>
  </si>
  <si>
    <t>402|精英怪</t>
  </si>
  <si>
    <t>402|精英盾怪</t>
  </si>
  <si>
    <t>402|Boss</t>
  </si>
  <si>
    <t>402|装备副本Boss</t>
  </si>
  <si>
    <t>403|普通怪</t>
  </si>
  <si>
    <t>403|盾怪</t>
  </si>
  <si>
    <t>403|二级普通怪</t>
  </si>
  <si>
    <t>403|站桩怪</t>
  </si>
  <si>
    <t>403|炮灰怪</t>
  </si>
  <si>
    <t>403|精英怪</t>
  </si>
  <si>
    <t>403|精英盾怪</t>
  </si>
  <si>
    <t>403|Boss</t>
  </si>
  <si>
    <t>403|装备副本Boss</t>
  </si>
  <si>
    <t>404|普通怪</t>
  </si>
  <si>
    <t>404|盾怪</t>
  </si>
  <si>
    <t>404|二级普通怪</t>
  </si>
  <si>
    <t>404|站桩怪</t>
  </si>
  <si>
    <t>404|炮灰怪</t>
  </si>
  <si>
    <t>404|精英怪</t>
  </si>
  <si>
    <t>404|精英盾怪</t>
  </si>
  <si>
    <t>404|Boss</t>
  </si>
  <si>
    <t>404|装备副本Boss</t>
  </si>
  <si>
    <t>405|普通怪</t>
  </si>
  <si>
    <t>405|盾怪</t>
  </si>
  <si>
    <t>405|二级普通怪</t>
  </si>
  <si>
    <t>405|站桩怪</t>
  </si>
  <si>
    <t>405|炮灰怪</t>
  </si>
  <si>
    <t>405|精英怪</t>
  </si>
  <si>
    <t>405|精英盾怪</t>
  </si>
  <si>
    <t>405|Boss</t>
  </si>
  <si>
    <t>405|装备副本Boss</t>
  </si>
  <si>
    <t>406|普通怪</t>
  </si>
  <si>
    <t>406|盾怪</t>
  </si>
  <si>
    <t>406|二级普通怪</t>
  </si>
  <si>
    <t>406|站桩怪</t>
  </si>
  <si>
    <t>406|炮灰怪</t>
  </si>
  <si>
    <t>406|精英怪</t>
  </si>
  <si>
    <t>406|精英盾怪</t>
  </si>
  <si>
    <t>406|Boss</t>
  </si>
  <si>
    <t>406|装备副本Boss</t>
  </si>
  <si>
    <t>407|普通怪</t>
  </si>
  <si>
    <t>407|盾怪</t>
  </si>
  <si>
    <t>407|二级普通怪</t>
  </si>
  <si>
    <t>407|站桩怪</t>
  </si>
  <si>
    <t>407|炮灰怪</t>
  </si>
  <si>
    <t>407|精英怪</t>
  </si>
  <si>
    <t>407|精英盾怪</t>
  </si>
  <si>
    <t>407|Boss</t>
  </si>
  <si>
    <t>407|装备副本Boss</t>
  </si>
  <si>
    <t>408|普通怪</t>
  </si>
  <si>
    <t>408|盾怪</t>
  </si>
  <si>
    <t>408|二级普通怪</t>
  </si>
  <si>
    <t>408|站桩怪</t>
  </si>
  <si>
    <t>408|炮灰怪</t>
  </si>
  <si>
    <t>408|精英怪</t>
  </si>
  <si>
    <t>408|精英盾怪</t>
  </si>
  <si>
    <t>408|Boss</t>
  </si>
  <si>
    <t>408|装备副本Boss</t>
  </si>
  <si>
    <t>409|普通怪</t>
  </si>
  <si>
    <t>409|盾怪</t>
  </si>
  <si>
    <t>409|二级普通怪</t>
  </si>
  <si>
    <t>409|站桩怪</t>
  </si>
  <si>
    <t>409|炮灰怪</t>
  </si>
  <si>
    <t>409|精英怪</t>
  </si>
  <si>
    <t>409|精英盾怪</t>
  </si>
  <si>
    <t>409|Boss</t>
  </si>
  <si>
    <t>409|装备副本Boss</t>
  </si>
  <si>
    <t>410|普通怪</t>
  </si>
  <si>
    <t>410|盾怪</t>
  </si>
  <si>
    <t>410|二级普通怪</t>
  </si>
  <si>
    <t>410|站桩怪</t>
  </si>
  <si>
    <t>410|炮灰怪</t>
  </si>
  <si>
    <t>410|精英怪</t>
  </si>
  <si>
    <t>410|精英盾怪</t>
  </si>
  <si>
    <t>410|Boss</t>
  </si>
  <si>
    <t>410|装备副本Boss</t>
  </si>
  <si>
    <t>411|普通怪</t>
  </si>
  <si>
    <t>411|盾怪</t>
  </si>
  <si>
    <t>411|二级普通怪</t>
  </si>
  <si>
    <t>411|站桩怪</t>
  </si>
  <si>
    <t>411|炮灰怪</t>
  </si>
  <si>
    <t>411|精英怪</t>
  </si>
  <si>
    <t>411|精英盾怪</t>
  </si>
  <si>
    <t>411|Boss</t>
  </si>
  <si>
    <t>411|装备副本Boss</t>
  </si>
  <si>
    <t>412|普通怪</t>
  </si>
  <si>
    <t>412|盾怪</t>
  </si>
  <si>
    <t>412|二级普通怪</t>
  </si>
  <si>
    <t>412|站桩怪</t>
  </si>
  <si>
    <t>412|炮灰怪</t>
  </si>
  <si>
    <t>412|精英怪</t>
  </si>
  <si>
    <t>412|精英盾怪</t>
  </si>
  <si>
    <t>412|Boss</t>
  </si>
  <si>
    <t>412|装备副本Boss</t>
  </si>
  <si>
    <t>413|普通怪</t>
  </si>
  <si>
    <t>413|盾怪</t>
  </si>
  <si>
    <t>413|二级普通怪</t>
  </si>
  <si>
    <t>413|站桩怪</t>
  </si>
  <si>
    <t>413|炮灰怪</t>
  </si>
  <si>
    <t>413|精英怪</t>
  </si>
  <si>
    <t>413|精英盾怪</t>
  </si>
  <si>
    <t>413|Boss</t>
  </si>
  <si>
    <t>413|装备副本Boss</t>
  </si>
  <si>
    <t>414|普通怪</t>
  </si>
  <si>
    <t>414|盾怪</t>
  </si>
  <si>
    <t>414|二级普通怪</t>
  </si>
  <si>
    <t>414|站桩怪</t>
  </si>
  <si>
    <t>414|炮灰怪</t>
  </si>
  <si>
    <t>414|精英怪</t>
  </si>
  <si>
    <t>414|精英盾怪</t>
  </si>
  <si>
    <t>414|Boss</t>
  </si>
  <si>
    <t>414|装备副本Boss</t>
  </si>
  <si>
    <t>415|普通怪</t>
  </si>
  <si>
    <t>415|盾怪</t>
  </si>
  <si>
    <t>415|二级普通怪</t>
  </si>
  <si>
    <t>415|站桩怪</t>
  </si>
  <si>
    <t>415|炮灰怪</t>
  </si>
  <si>
    <t>415|精英怪</t>
  </si>
  <si>
    <t>415|精英盾怪</t>
  </si>
  <si>
    <t>415|Boss</t>
  </si>
  <si>
    <t>415|装备副本Boss</t>
  </si>
  <si>
    <t>416|普通怪</t>
  </si>
  <si>
    <t>416|盾怪</t>
  </si>
  <si>
    <t>416|二级普通怪</t>
  </si>
  <si>
    <t>416|站桩怪</t>
  </si>
  <si>
    <t>416|炮灰怪</t>
  </si>
  <si>
    <t>416|精英怪</t>
  </si>
  <si>
    <t>416|精英盾怪</t>
  </si>
  <si>
    <t>416|Boss</t>
  </si>
  <si>
    <t>416|装备副本Boss</t>
  </si>
  <si>
    <t>417|普通怪</t>
  </si>
  <si>
    <t>417|盾怪</t>
  </si>
  <si>
    <t>417|二级普通怪</t>
  </si>
  <si>
    <t>417|站桩怪</t>
  </si>
  <si>
    <t>417|炮灰怪</t>
  </si>
  <si>
    <t>417|精英怪</t>
  </si>
  <si>
    <t>417|精英盾怪</t>
  </si>
  <si>
    <t>417|Boss</t>
  </si>
  <si>
    <t>417|装备副本Boss</t>
  </si>
  <si>
    <t>418|普通怪</t>
  </si>
  <si>
    <t>418|盾怪</t>
  </si>
  <si>
    <t>418|二级普通怪</t>
  </si>
  <si>
    <t>418|站桩怪</t>
  </si>
  <si>
    <t>418|炮灰怪</t>
  </si>
  <si>
    <t>418|精英怪</t>
  </si>
  <si>
    <t>418|精英盾怪</t>
  </si>
  <si>
    <t>418|Boss</t>
  </si>
  <si>
    <t>418|装备副本Boss</t>
  </si>
  <si>
    <t>419|普通怪</t>
  </si>
  <si>
    <t>419|盾怪</t>
  </si>
  <si>
    <t>419|二级普通怪</t>
  </si>
  <si>
    <t>419|站桩怪</t>
  </si>
  <si>
    <t>419|炮灰怪</t>
  </si>
  <si>
    <t>419|精英怪</t>
  </si>
  <si>
    <t>419|精英盾怪</t>
  </si>
  <si>
    <t>419|Boss</t>
  </si>
  <si>
    <t>419|装备副本Boss</t>
  </si>
  <si>
    <t>420|普通怪</t>
  </si>
  <si>
    <t>420|盾怪</t>
  </si>
  <si>
    <t>420|二级普通怪</t>
  </si>
  <si>
    <t>420|站桩怪</t>
  </si>
  <si>
    <t>420|炮灰怪</t>
  </si>
  <si>
    <t>420|精英怪</t>
  </si>
  <si>
    <t>420|精英盾怪</t>
  </si>
  <si>
    <t>420|Boss</t>
  </si>
  <si>
    <t>420|装备副本Boss</t>
  </si>
  <si>
    <t>421|普通怪</t>
  </si>
  <si>
    <t>421|盾怪</t>
  </si>
  <si>
    <t>421|二级普通怪</t>
  </si>
  <si>
    <t>421|站桩怪</t>
  </si>
  <si>
    <t>421|炮灰怪</t>
  </si>
  <si>
    <t>421|精英怪</t>
  </si>
  <si>
    <t>421|精英盾怪</t>
  </si>
  <si>
    <t>421|Boss</t>
  </si>
  <si>
    <t>421|装备副本Boss</t>
  </si>
  <si>
    <t>422|普通怪</t>
  </si>
  <si>
    <t>422|盾怪</t>
  </si>
  <si>
    <t>422|二级普通怪</t>
  </si>
  <si>
    <t>422|站桩怪</t>
  </si>
  <si>
    <t>422|炮灰怪</t>
  </si>
  <si>
    <t>422|精英怪</t>
  </si>
  <si>
    <t>422|精英盾怪</t>
  </si>
  <si>
    <t>422|Boss</t>
  </si>
  <si>
    <t>422|装备副本Boss</t>
  </si>
  <si>
    <t>423|普通怪</t>
  </si>
  <si>
    <t>423|盾怪</t>
  </si>
  <si>
    <t>423|二级普通怪</t>
  </si>
  <si>
    <t>423|站桩怪</t>
  </si>
  <si>
    <t>423|炮灰怪</t>
  </si>
  <si>
    <t>423|精英怪</t>
  </si>
  <si>
    <t>423|精英盾怪</t>
  </si>
  <si>
    <t>423|Boss</t>
  </si>
  <si>
    <t>423|装备副本Boss</t>
  </si>
  <si>
    <t>424|普通怪</t>
  </si>
  <si>
    <t>424|盾怪</t>
  </si>
  <si>
    <t>424|二级普通怪</t>
  </si>
  <si>
    <t>424|站桩怪</t>
  </si>
  <si>
    <t>424|炮灰怪</t>
  </si>
  <si>
    <t>424|精英怪</t>
  </si>
  <si>
    <t>424|精英盾怪</t>
  </si>
  <si>
    <t>424|Boss</t>
  </si>
  <si>
    <t>424|装备副本Boss</t>
  </si>
  <si>
    <t>425|普通怪</t>
  </si>
  <si>
    <t>425|盾怪</t>
  </si>
  <si>
    <t>425|二级普通怪</t>
  </si>
  <si>
    <t>425|站桩怪</t>
  </si>
  <si>
    <t>425|炮灰怪</t>
  </si>
  <si>
    <t>425|精英怪</t>
  </si>
  <si>
    <t>425|精英盾怪</t>
  </si>
  <si>
    <t>425|Boss</t>
  </si>
  <si>
    <t>425|装备副本Boss</t>
  </si>
  <si>
    <t>426|普通怪</t>
  </si>
  <si>
    <t>426|盾怪</t>
  </si>
  <si>
    <t>426|二级普通怪</t>
  </si>
  <si>
    <t>426|站桩怪</t>
  </si>
  <si>
    <t>426|炮灰怪</t>
  </si>
  <si>
    <t>426|精英怪</t>
  </si>
  <si>
    <t>426|精英盾怪</t>
  </si>
  <si>
    <t>426|Boss</t>
  </si>
  <si>
    <t>426|装备副本Boss</t>
  </si>
  <si>
    <t>427|普通怪</t>
  </si>
  <si>
    <t>427|盾怪</t>
  </si>
  <si>
    <t>427|二级普通怪</t>
  </si>
  <si>
    <t>427|站桩怪</t>
  </si>
  <si>
    <t>427|炮灰怪</t>
  </si>
  <si>
    <t>427|精英怪</t>
  </si>
  <si>
    <t>427|精英盾怪</t>
  </si>
  <si>
    <t>427|Boss</t>
  </si>
  <si>
    <t>427|装备副本Boss</t>
  </si>
  <si>
    <t>428|普通怪</t>
  </si>
  <si>
    <t>428|盾怪</t>
  </si>
  <si>
    <t>428|二级普通怪</t>
  </si>
  <si>
    <t>428|站桩怪</t>
  </si>
  <si>
    <t>428|炮灰怪</t>
  </si>
  <si>
    <t>428|精英怪</t>
  </si>
  <si>
    <t>428|精英盾怪</t>
  </si>
  <si>
    <t>428|Boss</t>
  </si>
  <si>
    <t>428|装备副本Boss</t>
  </si>
  <si>
    <t>429|普通怪</t>
  </si>
  <si>
    <t>429|盾怪</t>
  </si>
  <si>
    <t>429|二级普通怪</t>
  </si>
  <si>
    <t>429|站桩怪</t>
  </si>
  <si>
    <t>429|炮灰怪</t>
  </si>
  <si>
    <t>429|精英怪</t>
  </si>
  <si>
    <t>429|精英盾怪</t>
  </si>
  <si>
    <t>429|Boss</t>
  </si>
  <si>
    <t>429|装备副本Boss</t>
  </si>
  <si>
    <t>430|普通怪</t>
  </si>
  <si>
    <t>430|盾怪</t>
  </si>
  <si>
    <t>430|二级普通怪</t>
  </si>
  <si>
    <t>430|站桩怪</t>
  </si>
  <si>
    <t>430|炮灰怪</t>
  </si>
  <si>
    <t>430|精英怪</t>
  </si>
  <si>
    <t>430|精英盾怪</t>
  </si>
  <si>
    <t>430|Boss</t>
  </si>
  <si>
    <t>430|装备副本Boss</t>
  </si>
  <si>
    <t>431|普通怪</t>
  </si>
  <si>
    <t>431|盾怪</t>
  </si>
  <si>
    <t>431|二级普通怪</t>
  </si>
  <si>
    <t>431|站桩怪</t>
  </si>
  <si>
    <t>431|炮灰怪</t>
  </si>
  <si>
    <t>431|精英怪</t>
  </si>
  <si>
    <t>431|精英盾怪</t>
  </si>
  <si>
    <t>431|Boss</t>
  </si>
  <si>
    <t>431|装备副本Boss</t>
  </si>
  <si>
    <t>432|普通怪</t>
  </si>
  <si>
    <t>432|盾怪</t>
  </si>
  <si>
    <t>432|二级普通怪</t>
  </si>
  <si>
    <t>432|站桩怪</t>
  </si>
  <si>
    <t>432|炮灰怪</t>
  </si>
  <si>
    <t>432|精英怪</t>
  </si>
  <si>
    <t>432|精英盾怪</t>
  </si>
  <si>
    <t>432|Boss</t>
  </si>
  <si>
    <t>432|装备副本Boss</t>
  </si>
  <si>
    <t>433|普通怪</t>
  </si>
  <si>
    <t>433|盾怪</t>
  </si>
  <si>
    <t>433|二级普通怪</t>
  </si>
  <si>
    <t>433|站桩怪</t>
  </si>
  <si>
    <t>433|炮灰怪</t>
  </si>
  <si>
    <t>433|精英怪</t>
  </si>
  <si>
    <t>433|精英盾怪</t>
  </si>
  <si>
    <t>433|Boss</t>
  </si>
  <si>
    <t>433|装备副本Boss</t>
  </si>
  <si>
    <t>434|普通怪</t>
  </si>
  <si>
    <t>434|盾怪</t>
  </si>
  <si>
    <t>434|二级普通怪</t>
  </si>
  <si>
    <t>434|站桩怪</t>
  </si>
  <si>
    <t>434|炮灰怪</t>
  </si>
  <si>
    <t>434|精英怪</t>
  </si>
  <si>
    <t>434|精英盾怪</t>
  </si>
  <si>
    <t>434|Boss</t>
  </si>
  <si>
    <t>434|装备副本Boss</t>
  </si>
  <si>
    <t>435|普通怪</t>
  </si>
  <si>
    <t>435|盾怪</t>
  </si>
  <si>
    <t>435|二级普通怪</t>
  </si>
  <si>
    <t>435|站桩怪</t>
  </si>
  <si>
    <t>435|炮灰怪</t>
  </si>
  <si>
    <t>435|精英怪</t>
  </si>
  <si>
    <t>435|精英盾怪</t>
  </si>
  <si>
    <t>435|Boss</t>
  </si>
  <si>
    <t>435|装备副本Boss</t>
  </si>
  <si>
    <t>436|普通怪</t>
  </si>
  <si>
    <t>436|盾怪</t>
  </si>
  <si>
    <t>436|二级普通怪</t>
  </si>
  <si>
    <t>436|站桩怪</t>
  </si>
  <si>
    <t>436|炮灰怪</t>
  </si>
  <si>
    <t>436|精英怪</t>
  </si>
  <si>
    <t>436|精英盾怪</t>
  </si>
  <si>
    <t>436|Boss</t>
  </si>
  <si>
    <t>436|装备副本Boss</t>
  </si>
  <si>
    <t>437|普通怪</t>
  </si>
  <si>
    <t>437|盾怪</t>
  </si>
  <si>
    <t>437|二级普通怪</t>
  </si>
  <si>
    <t>437|站桩怪</t>
  </si>
  <si>
    <t>437|炮灰怪</t>
  </si>
  <si>
    <t>437|精英怪</t>
  </si>
  <si>
    <t>437|精英盾怪</t>
  </si>
  <si>
    <t>437|Boss</t>
  </si>
  <si>
    <t>437|装备副本Boss</t>
  </si>
  <si>
    <t>438|普通怪</t>
  </si>
  <si>
    <t>438|盾怪</t>
  </si>
  <si>
    <t>438|二级普通怪</t>
  </si>
  <si>
    <t>438|站桩怪</t>
  </si>
  <si>
    <t>438|炮灰怪</t>
  </si>
  <si>
    <t>438|精英怪</t>
  </si>
  <si>
    <t>438|精英盾怪</t>
  </si>
  <si>
    <t>438|Boss</t>
  </si>
  <si>
    <t>438|装备副本Boss</t>
  </si>
  <si>
    <t>439|普通怪</t>
  </si>
  <si>
    <t>439|盾怪</t>
  </si>
  <si>
    <t>439|二级普通怪</t>
  </si>
  <si>
    <t>439|站桩怪</t>
  </si>
  <si>
    <t>439|炮灰怪</t>
  </si>
  <si>
    <t>439|精英怪</t>
  </si>
  <si>
    <t>439|精英盾怪</t>
  </si>
  <si>
    <t>439|Boss</t>
  </si>
  <si>
    <t>439|装备副本Boss</t>
  </si>
  <si>
    <t>440|普通怪</t>
  </si>
  <si>
    <t>440|盾怪</t>
  </si>
  <si>
    <t>440|二级普通怪</t>
  </si>
  <si>
    <t>440|站桩怪</t>
  </si>
  <si>
    <t>440|炮灰怪</t>
  </si>
  <si>
    <t>440|精英怪</t>
  </si>
  <si>
    <t>440|精英盾怪</t>
  </si>
  <si>
    <t>440|Boss</t>
  </si>
  <si>
    <t>440|装备副本Boss</t>
  </si>
  <si>
    <t>441|普通怪</t>
  </si>
  <si>
    <t>441|盾怪</t>
  </si>
  <si>
    <t>441|二级普通怪</t>
  </si>
  <si>
    <t>441|站桩怪</t>
  </si>
  <si>
    <t>441|炮灰怪</t>
  </si>
  <si>
    <t>441|精英怪</t>
  </si>
  <si>
    <t>441|精英盾怪</t>
  </si>
  <si>
    <t>441|Boss</t>
  </si>
  <si>
    <t>441|装备副本Boss</t>
  </si>
  <si>
    <t>442|普通怪</t>
  </si>
  <si>
    <t>442|盾怪</t>
  </si>
  <si>
    <t>442|二级普通怪</t>
  </si>
  <si>
    <t>442|站桩怪</t>
  </si>
  <si>
    <t>442|炮灰怪</t>
  </si>
  <si>
    <t>442|精英怪</t>
  </si>
  <si>
    <t>442|精英盾怪</t>
  </si>
  <si>
    <t>442|Boss</t>
  </si>
  <si>
    <t>442|装备副本Boss</t>
  </si>
  <si>
    <t>443|普通怪</t>
  </si>
  <si>
    <t>443|盾怪</t>
  </si>
  <si>
    <t>443|二级普通怪</t>
  </si>
  <si>
    <t>443|站桩怪</t>
  </si>
  <si>
    <t>443|炮灰怪</t>
  </si>
  <si>
    <t>443|精英怪</t>
  </si>
  <si>
    <t>443|精英盾怪</t>
  </si>
  <si>
    <t>443|Boss</t>
  </si>
  <si>
    <t>443|装备副本Boss</t>
  </si>
  <si>
    <t>444|普通怪</t>
  </si>
  <si>
    <t>444|盾怪</t>
  </si>
  <si>
    <t>444|二级普通怪</t>
  </si>
  <si>
    <t>444|站桩怪</t>
  </si>
  <si>
    <t>444|炮灰怪</t>
  </si>
  <si>
    <t>444|精英怪</t>
  </si>
  <si>
    <t>444|精英盾怪</t>
  </si>
  <si>
    <t>444|Boss</t>
  </si>
  <si>
    <t>444|装备副本Boss</t>
  </si>
  <si>
    <t>445|普通怪</t>
  </si>
  <si>
    <t>445|盾怪</t>
  </si>
  <si>
    <t>445|二级普通怪</t>
  </si>
  <si>
    <t>445|站桩怪</t>
  </si>
  <si>
    <t>445|炮灰怪</t>
  </si>
  <si>
    <t>445|精英怪</t>
  </si>
  <si>
    <t>445|精英盾怪</t>
  </si>
  <si>
    <t>445|Boss</t>
  </si>
  <si>
    <t>445|装备副本Boss</t>
  </si>
  <si>
    <t>446|普通怪</t>
  </si>
  <si>
    <t>446|盾怪</t>
  </si>
  <si>
    <t>446|二级普通怪</t>
  </si>
  <si>
    <t>446|站桩怪</t>
  </si>
  <si>
    <t>446|炮灰怪</t>
  </si>
  <si>
    <t>446|精英怪</t>
  </si>
  <si>
    <t>446|精英盾怪</t>
  </si>
  <si>
    <t>446|Boss</t>
  </si>
  <si>
    <t>446|装备副本Boss</t>
  </si>
  <si>
    <t>447|普通怪</t>
  </si>
  <si>
    <t>447|盾怪</t>
  </si>
  <si>
    <t>447|二级普通怪</t>
  </si>
  <si>
    <t>447|站桩怪</t>
  </si>
  <si>
    <t>447|炮灰怪</t>
  </si>
  <si>
    <t>447|精英怪</t>
  </si>
  <si>
    <t>447|精英盾怪</t>
  </si>
  <si>
    <t>447|Boss</t>
  </si>
  <si>
    <t>447|装备副本Boss</t>
  </si>
  <si>
    <t>448|普通怪</t>
  </si>
  <si>
    <t>448|盾怪</t>
  </si>
  <si>
    <t>448|二级普通怪</t>
  </si>
  <si>
    <t>448|站桩怪</t>
  </si>
  <si>
    <t>448|炮灰怪</t>
  </si>
  <si>
    <t>448|精英怪</t>
  </si>
  <si>
    <t>448|精英盾怪</t>
  </si>
  <si>
    <t>448|Boss</t>
  </si>
  <si>
    <t>448|装备副本Boss</t>
  </si>
  <si>
    <t>449|普通怪</t>
  </si>
  <si>
    <t>449|盾怪</t>
  </si>
  <si>
    <t>449|二级普通怪</t>
  </si>
  <si>
    <t>449|站桩怪</t>
  </si>
  <si>
    <t>449|炮灰怪</t>
  </si>
  <si>
    <t>449|精英怪</t>
  </si>
  <si>
    <t>449|精英盾怪</t>
  </si>
  <si>
    <t>449|Boss</t>
  </si>
  <si>
    <t>449|装备副本Boss</t>
  </si>
  <si>
    <t>450|普通怪</t>
  </si>
  <si>
    <t>450|盾怪</t>
  </si>
  <si>
    <t>450|二级普通怪</t>
  </si>
  <si>
    <t>450|站桩怪</t>
  </si>
  <si>
    <t>450|炮灰怪</t>
  </si>
  <si>
    <t>450|精英怪</t>
  </si>
  <si>
    <t>450|精英盾怪</t>
  </si>
  <si>
    <t>450|Boss</t>
  </si>
  <si>
    <t>450|装备副本Boss</t>
  </si>
  <si>
    <t>451|普通怪</t>
  </si>
  <si>
    <t>451|盾怪</t>
  </si>
  <si>
    <t>451|二级普通怪</t>
  </si>
  <si>
    <t>451|站桩怪</t>
  </si>
  <si>
    <t>451|炮灰怪</t>
  </si>
  <si>
    <t>451|精英怪</t>
  </si>
  <si>
    <t>451|精英盾怪</t>
  </si>
  <si>
    <t>451|Boss</t>
  </si>
  <si>
    <t>451|装备副本Boss</t>
  </si>
  <si>
    <t>452|普通怪</t>
  </si>
  <si>
    <t>452|盾怪</t>
  </si>
  <si>
    <t>452|二级普通怪</t>
  </si>
  <si>
    <t>452|站桩怪</t>
  </si>
  <si>
    <t>452|炮灰怪</t>
  </si>
  <si>
    <t>452|精英怪</t>
  </si>
  <si>
    <t>452|精英盾怪</t>
  </si>
  <si>
    <t>452|Boss</t>
  </si>
  <si>
    <t>452|装备副本Boss</t>
  </si>
  <si>
    <t>453|普通怪</t>
  </si>
  <si>
    <t>453|盾怪</t>
  </si>
  <si>
    <t>453|二级普通怪</t>
  </si>
  <si>
    <t>453|站桩怪</t>
  </si>
  <si>
    <t>453|炮灰怪</t>
  </si>
  <si>
    <t>453|精英怪</t>
  </si>
  <si>
    <t>453|精英盾怪</t>
  </si>
  <si>
    <t>453|Boss</t>
  </si>
  <si>
    <t>453|装备副本Boss</t>
  </si>
  <si>
    <t>454|普通怪</t>
  </si>
  <si>
    <t>454|盾怪</t>
  </si>
  <si>
    <t>454|二级普通怪</t>
  </si>
  <si>
    <t>454|站桩怪</t>
  </si>
  <si>
    <t>454|炮灰怪</t>
  </si>
  <si>
    <t>454|精英怪</t>
  </si>
  <si>
    <t>454|精英盾怪</t>
  </si>
  <si>
    <t>454|Boss</t>
  </si>
  <si>
    <t>454|装备副本Boss</t>
  </si>
  <si>
    <t>455|普通怪</t>
  </si>
  <si>
    <t>455|盾怪</t>
  </si>
  <si>
    <t>455|二级普通怪</t>
  </si>
  <si>
    <t>455|站桩怪</t>
  </si>
  <si>
    <t>455|炮灰怪</t>
  </si>
  <si>
    <t>455|精英怪</t>
  </si>
  <si>
    <t>455|精英盾怪</t>
  </si>
  <si>
    <t>455|Boss</t>
  </si>
  <si>
    <t>455|装备副本Boss</t>
  </si>
  <si>
    <t>456|普通怪</t>
  </si>
  <si>
    <t>456|盾怪</t>
  </si>
  <si>
    <t>456|二级普通怪</t>
  </si>
  <si>
    <t>456|站桩怪</t>
  </si>
  <si>
    <t>456|炮灰怪</t>
  </si>
  <si>
    <t>456|精英怪</t>
  </si>
  <si>
    <t>456|精英盾怪</t>
  </si>
  <si>
    <t>456|Boss</t>
  </si>
  <si>
    <t>456|装备副本Boss</t>
  </si>
  <si>
    <t>457|普通怪</t>
  </si>
  <si>
    <t>457|盾怪</t>
  </si>
  <si>
    <t>457|二级普通怪</t>
  </si>
  <si>
    <t>457|站桩怪</t>
  </si>
  <si>
    <t>457|炮灰怪</t>
  </si>
  <si>
    <t>457|精英怪</t>
  </si>
  <si>
    <t>457|精英盾怪</t>
  </si>
  <si>
    <t>457|Boss</t>
  </si>
  <si>
    <t>457|装备副本Boss</t>
  </si>
  <si>
    <t>458|普通怪</t>
  </si>
  <si>
    <t>458|盾怪</t>
  </si>
  <si>
    <t>458|二级普通怪</t>
  </si>
  <si>
    <t>458|站桩怪</t>
  </si>
  <si>
    <t>458|炮灰怪</t>
  </si>
  <si>
    <t>458|精英怪</t>
  </si>
  <si>
    <t>458|精英盾怪</t>
  </si>
  <si>
    <t>458|Boss</t>
  </si>
  <si>
    <t>458|装备副本Boss</t>
  </si>
  <si>
    <t>459|普通怪</t>
  </si>
  <si>
    <t>459|盾怪</t>
  </si>
  <si>
    <t>459|二级普通怪</t>
  </si>
  <si>
    <t>459|站桩怪</t>
  </si>
  <si>
    <t>459|炮灰怪</t>
  </si>
  <si>
    <t>459|精英怪</t>
  </si>
  <si>
    <t>459|精英盾怪</t>
  </si>
  <si>
    <t>459|Boss</t>
  </si>
  <si>
    <t>459|装备副本Boss</t>
  </si>
  <si>
    <t>460|普通怪</t>
  </si>
  <si>
    <t>460|盾怪</t>
  </si>
  <si>
    <t>460|二级普通怪</t>
  </si>
  <si>
    <t>460|站桩怪</t>
  </si>
  <si>
    <t>460|炮灰怪</t>
  </si>
  <si>
    <t>460|精英怪</t>
  </si>
  <si>
    <t>460|精英盾怪</t>
  </si>
  <si>
    <t>460|Boss</t>
  </si>
  <si>
    <t>460|装备副本Boss</t>
  </si>
  <si>
    <t>461|普通怪</t>
  </si>
  <si>
    <t>461|盾怪</t>
  </si>
  <si>
    <t>461|二级普通怪</t>
  </si>
  <si>
    <t>461|站桩怪</t>
  </si>
  <si>
    <t>461|炮灰怪</t>
  </si>
  <si>
    <t>461|精英怪</t>
  </si>
  <si>
    <t>461|精英盾怪</t>
  </si>
  <si>
    <t>461|Boss</t>
  </si>
  <si>
    <t>461|装备副本Boss</t>
  </si>
  <si>
    <t>462|普通怪</t>
  </si>
  <si>
    <t>462|盾怪</t>
  </si>
  <si>
    <t>462|二级普通怪</t>
  </si>
  <si>
    <t>462|站桩怪</t>
  </si>
  <si>
    <t>462|炮灰怪</t>
  </si>
  <si>
    <t>462|精英怪</t>
  </si>
  <si>
    <t>462|精英盾怪</t>
  </si>
  <si>
    <t>462|Boss</t>
  </si>
  <si>
    <t>462|装备副本Boss</t>
  </si>
  <si>
    <t>463|普通怪</t>
  </si>
  <si>
    <t>463|盾怪</t>
  </si>
  <si>
    <t>463|二级普通怪</t>
  </si>
  <si>
    <t>463|站桩怪</t>
  </si>
  <si>
    <t>463|炮灰怪</t>
  </si>
  <si>
    <t>463|精英怪</t>
  </si>
  <si>
    <t>463|精英盾怪</t>
  </si>
  <si>
    <t>463|Boss</t>
  </si>
  <si>
    <t>463|装备副本Boss</t>
  </si>
  <si>
    <t>464|普通怪</t>
  </si>
  <si>
    <t>464|盾怪</t>
  </si>
  <si>
    <t>464|二级普通怪</t>
  </si>
  <si>
    <t>464|站桩怪</t>
  </si>
  <si>
    <t>464|炮灰怪</t>
  </si>
  <si>
    <t>464|精英怪</t>
  </si>
  <si>
    <t>464|精英盾怪</t>
  </si>
  <si>
    <t>464|Boss</t>
  </si>
  <si>
    <t>464|装备副本Boss</t>
  </si>
  <si>
    <t>465|普通怪</t>
  </si>
  <si>
    <t>465|盾怪</t>
  </si>
  <si>
    <t>465|二级普通怪</t>
  </si>
  <si>
    <t>465|站桩怪</t>
  </si>
  <si>
    <t>465|炮灰怪</t>
  </si>
  <si>
    <t>465|精英怪</t>
  </si>
  <si>
    <t>465|精英盾怪</t>
  </si>
  <si>
    <t>465|Boss</t>
  </si>
  <si>
    <t>465|装备副本Boss</t>
  </si>
  <si>
    <t>466|普通怪</t>
  </si>
  <si>
    <t>466|盾怪</t>
  </si>
  <si>
    <t>466|二级普通怪</t>
  </si>
  <si>
    <t>466|站桩怪</t>
  </si>
  <si>
    <t>466|炮灰怪</t>
  </si>
  <si>
    <t>466|精英怪</t>
  </si>
  <si>
    <t>466|精英盾怪</t>
  </si>
  <si>
    <t>466|Boss</t>
  </si>
  <si>
    <t>466|装备副本Boss</t>
  </si>
  <si>
    <t>467|普通怪</t>
  </si>
  <si>
    <t>467|盾怪</t>
  </si>
  <si>
    <t>467|二级普通怪</t>
  </si>
  <si>
    <t>467|站桩怪</t>
  </si>
  <si>
    <t>467|炮灰怪</t>
  </si>
  <si>
    <t>467|精英怪</t>
  </si>
  <si>
    <t>467|精英盾怪</t>
  </si>
  <si>
    <t>467|Boss</t>
  </si>
  <si>
    <t>467|装备副本Boss</t>
  </si>
  <si>
    <t>468|普通怪</t>
  </si>
  <si>
    <t>468|盾怪</t>
  </si>
  <si>
    <t>468|二级普通怪</t>
  </si>
  <si>
    <t>468|站桩怪</t>
  </si>
  <si>
    <t>468|炮灰怪</t>
  </si>
  <si>
    <t>468|精英怪</t>
  </si>
  <si>
    <t>468|精英盾怪</t>
  </si>
  <si>
    <t>468|Boss</t>
  </si>
  <si>
    <t>468|装备副本Boss</t>
  </si>
  <si>
    <t>469|普通怪</t>
  </si>
  <si>
    <t>469|盾怪</t>
  </si>
  <si>
    <t>469|二级普通怪</t>
  </si>
  <si>
    <t>469|站桩怪</t>
  </si>
  <si>
    <t>469|炮灰怪</t>
  </si>
  <si>
    <t>469|精英怪</t>
  </si>
  <si>
    <t>469|精英盾怪</t>
  </si>
  <si>
    <t>469|Boss</t>
  </si>
  <si>
    <t>469|装备副本Boss</t>
  </si>
  <si>
    <t>470|普通怪</t>
  </si>
  <si>
    <t>470|盾怪</t>
  </si>
  <si>
    <t>470|二级普通怪</t>
  </si>
  <si>
    <t>470|站桩怪</t>
  </si>
  <si>
    <t>470|炮灰怪</t>
  </si>
  <si>
    <t>470|精英怪</t>
  </si>
  <si>
    <t>470|精英盾怪</t>
  </si>
  <si>
    <t>470|Boss</t>
  </si>
  <si>
    <t>470|装备副本Boss</t>
  </si>
  <si>
    <t>471|普通怪</t>
  </si>
  <si>
    <t>471|盾怪</t>
  </si>
  <si>
    <t>471|二级普通怪</t>
  </si>
  <si>
    <t>471|站桩怪</t>
  </si>
  <si>
    <t>471|炮灰怪</t>
  </si>
  <si>
    <t>471|精英怪</t>
  </si>
  <si>
    <t>471|精英盾怪</t>
  </si>
  <si>
    <t>471|Boss</t>
  </si>
  <si>
    <t>471|装备副本Boss</t>
  </si>
  <si>
    <t>472|普通怪</t>
  </si>
  <si>
    <t>472|盾怪</t>
  </si>
  <si>
    <t>472|二级普通怪</t>
  </si>
  <si>
    <t>472|站桩怪</t>
  </si>
  <si>
    <t>472|炮灰怪</t>
  </si>
  <si>
    <t>472|精英怪</t>
  </si>
  <si>
    <t>472|精英盾怪</t>
  </si>
  <si>
    <t>472|Boss</t>
  </si>
  <si>
    <t>472|装备副本Boss</t>
  </si>
  <si>
    <t>473|普通怪</t>
  </si>
  <si>
    <t>473|盾怪</t>
  </si>
  <si>
    <t>473|二级普通怪</t>
  </si>
  <si>
    <t>473|站桩怪</t>
  </si>
  <si>
    <t>473|炮灰怪</t>
  </si>
  <si>
    <t>473|精英怪</t>
  </si>
  <si>
    <t>473|精英盾怪</t>
  </si>
  <si>
    <t>473|Boss</t>
  </si>
  <si>
    <t>473|装备副本Boss</t>
  </si>
  <si>
    <t>474|普通怪</t>
  </si>
  <si>
    <t>474|盾怪</t>
  </si>
  <si>
    <t>474|二级普通怪</t>
  </si>
  <si>
    <t>474|站桩怪</t>
  </si>
  <si>
    <t>474|炮灰怪</t>
  </si>
  <si>
    <t>474|精英怪</t>
  </si>
  <si>
    <t>474|精英盾怪</t>
  </si>
  <si>
    <t>474|Boss</t>
  </si>
  <si>
    <t>474|装备副本Boss</t>
  </si>
  <si>
    <t>475|普通怪</t>
  </si>
  <si>
    <t>475|盾怪</t>
  </si>
  <si>
    <t>475|二级普通怪</t>
  </si>
  <si>
    <t>475|站桩怪</t>
  </si>
  <si>
    <t>475|炮灰怪</t>
  </si>
  <si>
    <t>475|精英怪</t>
  </si>
  <si>
    <t>475|精英盾怪</t>
  </si>
  <si>
    <t>475|Boss</t>
  </si>
  <si>
    <t>475|装备副本Boss</t>
  </si>
  <si>
    <t>476|普通怪</t>
  </si>
  <si>
    <t>476|盾怪</t>
  </si>
  <si>
    <t>476|二级普通怪</t>
  </si>
  <si>
    <t>476|站桩怪</t>
  </si>
  <si>
    <t>476|炮灰怪</t>
  </si>
  <si>
    <t>476|精英怪</t>
  </si>
  <si>
    <t>476|精英盾怪</t>
  </si>
  <si>
    <t>476|Boss</t>
  </si>
  <si>
    <t>476|装备副本Boss</t>
  </si>
  <si>
    <t>477|普通怪</t>
  </si>
  <si>
    <t>477|盾怪</t>
  </si>
  <si>
    <t>477|二级普通怪</t>
  </si>
  <si>
    <t>477|站桩怪</t>
  </si>
  <si>
    <t>477|炮灰怪</t>
  </si>
  <si>
    <t>477|精英怪</t>
  </si>
  <si>
    <t>477|精英盾怪</t>
  </si>
  <si>
    <t>477|Boss</t>
  </si>
  <si>
    <t>477|装备副本Boss</t>
  </si>
  <si>
    <t>478|普通怪</t>
  </si>
  <si>
    <t>478|盾怪</t>
  </si>
  <si>
    <t>478|二级普通怪</t>
  </si>
  <si>
    <t>478|站桩怪</t>
  </si>
  <si>
    <t>478|炮灰怪</t>
  </si>
  <si>
    <t>478|精英怪</t>
  </si>
  <si>
    <t>478|精英盾怪</t>
  </si>
  <si>
    <t>478|Boss</t>
  </si>
  <si>
    <t>478|装备副本Boss</t>
  </si>
  <si>
    <t>479|普通怪</t>
  </si>
  <si>
    <t>479|盾怪</t>
  </si>
  <si>
    <t>479|二级普通怪</t>
  </si>
  <si>
    <t>479|站桩怪</t>
  </si>
  <si>
    <t>479|炮灰怪</t>
  </si>
  <si>
    <t>479|精英怪</t>
  </si>
  <si>
    <t>479|精英盾怪</t>
  </si>
  <si>
    <t>479|Boss</t>
  </si>
  <si>
    <t>479|装备副本Boss</t>
  </si>
  <si>
    <t>480|普通怪</t>
  </si>
  <si>
    <t>480|盾怪</t>
  </si>
  <si>
    <t>480|二级普通怪</t>
  </si>
  <si>
    <t>480|站桩怪</t>
  </si>
  <si>
    <t>480|炮灰怪</t>
  </si>
  <si>
    <t>480|精英怪</t>
  </si>
  <si>
    <t>480|精英盾怪</t>
  </si>
  <si>
    <t>480|Boss</t>
  </si>
  <si>
    <t>480|装备副本Boss</t>
  </si>
  <si>
    <t>481|普通怪</t>
  </si>
  <si>
    <t>481|盾怪</t>
  </si>
  <si>
    <t>481|二级普通怪</t>
  </si>
  <si>
    <t>481|站桩怪</t>
  </si>
  <si>
    <t>481|炮灰怪</t>
  </si>
  <si>
    <t>481|精英怪</t>
  </si>
  <si>
    <t>481|精英盾怪</t>
  </si>
  <si>
    <t>481|Boss</t>
  </si>
  <si>
    <t>481|装备副本Boss</t>
  </si>
  <si>
    <t>482|普通怪</t>
  </si>
  <si>
    <t>482|盾怪</t>
  </si>
  <si>
    <t>482|二级普通怪</t>
  </si>
  <si>
    <t>482|站桩怪</t>
  </si>
  <si>
    <t>482|炮灰怪</t>
  </si>
  <si>
    <t>482|精英怪</t>
  </si>
  <si>
    <t>482|精英盾怪</t>
  </si>
  <si>
    <t>482|Boss</t>
  </si>
  <si>
    <t>482|装备副本Boss</t>
  </si>
  <si>
    <t>483|普通怪</t>
  </si>
  <si>
    <t>483|盾怪</t>
  </si>
  <si>
    <t>483|二级普通怪</t>
  </si>
  <si>
    <t>483|站桩怪</t>
  </si>
  <si>
    <t>483|炮灰怪</t>
  </si>
  <si>
    <t>483|精英怪</t>
  </si>
  <si>
    <t>483|精英盾怪</t>
  </si>
  <si>
    <t>483|Boss</t>
  </si>
  <si>
    <t>483|装备副本Boss</t>
  </si>
  <si>
    <t>484|普通怪</t>
  </si>
  <si>
    <t>484|盾怪</t>
  </si>
  <si>
    <t>484|二级普通怪</t>
  </si>
  <si>
    <t>484|站桩怪</t>
  </si>
  <si>
    <t>484|炮灰怪</t>
  </si>
  <si>
    <t>484|精英怪</t>
  </si>
  <si>
    <t>484|精英盾怪</t>
  </si>
  <si>
    <t>484|Boss</t>
  </si>
  <si>
    <t>484|装备副本Boss</t>
  </si>
  <si>
    <t>485|普通怪</t>
  </si>
  <si>
    <t>485|盾怪</t>
  </si>
  <si>
    <t>485|二级普通怪</t>
  </si>
  <si>
    <t>485|站桩怪</t>
  </si>
  <si>
    <t>485|炮灰怪</t>
  </si>
  <si>
    <t>485|精英怪</t>
  </si>
  <si>
    <t>485|精英盾怪</t>
  </si>
  <si>
    <t>485|Boss</t>
  </si>
  <si>
    <t>485|装备副本Boss</t>
  </si>
  <si>
    <t>486|普通怪</t>
  </si>
  <si>
    <t>486|盾怪</t>
  </si>
  <si>
    <t>486|二级普通怪</t>
  </si>
  <si>
    <t>486|站桩怪</t>
  </si>
  <si>
    <t>486|炮灰怪</t>
  </si>
  <si>
    <t>486|精英怪</t>
  </si>
  <si>
    <t>486|精英盾怪</t>
  </si>
  <si>
    <t>486|Boss</t>
  </si>
  <si>
    <t>486|装备副本Boss</t>
  </si>
  <si>
    <t>487|普通怪</t>
  </si>
  <si>
    <t>487|盾怪</t>
  </si>
  <si>
    <t>487|二级普通怪</t>
  </si>
  <si>
    <t>487|站桩怪</t>
  </si>
  <si>
    <t>487|炮灰怪</t>
  </si>
  <si>
    <t>487|精英怪</t>
  </si>
  <si>
    <t>487|精英盾怪</t>
  </si>
  <si>
    <t>487|Boss</t>
  </si>
  <si>
    <t>487|装备副本Boss</t>
  </si>
  <si>
    <t>488|普通怪</t>
  </si>
  <si>
    <t>488|盾怪</t>
  </si>
  <si>
    <t>488|二级普通怪</t>
  </si>
  <si>
    <t>488|站桩怪</t>
  </si>
  <si>
    <t>488|炮灰怪</t>
  </si>
  <si>
    <t>488|精英怪</t>
  </si>
  <si>
    <t>488|精英盾怪</t>
  </si>
  <si>
    <t>488|Boss</t>
  </si>
  <si>
    <t>488|装备副本Boss</t>
  </si>
  <si>
    <t>489|普通怪</t>
  </si>
  <si>
    <t>489|盾怪</t>
  </si>
  <si>
    <t>489|二级普通怪</t>
  </si>
  <si>
    <t>489|站桩怪</t>
  </si>
  <si>
    <t>489|炮灰怪</t>
  </si>
  <si>
    <t>489|精英怪</t>
  </si>
  <si>
    <t>489|精英盾怪</t>
  </si>
  <si>
    <t>489|Boss</t>
  </si>
  <si>
    <t>489|装备副本Boss</t>
  </si>
  <si>
    <t>490|普通怪</t>
  </si>
  <si>
    <t>490|盾怪</t>
  </si>
  <si>
    <t>490|二级普通怪</t>
  </si>
  <si>
    <t>490|站桩怪</t>
  </si>
  <si>
    <t>490|炮灰怪</t>
  </si>
  <si>
    <t>490|精英怪</t>
  </si>
  <si>
    <t>490|精英盾怪</t>
  </si>
  <si>
    <t>490|Boss</t>
  </si>
  <si>
    <t>490|装备副本Boss</t>
  </si>
  <si>
    <t>491|普通怪</t>
  </si>
  <si>
    <t>491|盾怪</t>
  </si>
  <si>
    <t>491|二级普通怪</t>
  </si>
  <si>
    <t>491|站桩怪</t>
  </si>
  <si>
    <t>491|炮灰怪</t>
  </si>
  <si>
    <t>491|精英怪</t>
  </si>
  <si>
    <t>491|精英盾怪</t>
  </si>
  <si>
    <t>491|Boss</t>
  </si>
  <si>
    <t>491|装备副本Boss</t>
  </si>
  <si>
    <t>492|普通怪</t>
  </si>
  <si>
    <t>492|盾怪</t>
  </si>
  <si>
    <t>492|二级普通怪</t>
  </si>
  <si>
    <t>492|站桩怪</t>
  </si>
  <si>
    <t>492|炮灰怪</t>
  </si>
  <si>
    <t>492|精英怪</t>
  </si>
  <si>
    <t>492|精英盾怪</t>
  </si>
  <si>
    <t>492|Boss</t>
  </si>
  <si>
    <t>492|装备副本Boss</t>
  </si>
  <si>
    <t>493|普通怪</t>
  </si>
  <si>
    <t>493|盾怪</t>
  </si>
  <si>
    <t>493|二级普通怪</t>
  </si>
  <si>
    <t>493|站桩怪</t>
  </si>
  <si>
    <t>493|炮灰怪</t>
  </si>
  <si>
    <t>493|精英怪</t>
  </si>
  <si>
    <t>493|精英盾怪</t>
  </si>
  <si>
    <t>493|Boss</t>
  </si>
  <si>
    <t>493|装备副本Boss</t>
  </si>
  <si>
    <t>494|普通怪</t>
  </si>
  <si>
    <t>494|盾怪</t>
  </si>
  <si>
    <t>494|二级普通怪</t>
  </si>
  <si>
    <t>494|站桩怪</t>
  </si>
  <si>
    <t>494|炮灰怪</t>
  </si>
  <si>
    <t>494|精英怪</t>
  </si>
  <si>
    <t>494|精英盾怪</t>
  </si>
  <si>
    <t>494|Boss</t>
  </si>
  <si>
    <t>494|装备副本Boss</t>
  </si>
  <si>
    <t>495|普通怪</t>
  </si>
  <si>
    <t>495|盾怪</t>
  </si>
  <si>
    <t>495|二级普通怪</t>
  </si>
  <si>
    <t>495|站桩怪</t>
  </si>
  <si>
    <t>495|炮灰怪</t>
  </si>
  <si>
    <t>495|精英怪</t>
  </si>
  <si>
    <t>495|精英盾怪</t>
  </si>
  <si>
    <t>495|Boss</t>
  </si>
  <si>
    <t>495|装备副本Boss</t>
  </si>
  <si>
    <t>496|普通怪</t>
  </si>
  <si>
    <t>496|盾怪</t>
  </si>
  <si>
    <t>496|二级普通怪</t>
  </si>
  <si>
    <t>496|站桩怪</t>
  </si>
  <si>
    <t>496|炮灰怪</t>
  </si>
  <si>
    <t>496|精英怪</t>
  </si>
  <si>
    <t>496|精英盾怪</t>
  </si>
  <si>
    <t>496|Boss</t>
  </si>
  <si>
    <t>496|装备副本Boss</t>
  </si>
  <si>
    <t>497|普通怪</t>
  </si>
  <si>
    <t>497|盾怪</t>
  </si>
  <si>
    <t>497|二级普通怪</t>
  </si>
  <si>
    <t>497|站桩怪</t>
  </si>
  <si>
    <t>497|炮灰怪</t>
  </si>
  <si>
    <t>497|精英怪</t>
  </si>
  <si>
    <t>497|精英盾怪</t>
  </si>
  <si>
    <t>497|Boss</t>
  </si>
  <si>
    <t>497|装备副本Boss</t>
  </si>
  <si>
    <t>498|普通怪</t>
  </si>
  <si>
    <t>498|盾怪</t>
  </si>
  <si>
    <t>498|二级普通怪</t>
  </si>
  <si>
    <t>498|站桩怪</t>
  </si>
  <si>
    <t>498|炮灰怪</t>
  </si>
  <si>
    <t>498|精英怪</t>
  </si>
  <si>
    <t>498|精英盾怪</t>
  </si>
  <si>
    <t>498|Boss</t>
  </si>
  <si>
    <t>498|装备副本Boss</t>
  </si>
  <si>
    <t>499|普通怪</t>
  </si>
  <si>
    <t>499|盾怪</t>
  </si>
  <si>
    <t>499|二级普通怪</t>
  </si>
  <si>
    <t>499|站桩怪</t>
  </si>
  <si>
    <t>499|炮灰怪</t>
  </si>
  <si>
    <t>499|精英怪</t>
  </si>
  <si>
    <t>499|精英盾怪</t>
  </si>
  <si>
    <t>499|Boss</t>
  </si>
  <si>
    <t>499|装备副本Boss</t>
  </si>
  <si>
    <t>500|普通怪</t>
  </si>
  <si>
    <t>500|盾怪</t>
  </si>
  <si>
    <t>500|二级普通怪</t>
  </si>
  <si>
    <t>500|站桩怪</t>
  </si>
  <si>
    <t>500|炮灰怪</t>
  </si>
  <si>
    <t>500|精英怪</t>
  </si>
  <si>
    <t>500|精英盾怪</t>
  </si>
  <si>
    <t>500|Boss</t>
  </si>
  <si>
    <t>500|装备副本Boss</t>
  </si>
  <si>
    <t>舱室材料 · 统一难度源表</t>
  </si>
  <si>
    <t>等效进度估算不是解锁条件；H列可手动覆盖。无限之旅修正ID保留，倍率建议需落表时拆分共享ID。</t>
  </si>
  <si>
    <t>当前源表</t>
  </si>
  <si>
    <t>舱室材料</t>
  </si>
  <si>
    <t>材料</t>
  </si>
  <si>
    <t>222001</t>
  </si>
  <si>
    <t>起点</t>
  </si>
  <si>
    <t>222002</t>
  </si>
  <si>
    <t>222003</t>
  </si>
  <si>
    <t>222004</t>
  </si>
  <si>
    <t>222005</t>
  </si>
  <si>
    <t>无限之旅 · 统一难度源表</t>
  </si>
  <si>
    <t>原修正ID</t>
  </si>
  <si>
    <t>NR层ID</t>
  </si>
  <si>
    <t>NR难度</t>
  </si>
  <si>
    <t>无限之旅</t>
  </si>
  <si>
    <t>难度1-层1</t>
  </si>
  <si>
    <t/>
  </si>
  <si>
    <t>等效进度估算S14，非解锁/首通节点；旧Lv27→24；NR_Layer 1 / 修正ID 2001</t>
  </si>
  <si>
    <t>难度1-层2</t>
  </si>
  <si>
    <t>等效进度估算S19，非解锁/首通节点；旧Lv36→34；NR_Layer 2 / 修正ID 2001</t>
  </si>
  <si>
    <t>难度1-层3</t>
  </si>
  <si>
    <t>等效进度估算S22，非解锁/首通节点；旧Lv44→42；NR_Layer 3 / 修正ID 2001</t>
  </si>
  <si>
    <t>难度1-层4</t>
  </si>
  <si>
    <t>等效进度估算S26，非解锁/首通节点；旧Lv53→50；NR_Layer 4 / 修正ID 2001</t>
  </si>
  <si>
    <t>难度1-层5</t>
  </si>
  <si>
    <t>等效进度估算S30，非解锁/首通节点；旧Lv61→56；NR_Layer 5 / 修正ID 2001</t>
  </si>
  <si>
    <t>难度1-层6</t>
  </si>
  <si>
    <t>等效进度估算S32，非解锁/首通节点；旧Lv69→61；NR_Layer 6 / 修正ID 2001</t>
  </si>
  <si>
    <t>难度1-层7</t>
  </si>
  <si>
    <t>等效进度估算S35，非解锁/首通节点；旧Lv77→65；NR_Layer 7 / 修正ID 2001</t>
  </si>
  <si>
    <t>难度1-层8</t>
  </si>
  <si>
    <t>等效进度估算S38，非解锁/首通节点；旧Lv85→69；NR_Layer 8 / 修正ID 2001</t>
  </si>
  <si>
    <t>难度1-层9</t>
  </si>
  <si>
    <t>等效进度估算S40，非解锁/首通节点；旧Lv92→74；NR_Layer 9 / 修正ID 2001</t>
  </si>
  <si>
    <t>难度1-层10</t>
  </si>
  <si>
    <t>等效进度估算S44，非解锁/首通节点；旧Lv100→80；NR_Layer 10 / 修正ID 2001</t>
  </si>
  <si>
    <t>难度1-层11</t>
  </si>
  <si>
    <t>等效进度估算S46，非解锁/首通节点；旧Lv107→86；NR_Layer 11 / 修正ID 2001</t>
  </si>
  <si>
    <t>难度1-层12</t>
  </si>
  <si>
    <t>等效进度估算S50，非解锁/首通节点；旧Lv115→93；NR_Layer 12 / 修正ID 2001</t>
  </si>
  <si>
    <t>难度1-层13</t>
  </si>
  <si>
    <t>等效进度估算S54，非解锁/首通节点；旧Lv122→100；NR_Layer 13 / 修正ID 2001</t>
  </si>
  <si>
    <t>难度1-层14</t>
  </si>
  <si>
    <t>等效进度估算S57，非解锁/首通节点；旧Lv129→106；NR_Layer 14 / 修正ID 2001</t>
  </si>
  <si>
    <t>难度1-层15</t>
  </si>
  <si>
    <t>等效进度估算S61，非解锁/首通节点；旧Lv136→112；NR_Layer 15 / 修正ID 2001</t>
  </si>
  <si>
    <t>难度1-层16</t>
  </si>
  <si>
    <t>等效进度估算S65，非解锁/首通节点；旧Lv143→118；NR_Layer 16 / 修正ID 2001</t>
  </si>
  <si>
    <t>难度1-层17</t>
  </si>
  <si>
    <t>等效进度估算S68，非解锁/首通节点；旧Lv150→124；NR_Layer 17 / 修正ID 2001</t>
  </si>
  <si>
    <t>难度1-层18</t>
  </si>
  <si>
    <t>等效进度估算S72，非解锁/首通节点；旧Lv156→128；NR_Layer 18 / 修正ID 2001</t>
  </si>
  <si>
    <t>难度1-层19</t>
  </si>
  <si>
    <t>等效进度估算S76，非解锁/首通节点；旧Lv163→134；NR_Layer 19 / 修正ID 2001</t>
  </si>
  <si>
    <t>难度1-层20</t>
  </si>
  <si>
    <t>等效进度估算S80，非解锁/首通节点；旧Lv170→140；NR_Layer 20 / 修正ID 2001</t>
  </si>
  <si>
    <t>难度1-层21</t>
  </si>
  <si>
    <t>等效进度估算S84，非解锁/首通节点；旧Lv176→145；NR_Layer 21 / 修正ID 2001</t>
  </si>
  <si>
    <t>难度1-层22</t>
  </si>
  <si>
    <t>等效进度估算S89，非解锁/首通节点；旧Lv183→151；NR_Layer 22 / 修正ID 2001</t>
  </si>
  <si>
    <t>难度1-层23</t>
  </si>
  <si>
    <t>等效进度估算S94，非解锁/首通节点；旧Lv189→156；NR_Layer 23 / 修正ID 2001</t>
  </si>
  <si>
    <t>难度1-层24</t>
  </si>
  <si>
    <t>等效进度估算S99，非解锁/首通节点；旧Lv195→161；NR_Layer 24 / 修正ID 2001</t>
  </si>
  <si>
    <t>难度1-层25</t>
  </si>
  <si>
    <t>等效进度估算S103，非解锁/首通节点；旧Lv201→166；NR_Layer 25 / 修正ID 2001</t>
  </si>
  <si>
    <t>难度1-层26</t>
  </si>
  <si>
    <t>等效进度估算S106，非解锁/首通节点；旧Lv207→172；NR_Layer 26 / 修正ID 2001</t>
  </si>
  <si>
    <t>难度1-层27</t>
  </si>
  <si>
    <t>等效进度估算S109，非解锁/首通节点；旧Lv212→177；NR_Layer 27 / 修正ID 2001</t>
  </si>
  <si>
    <t>难度1-层28</t>
  </si>
  <si>
    <t>等效进度估算S113，非解锁/首通节点；旧Lv218→183；NR_Layer 28 / 修正ID 2001</t>
  </si>
  <si>
    <t>难度1-层29</t>
  </si>
  <si>
    <t>等效进度估算S118，非解锁/首通节点；旧Lv224→189；NR_Layer 29 / 修正ID 2001</t>
  </si>
  <si>
    <t>难度1-层30</t>
  </si>
  <si>
    <t>等效进度估算S122，非解锁/首通节点；旧Lv229→194；NR_Layer 30 / 修正ID 2001</t>
  </si>
  <si>
    <t>难度2-层101</t>
  </si>
  <si>
    <t>等效进度估算S127，非解锁/首通节点；旧Lv235→201；NR_Layer 101 / 修正ID 2001</t>
  </si>
  <si>
    <t>难度2-层102</t>
  </si>
  <si>
    <t>等效进度估算S132，非解锁/首通节点；旧Lv240→206；NR_Layer 102 / 修正ID 2001</t>
  </si>
  <si>
    <t>难度2-层103</t>
  </si>
  <si>
    <t>等效进度估算S138，非解锁/首通节点；旧Lv246→213；NR_Layer 103 / 修正ID 2001</t>
  </si>
  <si>
    <t>难度2-层104</t>
  </si>
  <si>
    <t>等效进度估算S143，非解锁/首通节点；旧Lv251→219；NR_Layer 104 / 修正ID 2001</t>
  </si>
  <si>
    <t>难度2-层105</t>
  </si>
  <si>
    <t>等效进度估算S150，非解锁/首通节点；旧Lv256→225；NR_Layer 105 / 修正ID 2001</t>
  </si>
  <si>
    <t>难度2-层106</t>
  </si>
  <si>
    <t>等效进度估算S158，非解锁/首通节点；旧Lv262→233；NR_Layer 106 / 修正ID 2001</t>
  </si>
  <si>
    <t>难度2-层107</t>
  </si>
  <si>
    <t>等效进度估算S166，非解锁/首通节点；旧Lv267→240；NR_Layer 107 / 修正ID 2001</t>
  </si>
  <si>
    <t>难度2-层108</t>
  </si>
  <si>
    <t>等效进度估算S174，非解锁/首通节点；旧Lv272→247；NR_Layer 108 / 修正ID 2001</t>
  </si>
  <si>
    <t>难度2-层109</t>
  </si>
  <si>
    <t>等效进度估算S184，非解锁/首通节点；旧Lv277→255；NR_Layer 109 / 修正ID 2001</t>
  </si>
  <si>
    <t>难度2-层110</t>
  </si>
  <si>
    <t>等效进度估算S195，非解锁/首通节点；旧Lv282→263；NR_Layer 110 / 修正ID 2001</t>
  </si>
  <si>
    <t>难度2-层111</t>
  </si>
  <si>
    <t>等效进度估算S207，非解锁/首通节点；旧Lv287→272；NR_Layer 111 / 修正ID 2001</t>
  </si>
  <si>
    <t>难度2-层112</t>
  </si>
  <si>
    <t>等效进度估算S217，非解锁/首通节点；旧Lv291→279；NR_Layer 112 / 修正ID 2001</t>
  </si>
  <si>
    <t>难度2-层113</t>
  </si>
  <si>
    <t>等效进度估算S230，非解锁/首通节点；旧Lv296→288；NR_Layer 113 / 修正ID 2001</t>
  </si>
  <si>
    <t>难度2-层114</t>
  </si>
  <si>
    <t>等效进度估算S245，非解锁/首通节点；旧Lv301→298；NR_Layer 114 / 修正ID 2001</t>
  </si>
  <si>
    <t>难度2-层115</t>
  </si>
  <si>
    <t>等效进度估算S256，非解锁/首通节点；旧Lv305→306；NR_Layer 115 / 修正ID 2001</t>
  </si>
  <si>
    <t>难度2-层116</t>
  </si>
  <si>
    <t>等效进度估算S270，非解锁/首通节点；旧Lv310→316；NR_Layer 116 / 修正ID 2001</t>
  </si>
  <si>
    <t>难度2-层117</t>
  </si>
  <si>
    <t>等效进度估算S278，非解锁/首通节点；旧Lv314→323；NR_Layer 117 / 修正ID 2001</t>
  </si>
  <si>
    <t>难度2-层118</t>
  </si>
  <si>
    <t>等效进度估算S278，非解锁/首通节点；旧Lv319→328；NR_Layer 118 / 修正ID 2001</t>
  </si>
  <si>
    <t>难度2-层119</t>
  </si>
  <si>
    <t>等效进度估算S278，非解锁/首通节点；旧Lv323→332；NR_Layer 119 / 修正ID 2001</t>
  </si>
  <si>
    <t>难度2-层120</t>
  </si>
  <si>
    <t>等效进度估算S278，非解锁/首通节点；旧Lv327→336；NR_Layer 120 / 修正ID 2001</t>
  </si>
  <si>
    <t>难度2-层121</t>
  </si>
  <si>
    <t>等效进度估算S278，非解锁/首通节点；旧Lv332→342；NR_Layer 121 / 修正ID 2001</t>
  </si>
  <si>
    <t>难度2-层122</t>
  </si>
  <si>
    <t>等效进度估算S278，非解锁/首通节点；旧Lv336→346；NR_Layer 122 / 修正ID 2001</t>
  </si>
  <si>
    <t>难度2-层123</t>
  </si>
  <si>
    <t>等效进度估算S278，非解锁/首通节点；旧Lv340→350；NR_Layer 123 / 修正ID 2001</t>
  </si>
  <si>
    <t>难度2-层124</t>
  </si>
  <si>
    <t>等效进度估算S278，非解锁/首通节点；旧Lv344→354；NR_Layer 124 / 修正ID 2001</t>
  </si>
  <si>
    <t>难度2-层125</t>
  </si>
  <si>
    <t>等效进度估算S278，非解锁/首通节点；旧Lv348→358；NR_Layer 125 / 修正ID 2001</t>
  </si>
  <si>
    <t>难度2-层126</t>
  </si>
  <si>
    <t>等效进度估算S278，非解锁/首通节点；旧Lv352→362；NR_Layer 126 / 修正ID 2001</t>
  </si>
  <si>
    <t>难度2-层127</t>
  </si>
  <si>
    <t>等效进度估算S278，非解锁/首通节点；旧Lv356→366；NR_Layer 127 / 修正ID 2001</t>
  </si>
  <si>
    <t>难度2-层128</t>
  </si>
  <si>
    <t>等效进度估算S278，非解锁/首通节点；旧Lv360→370；NR_Layer 128 / 修正ID 2001</t>
  </si>
  <si>
    <t>难度2-层129</t>
  </si>
  <si>
    <t>等效进度估算S278，非解锁/首通节点；旧Lv364→374；NR_Layer 129 / 修正ID 2001</t>
  </si>
  <si>
    <t>难度2-层130</t>
  </si>
  <si>
    <t>等效进度估算S278，非解锁/首通节点；旧Lv368→378；NR_Layer 130 / 修正ID 2001</t>
  </si>
  <si>
    <t>难度3-层201</t>
  </si>
  <si>
    <t>等效进度估算S278，非解锁/首通节点；旧Lv372→383；NR_Layer 201 / 修正ID 2001</t>
  </si>
  <si>
    <t>难度3-层202</t>
  </si>
  <si>
    <t>等效进度估算S278，非解锁/首通节点；旧Lv376→387；NR_Layer 202 / 修正ID 2001</t>
  </si>
  <si>
    <t>难度3-层203</t>
  </si>
  <si>
    <t>等效进度估算S278，非解锁/首通节点；旧Lv379→390；NR_Layer 203 / 修正ID 2001</t>
  </si>
  <si>
    <t>难度3-层204</t>
  </si>
  <si>
    <t>等效进度估算S278，非解锁/首通节点；旧Lv383→394；NR_Layer 204 / 修正ID 2001</t>
  </si>
  <si>
    <t>难度3-层205</t>
  </si>
  <si>
    <t>等效进度估算S278，非解锁/首通节点；旧Lv387→398；NR_Layer 205 / 修正ID 2001</t>
  </si>
  <si>
    <t>难度3-层206</t>
  </si>
  <si>
    <t>等效进度估算S278，非解锁/首通节点；旧Lv390→401；NR_Layer 206 / 修正ID 2001</t>
  </si>
  <si>
    <t>难度3-层207</t>
  </si>
  <si>
    <t>等效进度估算S278，非解锁/首通节点；旧Lv394→405；NR_Layer 207 / 修正ID 2001</t>
  </si>
  <si>
    <t>难度3-层208</t>
  </si>
  <si>
    <t>等效进度估算S278，非解锁/首通节点；旧Lv397→408；NR_Layer 208 / 修正ID 2001</t>
  </si>
  <si>
    <t>难度3-层209</t>
  </si>
  <si>
    <t>等效进度估算S278，非解锁/首通节点；旧Lv401→412；NR_Layer 209 / 修正ID 2001</t>
  </si>
  <si>
    <t>难度3-层210</t>
  </si>
  <si>
    <t>等效进度估算S278，非解锁/首通节点；旧Lv404→415；NR_Layer 210 / 修正ID 2001</t>
  </si>
  <si>
    <t>难度3-层211</t>
  </si>
  <si>
    <t>等效进度估算S278，非解锁/首通节点；旧Lv407→418；NR_Layer 211 / 修正ID 2001</t>
  </si>
  <si>
    <t>难度3-层212</t>
  </si>
  <si>
    <t>等效进度估算S278，非解锁/首通节点；旧Lv411→422；NR_Layer 212 / 修正ID 2001</t>
  </si>
  <si>
    <t>难度3-层213</t>
  </si>
  <si>
    <t>等效进度估算S278，非解锁/首通节点；旧Lv414→425；NR_Layer 213 / 修正ID 2001</t>
  </si>
  <si>
    <t>难度3-层214</t>
  </si>
  <si>
    <t>等效进度估算S278，非解锁/首通节点；旧Lv417→428；NR_Layer 214 / 修正ID 2001</t>
  </si>
  <si>
    <t>难度3-层215</t>
  </si>
  <si>
    <t>等效进度估算S278，非解锁/首通节点；旧Lv421→433；NR_Layer 215 / 修正ID 2001</t>
  </si>
  <si>
    <t>难度3-层216</t>
  </si>
  <si>
    <t>等效进度估算S278，非解锁/首通节点；旧Lv424→436；NR_Layer 216 / 修正ID 2001</t>
  </si>
  <si>
    <t>难度3-层217</t>
  </si>
  <si>
    <t>等效进度估算S278，非解锁/首通节点；旧Lv427→439；NR_Layer 217 / 修正ID 2001</t>
  </si>
  <si>
    <t>难度3-层218</t>
  </si>
  <si>
    <t>等效进度估算S278，非解锁/首通节点；旧Lv430→442；NR_Layer 218 / 修正ID 2001</t>
  </si>
  <si>
    <t>难度3-层219</t>
  </si>
  <si>
    <t>等效进度估算S278，非解锁/首通节点；旧Lv433→445；NR_Layer 219 / 修正ID 2001</t>
  </si>
  <si>
    <t>难度3-层220</t>
  </si>
  <si>
    <t>等效进度估算S278，非解锁/首通节点；旧Lv436→448；NR_Layer 220 / 修正ID 2001</t>
  </si>
  <si>
    <t>难度3-层221</t>
  </si>
  <si>
    <t>等效进度估算S278，非解锁/首通节点；旧Lv439→451；NR_Layer 221 / 修正ID 2001</t>
  </si>
  <si>
    <t>难度3-层222</t>
  </si>
  <si>
    <t>等效进度估算S278，非解锁/首通节点；旧Lv442→454；NR_Layer 222 / 修正ID 2001</t>
  </si>
  <si>
    <t>难度3-层223</t>
  </si>
  <si>
    <t>等效进度估算S278，非解锁/首通节点；旧Lv445→457；NR_Layer 223 / 修正ID 2001</t>
  </si>
  <si>
    <t>难度3-层224</t>
  </si>
  <si>
    <t>等效进度估算S278，非解锁/首通节点；旧Lv448→460；NR_Layer 224 / 修正ID 2001</t>
  </si>
  <si>
    <t>难度3-层225</t>
  </si>
  <si>
    <t>等效进度估算S278，非解锁/首通节点；旧Lv451→463；NR_Layer 225 / 修正ID 2001</t>
  </si>
  <si>
    <t>难度3-层226</t>
  </si>
  <si>
    <t>等效进度估算S278，非解锁/首通节点；旧Lv454→466；NR_Layer 226 / 修正ID 2001</t>
  </si>
  <si>
    <t>难度3-层227</t>
  </si>
  <si>
    <t>等效进度估算S278，非解锁/首通节点；旧Lv457→469；NR_Layer 227 / 修正ID 2001</t>
  </si>
  <si>
    <t>难度3-层228</t>
  </si>
  <si>
    <t>等效进度估算S278，非解锁/首通节点；旧Lv460→472；NR_Layer 228 / 修正ID 2001</t>
  </si>
  <si>
    <t>难度3-层229</t>
  </si>
  <si>
    <t>等效进度估算S278，非解锁/首通节点；旧Lv463→475；NR_Layer 229 / 修正ID 2001</t>
  </si>
  <si>
    <t>难度3-层230</t>
  </si>
  <si>
    <t>等效进度估算S278，非解锁/首通节点；旧Lv465→477；NR_Layer 230 / 修正ID 2001</t>
  </si>
  <si>
    <t>难度4-层301</t>
  </si>
  <si>
    <t>等效进度估算S278，非解锁/首通节点；旧Lv468→480；NR_Layer 301 / 修正ID 2001</t>
  </si>
  <si>
    <t>难度4-层302</t>
  </si>
  <si>
    <t>等效进度估算S278，非解锁/首通节点；旧Lv471→483；NR_Layer 302 / 修正ID 2001</t>
  </si>
  <si>
    <t>难度4-层303</t>
  </si>
  <si>
    <t>等效进度估算S278，非解锁/首通节点；旧Lv473→485；NR_Layer 303 / 修正ID 2001</t>
  </si>
  <si>
    <t>难度4-层304</t>
  </si>
  <si>
    <t>等效进度估算S278，非解锁/首通节点；旧Lv476→488；NR_Layer 304 / 修正ID 2001</t>
  </si>
  <si>
    <t>难度4-层305</t>
  </si>
  <si>
    <t>等效进度估算S278，非解锁/首通节点；旧Lv479→491；NR_Layer 305 / 修正ID 2001</t>
  </si>
  <si>
    <t>难度4-层306</t>
  </si>
  <si>
    <t>等效进度估算S278，非解锁/首通节点；旧Lv481→493；NR_Layer 306 / 修正ID 2001</t>
  </si>
  <si>
    <t>难度4-层307</t>
  </si>
  <si>
    <t>等效进度估算S278，非解锁/首通节点；旧Lv484→496；NR_Layer 307 / 修正ID 2001</t>
  </si>
  <si>
    <t>难度4-层308</t>
  </si>
  <si>
    <t>等效进度估算S278，非解锁/首通节点；旧Lv487→499；NR_Layer 308 / 修正ID 2001</t>
  </si>
  <si>
    <t>难度4-层309</t>
  </si>
  <si>
    <t>等效进度估算S278，非解锁/首通节点；旧Lv489→500；NR_Layer 309 / 修正ID 2001</t>
  </si>
  <si>
    <t>难度4-层310</t>
  </si>
  <si>
    <t>等效进度估算S278，非解锁/首通节点；旧Lv492→500；NR_Layer 310 / 修正ID 2001</t>
  </si>
  <si>
    <t>难度4-层311</t>
  </si>
  <si>
    <t>等效进度估算S278，非解锁/首通节点；旧Lv494→500；NR_Layer 311 / 修正ID 2001</t>
  </si>
  <si>
    <t>难度4-层312</t>
  </si>
  <si>
    <t>等效进度估算S278，非解锁/首通节点；旧Lv497→500；NR_Layer 312 / 修正ID 2001</t>
  </si>
  <si>
    <t>难度4-层313</t>
  </si>
  <si>
    <t>等效进度估算S278，非解锁/首通节点；旧Lv499→500；NR_Layer 313 / 修正ID 2001</t>
  </si>
  <si>
    <t>难度4-层314</t>
  </si>
  <si>
    <t>等效进度估算S278，非解锁/首通节点；旧Lv499→500；NR_Layer 314 / 修正ID 2001</t>
  </si>
  <si>
    <t>难度4-层315</t>
  </si>
  <si>
    <t>等效进度估算S278，非解锁/首通节点；旧Lv500→500；NR_Layer 315 / 修正ID 2001</t>
  </si>
  <si>
    <t>难度4-层316</t>
  </si>
  <si>
    <t>等效进度估算S278，非解锁/首通节点；旧Lv500→500；NR_Layer 316 / 修正ID 2002</t>
  </si>
  <si>
    <t>难度4-层317</t>
  </si>
  <si>
    <t>等效进度估算S278，非解锁/首通节点；旧Lv500→500；NR_Layer 317 / 修正ID 2003</t>
  </si>
  <si>
    <t>难度4-层318</t>
  </si>
  <si>
    <t>等效进度估算S278，非解锁/首通节点；旧Lv500→500；NR_Layer 318 / 修正ID 2004</t>
  </si>
  <si>
    <t>难度4-层319</t>
  </si>
  <si>
    <t>等效进度估算S278，非解锁/首通节点；旧Lv500→500；NR_Layer 319 / 修正ID 2005</t>
  </si>
  <si>
    <t>难度4-层320</t>
  </si>
  <si>
    <t>等效进度估算S278，非解锁/首通节点；旧Lv500→500；NR_Layer 320 / 修正ID 2006</t>
  </si>
  <si>
    <t>难度4-层321</t>
  </si>
  <si>
    <t>等效进度估算S278，非解锁/首通节点；旧Lv500→500；NR_Layer 321 / 修正ID 2007</t>
  </si>
  <si>
    <t>难度4-层322</t>
  </si>
  <si>
    <t>等效进度估算S278，非解锁/首通节点；旧Lv500→500；NR_Layer 322 / 修正ID 2008</t>
  </si>
  <si>
    <t>难度4-层323</t>
  </si>
  <si>
    <t>等效进度估算S278，非解锁/首通节点；旧Lv500→500；NR_Layer 323 / 修正ID 2009</t>
  </si>
  <si>
    <t>难度4-层324</t>
  </si>
  <si>
    <t>等效进度估算S278，非解锁/首通节点；旧Lv500→500；NR_Layer 324 / 修正ID 2010</t>
  </si>
  <si>
    <t>难度4-层325</t>
  </si>
  <si>
    <t>等效进度估算S278，非解锁/首通节点；旧Lv500→500；NR_Layer 325 / 修正ID 2011</t>
  </si>
  <si>
    <t>难度4-层326</t>
  </si>
  <si>
    <t>等效进度估算S278，非解锁/首通节点；旧Lv500→500；NR_Layer 326 / 修正ID 2012</t>
  </si>
  <si>
    <t>难度4-层327</t>
  </si>
  <si>
    <t>等效进度估算S278，非解锁/首通节点；旧Lv500→500；NR_Layer 327 / 修正ID 2013</t>
  </si>
  <si>
    <t>难度4-层328</t>
  </si>
  <si>
    <t>等效进度估算S278，非解锁/首通节点；旧Lv500→500；NR_Layer 328 / 修正ID 2014</t>
  </si>
  <si>
    <t>难度4-层329</t>
  </si>
  <si>
    <t>等效进度估算S278，非解锁/首通节点；旧Lv500→500；NR_Layer 329 / 修正ID 2015</t>
  </si>
  <si>
    <t>难度4-层330</t>
  </si>
  <si>
    <t>等效进度估算S278，非解锁/首通节点；旧Lv500→500；NR_Layer 330 / 修正ID 2016</t>
  </si>
  <si>
    <t>其他战斗玩法 · 统一难度源表</t>
  </si>
  <si>
    <t>其他战斗玩法</t>
  </si>
  <si>
    <t>LevelType_BossDungeonChallenges_Hard</t>
  </si>
  <si>
    <t>雪怪王 难度1</t>
  </si>
  <si>
    <t>510101</t>
  </si>
  <si>
    <t>等效进度估算S53，非解锁/首通节点；旧Lv120→98</t>
  </si>
  <si>
    <t>莫尔拉 难度1</t>
  </si>
  <si>
    <t>520101</t>
  </si>
  <si>
    <t>雪怪王 难度2</t>
  </si>
  <si>
    <t>510102</t>
  </si>
  <si>
    <t>等效进度估算S64，非解锁/首通节点；旧Lv140→115</t>
  </si>
  <si>
    <t>莫尔拉 难度2</t>
  </si>
  <si>
    <t>520102</t>
  </si>
  <si>
    <t>雪怪王 难度3</t>
  </si>
  <si>
    <t>510103</t>
  </si>
  <si>
    <t>等效进度估算S74，非解锁/首通节点；旧Lv160→132</t>
  </si>
  <si>
    <t>莫尔拉 难度3</t>
  </si>
  <si>
    <t>520103</t>
  </si>
  <si>
    <t>雪怪王 难度4</t>
  </si>
  <si>
    <t>510104</t>
  </si>
  <si>
    <t>等效进度估算S87，非解锁/首通节点；旧Lv180→149</t>
  </si>
  <si>
    <t>莫尔拉 难度4</t>
  </si>
  <si>
    <t>520104</t>
  </si>
  <si>
    <t>雪怪王 难度5</t>
  </si>
  <si>
    <t>510105</t>
  </si>
  <si>
    <t>等效进度估算S102，非解锁/首通节点；旧Lv200→166</t>
  </si>
  <si>
    <t>莫尔拉 难度5</t>
  </si>
  <si>
    <t>520105</t>
  </si>
  <si>
    <t>雪怪王 难度6</t>
  </si>
  <si>
    <t>510106</t>
  </si>
  <si>
    <t>等效进度估算S123，非解锁/首通节点；旧Lv230→195</t>
  </si>
  <si>
    <t>莫尔拉 难度6</t>
  </si>
  <si>
    <t>520106</t>
  </si>
  <si>
    <t>雪怪王 难度7</t>
  </si>
  <si>
    <t>510107</t>
  </si>
  <si>
    <t>等效进度估算S155，非解锁/首通节点；旧Lv260→230</t>
  </si>
  <si>
    <t>莫尔拉 难度7</t>
  </si>
  <si>
    <t>520107</t>
  </si>
  <si>
    <t>雪怪王 难度8</t>
  </si>
  <si>
    <t>510108</t>
  </si>
  <si>
    <t>等效进度估算S214，非解锁/首通节点；旧Lv290→277</t>
  </si>
  <si>
    <t>莫尔拉 难度8</t>
  </si>
  <si>
    <t>520108</t>
  </si>
  <si>
    <t>雪怪王 难度9</t>
  </si>
  <si>
    <t>510109</t>
  </si>
  <si>
    <t>等效进度估算S278，非解锁/首通节点；旧Lv320→329</t>
  </si>
  <si>
    <t>莫尔拉 难度9</t>
  </si>
  <si>
    <t>520109</t>
  </si>
  <si>
    <t>雪怪王 难度10</t>
  </si>
  <si>
    <t>510110</t>
  </si>
  <si>
    <t>等效进度估算S278，非解锁/首通节点；旧Lv350→360</t>
  </si>
  <si>
    <t>莫尔拉 难度10</t>
  </si>
  <si>
    <t>520110</t>
  </si>
  <si>
    <t>LevelType_ExtraLevel</t>
  </si>
  <si>
    <t>危机四伏</t>
  </si>
  <si>
    <t>150101</t>
  </si>
  <si>
    <t>等效进度估算S7，非解锁/首通节点；旧Lv14→13</t>
  </si>
  <si>
    <t>结伴同行</t>
  </si>
  <si>
    <t>150102</t>
  </si>
  <si>
    <t>等效进度估算S7，非解锁/首通节点；旧Lv15→14</t>
  </si>
  <si>
    <t>雪境聚落</t>
  </si>
  <si>
    <t>150103</t>
  </si>
  <si>
    <t>等效进度估算S11，非解锁/首通节点；旧Lv22→20</t>
  </si>
  <si>
    <t>战斗</t>
  </si>
  <si>
    <t>170101</t>
  </si>
  <si>
    <t>170201</t>
  </si>
  <si>
    <t>170301</t>
  </si>
  <si>
    <t>170401</t>
  </si>
  <si>
    <t>暗中窥影</t>
  </si>
  <si>
    <t>150104</t>
  </si>
  <si>
    <t>等效进度估算S11，非解锁/首通节点；旧Lv23→21</t>
  </si>
  <si>
    <t>整备前行</t>
  </si>
  <si>
    <t>150105</t>
  </si>
  <si>
    <t>等效进度估算S12，非解锁/首通节点；旧Lv24→22</t>
  </si>
  <si>
    <t>暴风残雪</t>
  </si>
  <si>
    <t>150106</t>
  </si>
  <si>
    <t>等效进度估算S16，非解锁/首通节点；旧Lv31→29</t>
  </si>
  <si>
    <t>凛冬已至</t>
  </si>
  <si>
    <t>魔潮再临</t>
  </si>
  <si>
    <t>沉眠之森</t>
  </si>
  <si>
    <t>150201</t>
  </si>
  <si>
    <t>等效进度估算S18，非解锁/首通节点；旧Lv34→32</t>
  </si>
  <si>
    <t>赏金猎人</t>
  </si>
  <si>
    <t>150202</t>
  </si>
  <si>
    <t>等效进度估算S18，非解锁/首通节点；旧Lv35→33</t>
  </si>
  <si>
    <t>林中对峙</t>
  </si>
  <si>
    <t>150203</t>
  </si>
  <si>
    <t>等效进度估算S19，非解锁/首通节点；旧Lv37→35</t>
  </si>
  <si>
    <t>浊影初现</t>
  </si>
  <si>
    <t>150204</t>
  </si>
  <si>
    <t>等效进度估算S20，非解锁/首通节点；旧Lv40→38</t>
  </si>
  <si>
    <t>阴谋初现</t>
  </si>
  <si>
    <t>150205</t>
  </si>
  <si>
    <t>等效进度估算S22，非解锁/首通节点；旧Lv43→41</t>
  </si>
  <si>
    <t>神树之村</t>
  </si>
  <si>
    <t>150206</t>
  </si>
  <si>
    <t>等效进度估算S23，非解锁/首通节点；旧Lv45→43</t>
  </si>
  <si>
    <t>暴徒狂欢</t>
  </si>
  <si>
    <t>恶谋展露</t>
  </si>
  <si>
    <t>火力交锋</t>
  </si>
  <si>
    <t>霜途归阙</t>
  </si>
  <si>
    <t>150301</t>
  </si>
  <si>
    <t>等效进度估算S33，非解锁/首通节点；旧Lv70→58</t>
  </si>
  <si>
    <t>狼城叩门</t>
  </si>
  <si>
    <t>150302</t>
  </si>
  <si>
    <t>等效进度估算S33，非解锁/首通节点；旧Lv72→60</t>
  </si>
  <si>
    <t>宫城逆焰</t>
  </si>
  <si>
    <t>150303</t>
  </si>
  <si>
    <t>等效进度估算S34，非解锁/首通节点；旧Lv74→60</t>
  </si>
  <si>
    <t>突变</t>
  </si>
  <si>
    <t>150304</t>
  </si>
  <si>
    <t>等效进度估算S35，非解锁/首通节点；旧Lv76→61</t>
  </si>
  <si>
    <t>寒街喋血</t>
  </si>
  <si>
    <t>150305</t>
  </si>
  <si>
    <t>等效进度估算S36，非解锁/首通节点；旧Lv79→62</t>
  </si>
  <si>
    <t>乱军围城</t>
  </si>
  <si>
    <t>150306</t>
  </si>
  <si>
    <t>等效进度估算S36，非解锁/首通节点；旧Lv81→64</t>
  </si>
  <si>
    <t>权臣破府</t>
  </si>
  <si>
    <t>对峙</t>
  </si>
  <si>
    <t>荣耀之路</t>
  </si>
  <si>
    <t>重临</t>
  </si>
  <si>
    <t>最终时刻</t>
  </si>
  <si>
    <t>觉悟</t>
  </si>
  <si>
    <t>150401</t>
  </si>
  <si>
    <t>等效进度估算S52，非解锁/首通节点；旧Lv118→91</t>
  </si>
  <si>
    <t>150402</t>
  </si>
  <si>
    <t>等效进度估算S53，非解锁/首通节点；旧Lv121→94</t>
  </si>
  <si>
    <t>150403</t>
  </si>
  <si>
    <t>等效进度估算S55，非解锁/首通节点；旧Lv125→97</t>
  </si>
  <si>
    <t>150404</t>
  </si>
  <si>
    <t>等效进度估算S57，非解锁/首通节点；旧Lv128→99</t>
  </si>
  <si>
    <t>150405</t>
  </si>
  <si>
    <t>等效进度估算S58，非解锁/首通节点；旧Lv131→102</t>
  </si>
  <si>
    <t>150406</t>
  </si>
  <si>
    <t>等效进度估算S60，非解锁/首通节点；旧Lv134→104</t>
  </si>
  <si>
    <t>怒涛哨戒</t>
  </si>
  <si>
    <t>150501</t>
  </si>
  <si>
    <t>等效进度估算S74，非解锁/首通节点；旧Lv160→125</t>
  </si>
  <si>
    <t>暗礁拦截</t>
  </si>
  <si>
    <t>150502</t>
  </si>
  <si>
    <t>等效进度估算S76，非解锁/首通节点；旧Lv163→127</t>
  </si>
  <si>
    <t>钢舰破浪</t>
  </si>
  <si>
    <t>150503</t>
  </si>
  <si>
    <t>等效进度估算S77，非解锁/首通节点；旧Lv165→129</t>
  </si>
  <si>
    <t>雾海信号</t>
  </si>
  <si>
    <t>150504</t>
  </si>
  <si>
    <t>等效进度估算S78，非解锁/首通节点；旧Lv167→131</t>
  </si>
  <si>
    <t>空天猎鹰</t>
  </si>
  <si>
    <t>150505</t>
  </si>
  <si>
    <t>等效进度估算S79，非解锁/首通节点；旧Lv169→132</t>
  </si>
  <si>
    <t>舷炮共鸣</t>
  </si>
  <si>
    <t>150506</t>
  </si>
  <si>
    <t>等效进度估算S81，非解锁/首通节点；旧Lv172→135</t>
  </si>
  <si>
    <t>铁甲星骸</t>
  </si>
  <si>
    <t>舰群协同</t>
  </si>
  <si>
    <t>破晓炮轰</t>
  </si>
  <si>
    <t>深蓝智胜</t>
  </si>
  <si>
    <t>舰艏破障</t>
  </si>
  <si>
    <t>星海归航</t>
  </si>
  <si>
    <t>LevelType_GuilidBoss</t>
  </si>
  <si>
    <t>610001</t>
  </si>
  <si>
    <t>等效进度估算S42，非解锁/首通节点；旧Lv96→77</t>
  </si>
  <si>
    <t>610101</t>
  </si>
  <si>
    <t>异变林猿 难度1</t>
  </si>
  <si>
    <t>610201</t>
  </si>
  <si>
    <t>610002</t>
  </si>
  <si>
    <t>等效进度估算S58，非解锁/首通节点；旧Lv130→107</t>
  </si>
  <si>
    <t>610102</t>
  </si>
  <si>
    <t>异变林猿 难度2</t>
  </si>
  <si>
    <t>610202</t>
  </si>
  <si>
    <t>610003</t>
  </si>
  <si>
    <t>等效进度估算S76，非解锁/首通节点；旧Lv163→134</t>
  </si>
  <si>
    <t>610103</t>
  </si>
  <si>
    <t>异变林猿 难度3</t>
  </si>
  <si>
    <t>610203</t>
  </si>
  <si>
    <t>610004</t>
  </si>
  <si>
    <t>等效进度估算S93，非解锁/首通节点；旧Lv188→155</t>
  </si>
  <si>
    <t>610104</t>
  </si>
  <si>
    <t>异变林猿 难度4</t>
  </si>
  <si>
    <t>610204</t>
  </si>
  <si>
    <t>610005</t>
  </si>
  <si>
    <t>等效进度估算S111，非解锁/首通节点；旧Lv214→179</t>
  </si>
  <si>
    <t>610105</t>
  </si>
  <si>
    <t>异变林猿 难度5</t>
  </si>
  <si>
    <t>610205</t>
  </si>
  <si>
    <t>610006</t>
  </si>
  <si>
    <t>等效进度估算S136，非解锁/首通节点；旧Lv244→211</t>
  </si>
  <si>
    <t>610106</t>
  </si>
  <si>
    <t>异变林猿 难度6</t>
  </si>
  <si>
    <t>610206</t>
  </si>
  <si>
    <t>610007</t>
  </si>
  <si>
    <t>等效进度估算S164，非解锁/首通节点；旧Lv266→238</t>
  </si>
  <si>
    <t>610107</t>
  </si>
  <si>
    <t>异变林猿 难度7</t>
  </si>
  <si>
    <t>610207</t>
  </si>
  <si>
    <t>610008</t>
  </si>
  <si>
    <t>等效进度估算S202，非解锁/首通节点；旧Lv285→268</t>
  </si>
  <si>
    <t>610108</t>
  </si>
  <si>
    <t>异变林猿 难度8</t>
  </si>
  <si>
    <t>610208</t>
  </si>
  <si>
    <t>610009</t>
  </si>
  <si>
    <t>等效进度估算S247，非解锁/首通节点；旧Lv302→300</t>
  </si>
  <si>
    <t>610109</t>
  </si>
  <si>
    <t>异变林猿 难度9</t>
  </si>
  <si>
    <t>610209</t>
  </si>
  <si>
    <t>610010</t>
  </si>
  <si>
    <t>等效进度估算S278，非解锁/首通节点；旧Lv318→327</t>
  </si>
  <si>
    <t>雪怪王 难度11</t>
  </si>
  <si>
    <t>610011</t>
  </si>
  <si>
    <t>雪怪王 难度12</t>
  </si>
  <si>
    <t>610012</t>
  </si>
  <si>
    <t>雪怪王 难度13</t>
  </si>
  <si>
    <t>610013</t>
  </si>
  <si>
    <t>雪怪王 难度14</t>
  </si>
  <si>
    <t>610014</t>
  </si>
  <si>
    <t>雪怪王 难度15</t>
  </si>
  <si>
    <t>610015</t>
  </si>
  <si>
    <t>雪怪王 难度16</t>
  </si>
  <si>
    <t>610016</t>
  </si>
  <si>
    <t>雪怪王 难度17</t>
  </si>
  <si>
    <t>610017</t>
  </si>
  <si>
    <t>雪怪王 难度18</t>
  </si>
  <si>
    <t>610018</t>
  </si>
  <si>
    <t>雪怪王 难度19</t>
  </si>
  <si>
    <t>610019</t>
  </si>
  <si>
    <t>雪怪王 难度20</t>
  </si>
  <si>
    <t>610020</t>
  </si>
  <si>
    <t>610110</t>
  </si>
  <si>
    <t>莫尔拉 难度11</t>
  </si>
  <si>
    <t>610111</t>
  </si>
  <si>
    <t>莫尔拉 难度12</t>
  </si>
  <si>
    <t>610112</t>
  </si>
  <si>
    <t>莫尔拉 难度13</t>
  </si>
  <si>
    <t>610113</t>
  </si>
  <si>
    <t>莫尔拉 难度14</t>
  </si>
  <si>
    <t>610114</t>
  </si>
  <si>
    <t>莫尔拉 难度15</t>
  </si>
  <si>
    <t>610115</t>
  </si>
  <si>
    <t>莫尔拉 难度16</t>
  </si>
  <si>
    <t>610116</t>
  </si>
  <si>
    <t>莫尔拉 难度17</t>
  </si>
  <si>
    <t>610117</t>
  </si>
  <si>
    <t>莫尔拉 难度18</t>
  </si>
  <si>
    <t>610118</t>
  </si>
  <si>
    <t>莫尔拉 难度19</t>
  </si>
  <si>
    <t>610119</t>
  </si>
  <si>
    <t>莫尔拉 难度20</t>
  </si>
  <si>
    <t>610120</t>
  </si>
  <si>
    <t>异变林猿 难度10</t>
  </si>
  <si>
    <t>610210</t>
  </si>
  <si>
    <t>异变林猿 难度11</t>
  </si>
  <si>
    <t>610211</t>
  </si>
  <si>
    <t>异变林猿 难度12</t>
  </si>
  <si>
    <t>610212</t>
  </si>
  <si>
    <t>异变林猿 难度13</t>
  </si>
  <si>
    <t>610213</t>
  </si>
  <si>
    <t>异变林猿 难度14</t>
  </si>
  <si>
    <t>610214</t>
  </si>
  <si>
    <t>异变林猿 难度15</t>
  </si>
  <si>
    <t>610215</t>
  </si>
  <si>
    <t>异变林猿 难度16</t>
  </si>
  <si>
    <t>610216</t>
  </si>
  <si>
    <t>异变林猿 难度17</t>
  </si>
  <si>
    <t>610217</t>
  </si>
  <si>
    <t>异变林猿 难度18</t>
  </si>
  <si>
    <t>610218</t>
  </si>
  <si>
    <t>异变林猿 难度19</t>
  </si>
  <si>
    <t>610219</t>
  </si>
  <si>
    <t>异变林猿 难度20</t>
  </si>
  <si>
    <t>610220</t>
  </si>
  <si>
    <t>LevelType_SubLevel</t>
  </si>
  <si>
    <t>120101</t>
  </si>
  <si>
    <t>等效进度估算S14，非解锁/首通节点；旧Lv27→25</t>
  </si>
  <si>
    <t>120102</t>
  </si>
  <si>
    <t>120203</t>
  </si>
  <si>
    <t>120303</t>
  </si>
  <si>
    <t>120306</t>
  </si>
  <si>
    <t>120403</t>
  </si>
  <si>
    <t>120406</t>
  </si>
  <si>
    <t>120503</t>
  </si>
  <si>
    <t>120506</t>
  </si>
  <si>
    <t>120603</t>
  </si>
  <si>
    <t>120606</t>
  </si>
  <si>
    <t>120703</t>
  </si>
  <si>
    <t>120706</t>
  </si>
  <si>
    <t>LevelType_Wild</t>
  </si>
  <si>
    <t>冰原野怪</t>
  </si>
  <si>
    <t>600101</t>
  </si>
  <si>
    <t>600102</t>
  </si>
  <si>
    <t>600103</t>
  </si>
  <si>
    <t>600104</t>
  </si>
  <si>
    <t>600105</t>
  </si>
  <si>
    <t>600106</t>
  </si>
  <si>
    <t>任务野怪1</t>
  </si>
  <si>
    <t>600107</t>
  </si>
  <si>
    <t>600108</t>
  </si>
  <si>
    <t>600109</t>
  </si>
  <si>
    <t>600110</t>
  </si>
  <si>
    <t>600111</t>
  </si>
  <si>
    <t>600112</t>
  </si>
  <si>
    <t>600113</t>
  </si>
  <si>
    <t>600114</t>
  </si>
  <si>
    <t>600115</t>
  </si>
  <si>
    <t>600116</t>
  </si>
  <si>
    <t>森林野怪</t>
  </si>
  <si>
    <t>600117</t>
  </si>
  <si>
    <t>600118</t>
  </si>
  <si>
    <t>600119</t>
  </si>
  <si>
    <t>600120</t>
  </si>
  <si>
    <t>600121</t>
  </si>
  <si>
    <t>600122</t>
  </si>
  <si>
    <t>600123</t>
  </si>
  <si>
    <t>600124</t>
  </si>
  <si>
    <t>600125</t>
  </si>
  <si>
    <t>600201</t>
  </si>
  <si>
    <t>600202</t>
  </si>
  <si>
    <t>600203</t>
  </si>
  <si>
    <t>600204</t>
  </si>
  <si>
    <t>600205</t>
  </si>
  <si>
    <t>600206</t>
  </si>
  <si>
    <t>600207</t>
  </si>
  <si>
    <t>600208</t>
  </si>
  <si>
    <t>600209</t>
  </si>
  <si>
    <t>600210</t>
  </si>
  <si>
    <t>600211</t>
  </si>
  <si>
    <t>600212</t>
  </si>
  <si>
    <t>600213</t>
  </si>
  <si>
    <t>600214</t>
  </si>
  <si>
    <t>600215</t>
  </si>
  <si>
    <t>600216</t>
  </si>
  <si>
    <t>600217</t>
  </si>
  <si>
    <t>600218</t>
  </si>
  <si>
    <t>600219</t>
  </si>
  <si>
    <t>600220</t>
  </si>
  <si>
    <t>600221</t>
  </si>
  <si>
    <t>600222</t>
  </si>
  <si>
    <t>600223</t>
  </si>
  <si>
    <t>玩家进度</t>
  </si>
  <si>
    <t>队伍精确战力</t>
  </si>
  <si>
    <t>楼层</t>
  </si>
  <si>
    <t>角色ID</t>
  </si>
  <si>
    <t>生命</t>
  </si>
  <si>
    <t>攻击</t>
  </si>
  <si>
    <t>防御</t>
  </si>
  <si>
    <t>有效生命</t>
  </si>
  <si>
    <t>节点</t>
  </si>
  <si>
    <t>对照进度</t>
  </si>
  <si>
    <t>旧等级</t>
  </si>
  <si>
    <t>新等级</t>
  </si>
  <si>
    <t>生命倍率</t>
  </si>
  <si>
    <t>攻击倍率</t>
  </si>
  <si>
    <t>旧击杀秒</t>
  </si>
  <si>
    <t>新击杀秒</t>
  </si>
  <si>
    <t>击杀比</t>
  </si>
  <si>
    <t>旧生存秒</t>
  </si>
  <si>
    <t>新生存秒</t>
  </si>
  <si>
    <t>生存比</t>
  </si>
  <si>
    <t>映射依据</t>
  </si>
  <si>
    <t>原源表节点</t>
  </si>
  <si>
    <t>等效进度估算</t>
  </si>
  <si>
    <t>项目</t>
  </si>
  <si>
    <t>说明</t>
  </si>
  <si>
    <t>版本</t>
  </si>
  <si>
    <t>2026-08-27 已批准3～7章放缓节点版；仅源表更新</t>
  </si>
  <si>
    <t>玩家战力</t>
  </si>
  <si>
    <t>统一玩家战力曲线不变。映射原推荐×独立系数0.5；爬塔按新敌方属性反查所需玩家进度，最终推荐均取3位有效数字。</t>
  </si>
  <si>
    <t>战斗公式.xlsx / 怪物标准模型 BD；这是无玩法倍率的等级基准，不等于所有同级玩法推荐值</t>
  </si>
  <si>
    <t>怪物属性</t>
  </si>
  <si>
    <t>统一取战斗公式.xlsx的AS:BA、AQ/AN、AO；不再沿用旧缓存</t>
  </si>
  <si>
    <t>难度倍率</t>
  </si>
  <si>
    <t>整数等级先拟合；生命/攻击倍率保留调前击杀时间和生存压力定位</t>
  </si>
  <si>
    <t>前两章</t>
  </si>
  <si>
    <t>主线前24节点最终怪物生命/攻击/防御与调前源表一致</t>
  </si>
  <si>
    <t>爬塔100层仍280级；推荐战力见“爬塔战力校准”，按降难前节奏反查玩家曲线。等级/队伍缓存仍须跨表同步。</t>
  </si>
  <si>
    <t>现行NR_Layer四难度120层；保留修正ID，新增倍率是源表建议，未写配置</t>
  </si>
  <si>
    <t>补充玩法</t>
  </si>
  <si>
    <t>缺少已确认进度映射，使用旧等级反查等效进度；H列可覆盖，不当作解锁规则</t>
  </si>
  <si>
    <t>非固定难度</t>
  </si>
  <si>
    <t>PVP/PVPVE跟随真实队伍；非战斗小游戏不硬套怪物等级；停用玩法不恢复</t>
  </si>
  <si>
    <t>缓存刷新</t>
  </si>
  <si>
    <t>四份xlsx之间无实时链接；以后改玩家节点须重跑同步流程</t>
  </si>
  <si>
    <t>PVPVE：按双方实际属性生成，保留权重和玩法倍率，不能套用固定怪物等级。</t>
  </si>
  <si>
    <t>资源本保留既有对照S；新五层等级门槛与旧对照S并不一致，本次不擅改首挑战节点。</t>
  </si>
  <si>
    <t>已停用肉鸽/旧装备玩法不恢复；补充页使用旧等级反查等效玩家进度，仅为难度校准基准，不代表玩法解锁条件。</t>
  </si>
  <si>
    <t>标准等级战力修复</t>
  </si>
  <si>
    <t>2026-08-31 按现行主线99关节点重排 战斗公式!_推荐战力映射 U/V/W 节点块（进度1~99=实际怪物等级+现行统一曲线，100以后沿用原延伸计划）；标准等级战力口径=首个怪物等级≥L的主线关卡的推荐战力；_统一战力 B列缓存已同步。玩法推荐战力、怪物等级与敌方属性未改动。</t>
  </si>
  <si>
    <t>主线推荐战力口径</t>
  </si>
  <si>
    <t>2026-08-31 用户确认：主线玩法推荐战力改为反查最早通关进度——按本章Boss可在60秒内击杀且玩家能扛其攻击20秒，在统一玩家曲线上取最早满足的进度为锚点（写在AE公式内），普通关按章节Boss锚点。难度模拟（G/I对照、玩家DPS/EHP、TTK/存活）与怪物等级、敌方属性均未改动；标准等级战力维持等级基准口径。后续如需同步UIlevel正式配置，按2026-08-27任务流程单独授权执行。</t>
  </si>
  <si>
    <t>主线推荐战力口径v3</t>
  </si>
  <si>
    <t>2026-08-31 用户反馈整章单值不上升，修订为：本章Boss反查锚点战力（60s击杀/扛20s口径不变）为章末值，章内自上一章锚点战力线性递增，逐关取3位有效数字，全主线严格递增；Boss关仍精确等于反查值。AE列改为静态值，重算入口为 recommend_ramp_v3 生成脚本。难度模拟、怪物等级、敌方属性、标准等级战力均未改动。</t>
  </si>
  <si>
    <t>全玩法推荐战力口径v3</t>
  </si>
  <si>
    <t>2026-08-31 用户确认将主线推荐战力口径推广至其他玩法：统一按“60秒内击杀该关敌人、且能扛其攻击20秒”反查统一玩家曲线上最早通关进度，组内（玩法进度/世界Boss难度梯子/支线小节）单调、锚点变化行之间线性递增、取3位有效数字；AE列改为静态值。爬塔82-100层、无限之旅部分高层为60秒无解的终局墙，保留原值并封顶至曲线满配。PVPVE（跟随真实队伍）与肉鸽（已停用）不适用本口径、未改动。映射×0.5系数与爬塔旧节奏校准自本版起由本口径取代（回滚备份保留）。UIlevel正式配置Power字段随本轮同步。</t>
  </si>
  <si>
    <t>支线战斗与支线后半段补充</t>
  </si>
  <si>
    <t>2026-08-31 用户确认两项支线补充：①13个120组支线“战斗”节点由全游戏统一25级怪改为按所在章节主线中位普通怪等级（19/36/54/76/100/120/136级），属性由怪物标准模型公式自动生成，推荐战力反查后为 7,220→9,400 梯度（1章~7章）；②150支线每章后半段30关（源表原缺失、UIlevel残留旧口径值）已按“锚定行等级+1~+6、G对照顺延、系数继承本组”补进源表并反查重算，章内与前后段衔接单调。非战斗节点（宝箱/答题/小游戏/逃出围困等无Power行）未处理。UIlevel已同步43格。</t>
  </si>
  <si>
    <t>支线战斗拆分定级</t>
  </si>
  <si>
    <t xml:space="preserve">2026-08-31 用户确认拆分定级：同章两个支线“战斗”节点不再共用一个等级，改为章内普通怪等级25%/75%分位（1章15/22级、2章30级单节点、3章49/59级、4章70/83级、5章94/105级、6章115/125级、7章133/141级），推荐战力反查后为 5,910 → 101,000 全链递增，UIlevel已同步13格。前一条中的“中位等级”方案作废，以此为准。
</t>
  </si>
  <si>
    <t>高难加陡与支线番外强度倍率</t>
  </si>
  <si>
    <t xml:space="preserve">2026-08-31 用户确认三项难度调整：①困难主线曲线变陡：等级由116~152改为116~207（斜率约2.5倍），高难5-5锚定180级，6/7章按同斜率外推，推荐战力重算为82,700~249,000；②支线（120组13节点）生命/攻击系数统一设为1.1（等级保持与主线同位置关卡一致），推荐7,220~125,000；③番外（150组60节点+170组4节点）系数统一设为1.3，推荐7,220~151,000。系数采用干净绝对值而非在8-27拟合系数上连乘，level.xlsx中这些行原先系数为空（游戏按默认1.0运行）已同步落值；主线本体、其他玩法未改动。发现遗留：8-27校准拟合的K/L系数（0.93~1.09）主线及各玩法均未落level.xlsx，属既有同步缺口，待单独裁决。
</t>
  </si>
  <si>
    <t>模型顺序</t>
  </si>
  <si>
    <t>档位</t>
  </si>
  <si>
    <t>调前等级</t>
  </si>
  <si>
    <t>当前等级（输入）</t>
  </si>
  <si>
    <t>等级变化</t>
  </si>
  <si>
    <t>击杀时间(s)</t>
  </si>
  <si>
    <t>生存时间(s)</t>
  </si>
  <si>
    <t>推荐战力</t>
  </si>
  <si>
    <t>当前等级</t>
  </si>
  <si>
    <t>调前击杀秒</t>
  </si>
  <si>
    <t>当前击杀秒</t>
  </si>
  <si>
    <t>调前存活秒</t>
  </si>
  <si>
    <t>当前存活秒</t>
  </si>
  <si>
    <t>敌方EHP变化</t>
  </si>
  <si>
    <t>敌方攻击变化</t>
  </si>
  <si>
    <t>玩法推荐战力｜参数与口径</t>
  </si>
  <si>
    <t>参数</t>
  </si>
  <si>
    <t>当前值</t>
  </si>
  <si>
    <t>修改影响</t>
  </si>
  <si>
    <t>映射推荐战力系数</t>
  </si>
  <si>
    <t>用户确认：乘0.5</t>
  </si>
  <si>
    <t>只改推荐战力，不改敌人属性</t>
  </si>
  <si>
    <t>保留有效数字</t>
  </si>
  <si>
    <t>统一四舍五入</t>
  </si>
  <si>
    <t>2422 → 2420</t>
  </si>
  <si>
    <t>映射：现有系数前推荐值 × B4，再取3位有效数字；所有30档共用一个系数。</t>
  </si>
  <si>
    <t>爬塔：按降难前每层击杀/存活节奏，反查满足新敌方属性的玩家进度，再查统一玩家战力。</t>
  </si>
  <si>
    <t>爬塔I列和Q～Y列仍为原玩家快照对照；新推荐进度与计算过程见“爬塔战力校准”。</t>
  </si>
  <si>
    <t>只更新源表；不修改等级、敌方属性、玩家成长、奖励或SVN。跨工作簿仍需同步缓存。</t>
  </si>
  <si>
    <t>爬塔推荐战力｜按新难度反查同一玩家曲线</t>
  </si>
  <si>
    <t>校准明细｜历史节奏 + 当前五人队伍属性</t>
  </si>
  <si>
    <t>基准为280级降难之前的31～326级版本；保留每层原击杀、存活节奏。</t>
  </si>
  <si>
    <t>I/J列为固定历史校准，不随降难重置。K/L列引用当前整队属性，M/N为所需玩家输出与生存能力；推荐战力统一取玩家曲线，不取普通怪单体战力。</t>
  </si>
  <si>
    <t>推荐取同时满足输出和生存的最早玩家进度；不改敌人属性或原对照快照。</t>
  </si>
  <si>
    <t>原推荐战力</t>
  </si>
  <si>
    <t>新推荐战力</t>
  </si>
  <si>
    <t>变化</t>
  </si>
  <si>
    <t>推荐玩家进度</t>
  </si>
  <si>
    <t>输出所需进度</t>
  </si>
  <si>
    <t>生存所需进度</t>
  </si>
  <si>
    <t>校准击杀秒</t>
  </si>
  <si>
    <t>校准存活秒</t>
  </si>
  <si>
    <t>敌方队伍EHP</t>
  </si>
  <si>
    <t>敌方队伍攻击</t>
  </si>
  <si>
    <t>所需玩家DPS</t>
  </si>
  <si>
    <t>所需玩家EHP</t>
  </si>
  <si>
    <t>玩家精确战力</t>
  </si>
  <si>
    <t>校准检查</t>
  </si>
  <si>
    <t>校准旧等级</t>
  </si>
  <si>
    <t>校准旧进度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</si>
</sst>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0"/>
    <numFmt numFmtId="178" formatCode="0.000&quot;倍&quot;"/>
    <numFmt numFmtId="179" formatCode="#,##0.00;[Red]\(#,##0.00\);\-"/>
    <numFmt numFmtId="180" formatCode="0.00#"/>
    <numFmt numFmtId="181" formatCode="yyyy\-mm\-dd\ hh:mm"/>
  </numFmts>
  <fonts count="44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rgb="FF008000"/>
      <name val="宋体"/>
      <charset val="134"/>
    </font>
    <font>
      <b/>
      <sz val="11"/>
      <color theme="1"/>
      <name val="宋体"/>
      <charset val="134"/>
    </font>
    <font>
      <sz val="11"/>
      <color rgb="FF0000FF"/>
      <name val="宋体"/>
      <charset val="134"/>
    </font>
    <font>
      <b/>
      <sz val="10"/>
      <color rgb="FFFFFFFF"/>
      <name val="Microsoft YaHei"/>
      <charset val="134"/>
    </font>
    <font>
      <sz val="10"/>
      <color theme="1"/>
      <name val="Microsoft YaHei"/>
      <charset val="134"/>
    </font>
    <font>
      <b/>
      <sz val="11"/>
      <color rgb="FFFFFFFF"/>
      <name val="Microsoft YaHei"/>
      <charset val="134"/>
    </font>
    <font>
      <b/>
      <sz val="18"/>
      <color rgb="FFFFFFFF"/>
      <name val="Microsoft YaHei"/>
      <charset val="134"/>
    </font>
    <font>
      <b/>
      <sz val="11"/>
      <color rgb="FF17365D"/>
      <name val="Microsoft YaHei"/>
      <charset val="134"/>
    </font>
    <font>
      <sz val="9"/>
      <color rgb="FF595959"/>
      <name val="Microsoft YaHei"/>
      <charset val="134"/>
    </font>
    <font>
      <sz val="9"/>
      <color rgb="FF000000"/>
      <name val="Microsoft YaHei"/>
      <charset val="134"/>
    </font>
    <font>
      <sz val="9"/>
      <color rgb="FF008000"/>
      <name val="Microsoft YaHei"/>
      <charset val="134"/>
    </font>
    <font>
      <sz val="9"/>
      <color rgb="FF0000FF"/>
      <name val="Microsoft YaHei"/>
      <charset val="134"/>
    </font>
    <font>
      <b/>
      <sz val="9"/>
      <color rgb="FF0000FF"/>
      <name val="Microsoft YaHei"/>
      <charset val="134"/>
    </font>
    <font>
      <sz val="11"/>
      <color rgb="FFFFFFFF"/>
      <name val="宋体"/>
      <charset val="134"/>
    </font>
    <font>
      <sz val="12"/>
      <color theme="10"/>
      <name val="宋体"/>
      <charset val="134"/>
    </font>
    <font>
      <sz val="10"/>
      <color rgb="FF000000"/>
      <name val="Microsoft YaHei"/>
      <charset val="134"/>
    </font>
    <font>
      <b/>
      <sz val="12"/>
      <color rgb="FF17365D"/>
      <name val="Microsoft YaHei"/>
      <charset val="134"/>
    </font>
    <font>
      <b/>
      <sz val="11"/>
      <color rgb="FF1F4E78"/>
      <name val="Microsoft YaHei"/>
      <charset val="134"/>
    </font>
    <font>
      <sz val="11"/>
      <color rgb="FF000000"/>
      <name val="Microsoft YaHei"/>
      <charset val="134"/>
    </font>
    <font>
      <b/>
      <sz val="11"/>
      <color rgb="FF0000FF"/>
      <name val="Microsoft YaHei"/>
      <charset val="134"/>
    </font>
    <font>
      <sz val="11"/>
      <name val="Microsoft YaHei"/>
      <charset val="134"/>
    </font>
    <font>
      <b/>
      <sz val="11"/>
      <color rgb="FF008000"/>
      <name val="Microsoft YaHei"/>
      <charset val="134"/>
    </font>
    <font>
      <b/>
      <sz val="11"/>
      <color rgb="FF000000"/>
      <name val="Microsoft YaHei"/>
      <charset val="134"/>
    </font>
    <font>
      <sz val="9"/>
      <name val="Microsoft YaHei"/>
      <charset val="134"/>
    </font>
    <font>
      <b/>
      <sz val="11"/>
      <color rgb="FF0563C1"/>
      <name val="Microsoft YaHei"/>
      <charset val="134"/>
    </font>
    <font>
      <sz val="11"/>
      <color rgb="FF595959"/>
      <name val="Microsoft YaHei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rgb="FF243E5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8EDF2"/>
        <bgColor indexed="64"/>
      </patternFill>
    </fill>
    <fill>
      <patternFill patternType="solid">
        <fgColor rgb="FFD9E5E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6" fillId="0" borderId="0"/>
    <xf numFmtId="0" fontId="28" fillId="0" borderId="0">
      <alignment vertical="center"/>
    </xf>
    <xf numFmtId="0" fontId="0" fillId="13" borderId="4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5">
      <alignment vertical="center"/>
    </xf>
    <xf numFmtId="0" fontId="33" fillId="0" borderId="5">
      <alignment vertical="center"/>
    </xf>
    <xf numFmtId="0" fontId="34" fillId="0" borderId="6">
      <alignment vertical="center"/>
    </xf>
    <xf numFmtId="0" fontId="34" fillId="0" borderId="0">
      <alignment vertical="center"/>
    </xf>
    <xf numFmtId="0" fontId="35" fillId="14" borderId="7">
      <alignment vertical="center"/>
    </xf>
    <xf numFmtId="0" fontId="36" fillId="10" borderId="8">
      <alignment vertical="center"/>
    </xf>
    <xf numFmtId="0" fontId="37" fillId="10" borderId="7">
      <alignment vertical="center"/>
    </xf>
    <xf numFmtId="0" fontId="1" fillId="15" borderId="9">
      <alignment vertical="center"/>
    </xf>
    <xf numFmtId="0" fontId="38" fillId="0" borderId="10">
      <alignment vertical="center"/>
    </xf>
    <xf numFmtId="0" fontId="3" fillId="0" borderId="11">
      <alignment vertical="center"/>
    </xf>
    <xf numFmtId="0" fontId="39" fillId="16" borderId="0">
      <alignment vertical="center"/>
    </xf>
    <xf numFmtId="0" fontId="40" fillId="17" borderId="0">
      <alignment vertical="center"/>
    </xf>
    <xf numFmtId="0" fontId="41" fillId="18" borderId="0">
      <alignment vertical="center"/>
    </xf>
    <xf numFmtId="0" fontId="4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42" fillId="22" borderId="0">
      <alignment vertical="center"/>
    </xf>
    <xf numFmtId="0" fontId="4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42" fillId="26" borderId="0">
      <alignment vertical="center"/>
    </xf>
    <xf numFmtId="0" fontId="4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42" fillId="30" borderId="0">
      <alignment vertical="center"/>
    </xf>
    <xf numFmtId="0" fontId="4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42" fillId="34" borderId="0">
      <alignment vertical="center"/>
    </xf>
    <xf numFmtId="0" fontId="4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42" fillId="38" borderId="0">
      <alignment vertical="center"/>
    </xf>
    <xf numFmtId="0" fontId="4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42" fillId="42" borderId="0">
      <alignment vertical="center"/>
    </xf>
  </cellStyleXfs>
  <cellXfs count="72">
    <xf numFmtId="0" fontId="0" fillId="0" borderId="0" xfId="0"/>
    <xf numFmtId="0" fontId="1" fillId="2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Border="1" applyAlignment="1">
      <alignment wrapText="1"/>
    </xf>
    <xf numFmtId="3" fontId="0" fillId="0" borderId="0" xfId="0" applyNumberFormat="1" applyFont="1" applyFill="1" applyBorder="1"/>
    <xf numFmtId="3" fontId="2" fillId="3" borderId="0" xfId="0" applyNumberFormat="1" applyFont="1" applyFill="1" applyBorder="1"/>
    <xf numFmtId="176" fontId="0" fillId="0" borderId="0" xfId="0" applyNumberFormat="1" applyFont="1" applyFill="1" applyBorder="1"/>
    <xf numFmtId="2" fontId="0" fillId="4" borderId="0" xfId="0" applyNumberFormat="1" applyFont="1" applyFill="1" applyBorder="1"/>
    <xf numFmtId="0" fontId="1" fillId="2" borderId="0" xfId="0" applyNumberFormat="1" applyFont="1" applyFill="1" applyBorder="1"/>
    <xf numFmtId="0" fontId="0" fillId="0" borderId="0" xfId="0" applyNumberFormat="1" applyFont="1" applyFill="1" applyBorder="1"/>
    <xf numFmtId="0" fontId="3" fillId="5" borderId="0" xfId="0" applyNumberFormat="1" applyFont="1" applyFill="1" applyBorder="1"/>
    <xf numFmtId="2" fontId="4" fillId="6" borderId="0" xfId="0" applyNumberFormat="1" applyFont="1" applyFill="1" applyBorder="1"/>
    <xf numFmtId="1" fontId="0" fillId="0" borderId="0" xfId="0" applyNumberFormat="1" applyFont="1" applyFill="1" applyBorder="1"/>
    <xf numFmtId="0" fontId="5" fillId="2" borderId="0" xfId="0" applyNumberFormat="1" applyFont="1" applyFill="1" applyBorder="1" applyAlignment="1">
      <alignment wrapText="1"/>
    </xf>
    <xf numFmtId="1" fontId="6" fillId="0" borderId="0" xfId="0" applyNumberFormat="1" applyFont="1" applyFill="1" applyBorder="1"/>
    <xf numFmtId="2" fontId="6" fillId="0" borderId="0" xfId="0" applyNumberFormat="1" applyFont="1" applyFill="1" applyBorder="1"/>
    <xf numFmtId="176" fontId="6" fillId="0" borderId="0" xfId="0" applyNumberFormat="1" applyFont="1" applyFill="1" applyBorder="1"/>
    <xf numFmtId="0" fontId="4" fillId="6" borderId="0" xfId="0" applyNumberFormat="1" applyFont="1" applyFill="1" applyBorder="1"/>
    <xf numFmtId="2" fontId="0" fillId="0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wrapText="1"/>
    </xf>
    <xf numFmtId="177" fontId="0" fillId="0" borderId="0" xfId="0" applyNumberFormat="1" applyFont="1" applyFill="1" applyBorder="1"/>
    <xf numFmtId="178" fontId="0" fillId="0" borderId="0" xfId="0" applyNumberFormat="1" applyFont="1" applyFill="1" applyBorder="1"/>
    <xf numFmtId="4" fontId="0" fillId="0" borderId="0" xfId="0" applyNumberFormat="1" applyFont="1" applyFill="1" applyBorder="1"/>
    <xf numFmtId="0" fontId="7" fillId="7" borderId="0" xfId="0" applyFont="1" applyFill="1"/>
    <xf numFmtId="0" fontId="8" fillId="8" borderId="0" xfId="0" applyFont="1" applyFill="1" applyAlignment="1">
      <alignment horizontal="left" vertical="center"/>
    </xf>
    <xf numFmtId="0" fontId="9" fillId="9" borderId="0" xfId="0" applyFont="1" applyFill="1" applyAlignment="1">
      <alignment vertical="center" wrapText="1"/>
    </xf>
    <xf numFmtId="0" fontId="10" fillId="0" borderId="0" xfId="0" applyFont="1" applyAlignment="1">
      <alignment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vertical="center"/>
    </xf>
    <xf numFmtId="0" fontId="11" fillId="0" borderId="2" xfId="0" applyFont="1" applyBorder="1" applyAlignment="1">
      <alignment vertical="center" wrapText="1"/>
    </xf>
    <xf numFmtId="1" fontId="10" fillId="10" borderId="2" xfId="0" applyNumberFormat="1" applyFont="1" applyFill="1" applyBorder="1" applyAlignment="1">
      <alignment vertical="center"/>
    </xf>
    <xf numFmtId="1" fontId="11" fillId="10" borderId="2" xfId="0" applyNumberFormat="1" applyFont="1" applyFill="1" applyBorder="1" applyAlignment="1">
      <alignment vertical="center"/>
    </xf>
    <xf numFmtId="179" fontId="10" fillId="10" borderId="2" xfId="0" applyNumberFormat="1" applyFont="1" applyFill="1" applyBorder="1" applyAlignment="1">
      <alignment vertical="center"/>
    </xf>
    <xf numFmtId="179" fontId="12" fillId="10" borderId="2" xfId="0" applyNumberFormat="1" applyFont="1" applyFill="1" applyBorder="1" applyAlignment="1">
      <alignment vertical="center"/>
    </xf>
    <xf numFmtId="176" fontId="11" fillId="10" borderId="2" xfId="0" applyNumberFormat="1" applyFont="1" applyFill="1" applyBorder="1" applyAlignment="1">
      <alignment vertical="center"/>
    </xf>
    <xf numFmtId="179" fontId="11" fillId="10" borderId="2" xfId="0" applyNumberFormat="1" applyFont="1" applyFill="1" applyBorder="1" applyAlignment="1">
      <alignment vertical="center"/>
    </xf>
    <xf numFmtId="180" fontId="11" fillId="10" borderId="2" xfId="0" applyNumberFormat="1" applyFont="1" applyFill="1" applyBorder="1" applyAlignment="1">
      <alignment vertical="center"/>
    </xf>
    <xf numFmtId="0" fontId="11" fillId="10" borderId="2" xfId="0" applyFont="1" applyFill="1" applyBorder="1" applyAlignment="1">
      <alignment vertical="center"/>
    </xf>
    <xf numFmtId="1" fontId="13" fillId="0" borderId="2" xfId="0" applyNumberFormat="1" applyFont="1" applyBorder="1" applyAlignment="1">
      <alignment vertical="center"/>
    </xf>
    <xf numFmtId="1" fontId="13" fillId="11" borderId="2" xfId="0" applyNumberFormat="1" applyFont="1" applyFill="1" applyBorder="1" applyAlignment="1">
      <alignment vertical="center"/>
    </xf>
    <xf numFmtId="1" fontId="11" fillId="0" borderId="2" xfId="0" applyNumberFormat="1" applyFont="1" applyBorder="1" applyAlignment="1">
      <alignment vertical="center"/>
    </xf>
    <xf numFmtId="1" fontId="14" fillId="6" borderId="2" xfId="0" applyNumberFormat="1" applyFont="1" applyFill="1" applyBorder="1" applyAlignment="1">
      <alignment vertical="center"/>
    </xf>
    <xf numFmtId="178" fontId="13" fillId="11" borderId="2" xfId="0" applyNumberFormat="1" applyFont="1" applyFill="1" applyBorder="1" applyAlignment="1">
      <alignment vertical="center"/>
    </xf>
    <xf numFmtId="179" fontId="13" fillId="11" borderId="2" xfId="0" applyNumberFormat="1" applyFont="1" applyFill="1" applyBorder="1" applyAlignment="1">
      <alignment vertical="center"/>
    </xf>
    <xf numFmtId="179" fontId="12" fillId="0" borderId="2" xfId="0" applyNumberFormat="1" applyFont="1" applyBorder="1" applyAlignment="1">
      <alignment vertical="center"/>
    </xf>
    <xf numFmtId="176" fontId="11" fillId="0" borderId="2" xfId="0" applyNumberFormat="1" applyFont="1" applyBorder="1" applyAlignment="1">
      <alignment vertical="center"/>
    </xf>
    <xf numFmtId="179" fontId="11" fillId="0" borderId="2" xfId="0" applyNumberFormat="1" applyFont="1" applyBorder="1" applyAlignment="1">
      <alignment vertical="center"/>
    </xf>
    <xf numFmtId="180" fontId="11" fillId="0" borderId="2" xfId="0" applyNumberFormat="1" applyFont="1" applyBorder="1" applyAlignment="1">
      <alignment vertical="center"/>
    </xf>
    <xf numFmtId="0" fontId="15" fillId="2" borderId="0" xfId="0" applyNumberFormat="1" applyFont="1" applyFill="1" applyBorder="1" applyAlignment="1">
      <alignment vertical="center" wrapText="1"/>
    </xf>
    <xf numFmtId="1" fontId="14" fillId="3" borderId="2" xfId="0" applyNumberFormat="1" applyFont="1" applyFill="1" applyBorder="1" applyAlignment="1">
      <alignment vertical="center"/>
    </xf>
    <xf numFmtId="0" fontId="16" fillId="0" borderId="0" xfId="6"/>
    <xf numFmtId="0" fontId="17" fillId="0" borderId="2" xfId="0" applyFont="1" applyBorder="1" applyAlignment="1">
      <alignment vertical="center"/>
    </xf>
    <xf numFmtId="0" fontId="17" fillId="0" borderId="2" xfId="0" applyFont="1" applyBorder="1" applyAlignment="1">
      <alignment vertical="center" wrapText="1"/>
    </xf>
    <xf numFmtId="176" fontId="17" fillId="0" borderId="2" xfId="0" applyNumberFormat="1" applyFont="1" applyBorder="1" applyAlignment="1">
      <alignment vertical="center"/>
    </xf>
    <xf numFmtId="0" fontId="7" fillId="8" borderId="3" xfId="0" applyFont="1" applyFill="1" applyBorder="1"/>
    <xf numFmtId="176" fontId="7" fillId="8" borderId="3" xfId="0" applyNumberFormat="1" applyFont="1" applyFill="1" applyBorder="1"/>
    <xf numFmtId="0" fontId="18" fillId="6" borderId="0" xfId="0" applyFont="1" applyFill="1" applyAlignment="1">
      <alignment vertical="center" wrapText="1"/>
    </xf>
    <xf numFmtId="0" fontId="19" fillId="0" borderId="0" xfId="0" applyFont="1"/>
    <xf numFmtId="0" fontId="20" fillId="0" borderId="0" xfId="0" applyFont="1" applyAlignment="1">
      <alignment vertical="center" wrapText="1"/>
    </xf>
    <xf numFmtId="0" fontId="21" fillId="6" borderId="0" xfId="0" applyFont="1" applyFill="1"/>
    <xf numFmtId="0" fontId="22" fillId="0" borderId="0" xfId="0" applyFont="1"/>
    <xf numFmtId="0" fontId="21" fillId="11" borderId="0" xfId="0" applyFont="1" applyFill="1"/>
    <xf numFmtId="0" fontId="23" fillId="12" borderId="0" xfId="0" applyFont="1" applyFill="1"/>
    <xf numFmtId="0" fontId="24" fillId="12" borderId="0" xfId="0" applyFont="1" applyFill="1"/>
    <xf numFmtId="0" fontId="25" fillId="0" borderId="2" xfId="0" applyFont="1" applyBorder="1" applyAlignment="1">
      <alignment vertical="top" wrapText="1"/>
    </xf>
    <xf numFmtId="181" fontId="25" fillId="0" borderId="2" xfId="0" applyNumberFormat="1" applyFont="1" applyBorder="1" applyAlignment="1">
      <alignment vertical="top" wrapText="1"/>
    </xf>
    <xf numFmtId="0" fontId="22" fillId="0" borderId="0" xfId="0" applyFont="1" applyAlignment="1">
      <alignment vertical="center" wrapText="1"/>
    </xf>
    <xf numFmtId="0" fontId="26" fillId="9" borderId="0" xfId="6" applyFont="1" applyFill="1"/>
    <xf numFmtId="0" fontId="27" fillId="0" borderId="0" xfId="0" applyFont="1"/>
    <xf numFmtId="0" fontId="2" fillId="0" borderId="0" xfId="0" applyNumberFormat="1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8CBAD"/>
        </patternFill>
      </fill>
    </dxf>
    <dxf>
      <font>
        <name val="Microsoft YaHei"/>
        <scheme val="none"/>
        <b val="1"/>
        <color rgb="FFC00000"/>
      </font>
      <fill>
        <patternFill patternType="solid">
          <bgColor rgb="FFFCE4D6"/>
        </patternFill>
      </fill>
    </dxf>
    <dxf>
      <font>
        <color rgb="FFC00000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2" Type="http://schemas.openxmlformats.org/officeDocument/2006/relationships/styles" Target="styles.xml"/><Relationship Id="rId31" Type="http://schemas.openxmlformats.org/officeDocument/2006/relationships/sharedStrings" Target="sharedStrings.xml"/><Relationship Id="rId30" Type="http://schemas.openxmlformats.org/officeDocument/2006/relationships/theme" Target="theme/theme1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odeSummary" displayName="ModeSummary" ref="A4:L16">
  <autoFilter xmlns:etc="http://www.wps.cn/officeDocument/2017/etCustomData" ref="A4:L16" etc:filterBottomFollowUsedRange="0"/>
  <tableColumns count="12">
    <tableColumn id="1" name="玩法"/>
    <tableColumn id="2" name="状态"/>
    <tableColumn id="3" name="节点口径"/>
    <tableColumn id="4" name="节点数"/>
    <tableColumn id="5" name="需填等级"/>
    <tableColumn id="6" name="已填有效"/>
    <tableColumn id="7" name="完成率"/>
    <tableColumn id="8" name="最低等级"/>
    <tableColumn id="9" name="最高等级"/>
    <tableColumn id="10" name="等级下降"/>
    <tableColumn id="11" name="超范围"/>
    <tableColumn id="12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fficulty_Main" displayName="Difficulty_Main" ref="A4:AD103">
  <autoFilter xmlns:etc="http://www.wps.cn/officeDocument/2017/etCustomData" ref="A4:AD103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>
      <calculatedColumnFormula>IF(OR($J5="",ROW()=5,$B5&lt;&gt;$B4,$J4=""),"",IF($J5&lt;$J4,"下降",""))</calculatedColumnFormula>
    </tableColumn>
    <tableColumn id="30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fficulty_HardMain" displayName="Difficulty_HardMain" ref="A4:AD39">
  <autoFilter xmlns:etc="http://www.wps.cn/officeDocument/2017/etCustomData" ref="A4:AD39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fficulty_RoleExp" displayName="Difficulty_RoleExp" ref="A4:AD13">
  <autoFilter xmlns:etc="http://www.wps.cn/officeDocument/2017/etCustomData" ref="A4:AD13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fficulty_Coin" displayName="Difficulty_Coin" ref="A4:AD13">
  <autoFilter xmlns:etc="http://www.wps.cn/officeDocument/2017/etCustomData" ref="A4:AD13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fficulty_ContainmentExp" displayName="Difficulty_ContainmentExp" ref="A4:AD13">
  <autoFilter xmlns:etc="http://www.wps.cn/officeDocument/2017/etCustomData" ref="A4:AD13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fficulty_Travel" displayName="Difficulty_Travel" ref="A4:AD14">
  <autoFilter xmlns:etc="http://www.wps.cn/officeDocument/2017/etCustomData" ref="A4:AD14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fficulty_Mapping" displayName="Difficulty_Mapping" ref="A4:AD34">
  <autoFilter xmlns:etc="http://www.wps.cn/officeDocument/2017/etCustomData" ref="A4:AD34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fficulty_Tower" displayName="Difficulty_Tower" ref="A4:AD104">
  <autoFilter xmlns:etc="http://www.wps.cn/officeDocument/2017/etCustomData" ref="A4:AD104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fficulty_BossChallenge" displayName="Difficulty_BossChallenge" ref="A4:AD14">
  <autoFilter xmlns:etc="http://www.wps.cn/officeDocument/2017/etCustomData" ref="A4:AD14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fficulty_Rogue" displayName="Difficulty_Rogue" ref="A4:AD9">
  <autoFilter xmlns:etc="http://www.wps.cn/officeDocument/2017/etCustomData" ref="A4:AD9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fficulty_Mythic" displayName="Difficulty_Mythic" ref="A4:AD29">
  <autoFilter xmlns:etc="http://www.wps.cn/officeDocument/2017/etCustomData" ref="A4:AD29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Difficulty_PVPVE" displayName="Difficulty_PVPVE" ref="A4:AD6">
  <autoFilter xmlns:etc="http://www.wps.cn/officeDocument/2017/etCustomData" ref="A4:AD6" etc:filterBottomFollowUsedRange="0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#'Boss&#25361;&#25112;'!A1" TargetMode="External"/><Relationship Id="rId8" Type="http://schemas.openxmlformats.org/officeDocument/2006/relationships/hyperlink" Target="#'&#29228;&#22612;'!A1" TargetMode="External"/><Relationship Id="rId7" Type="http://schemas.openxmlformats.org/officeDocument/2006/relationships/hyperlink" Target="#'&#26144;&#23556;'!A1" TargetMode="External"/><Relationship Id="rId6" Type="http://schemas.openxmlformats.org/officeDocument/2006/relationships/hyperlink" Target="#'&#26053;&#21048;'!A1" TargetMode="External"/><Relationship Id="rId5" Type="http://schemas.openxmlformats.org/officeDocument/2006/relationships/hyperlink" Target="#'&#25910;&#23481;&#32463;&#39564;'!A1" TargetMode="External"/><Relationship Id="rId4" Type="http://schemas.openxmlformats.org/officeDocument/2006/relationships/hyperlink" Target="#'&#37329;&#24065;'!A1" TargetMode="External"/><Relationship Id="rId3" Type="http://schemas.openxmlformats.org/officeDocument/2006/relationships/hyperlink" Target="#'&#35282;&#33394;&#32463;&#39564;'!A1" TargetMode="External"/><Relationship Id="rId2" Type="http://schemas.openxmlformats.org/officeDocument/2006/relationships/hyperlink" Target="#'&#22256;&#38590;&#20027;&#32447;'!A1" TargetMode="External"/><Relationship Id="rId12" Type="http://schemas.openxmlformats.org/officeDocument/2006/relationships/hyperlink" Target="#'PVPVE'!A1" TargetMode="External"/><Relationship Id="rId11" Type="http://schemas.openxmlformats.org/officeDocument/2006/relationships/hyperlink" Target="#'&#22823;&#31192;&#22659;'!A1" TargetMode="External"/><Relationship Id="rId10" Type="http://schemas.openxmlformats.org/officeDocument/2006/relationships/hyperlink" Target="#'&#32905;&#40509;'!A1" TargetMode="External"/><Relationship Id="rId1" Type="http://schemas.openxmlformats.org/officeDocument/2006/relationships/hyperlink" Target="#'&#20027;&#32447;'!A1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#'&#29228;&#22612;'!A1" TargetMode="External"/><Relationship Id="rId8" Type="http://schemas.openxmlformats.org/officeDocument/2006/relationships/hyperlink" Target="#'&#26144;&#23556;'!A1" TargetMode="External"/><Relationship Id="rId7" Type="http://schemas.openxmlformats.org/officeDocument/2006/relationships/hyperlink" Target="#'&#26053;&#21048;'!A1" TargetMode="External"/><Relationship Id="rId6" Type="http://schemas.openxmlformats.org/officeDocument/2006/relationships/hyperlink" Target="#'&#25910;&#23481;&#32463;&#39564;'!A1" TargetMode="External"/><Relationship Id="rId5" Type="http://schemas.openxmlformats.org/officeDocument/2006/relationships/hyperlink" Target="#'&#37329;&#24065;'!A1" TargetMode="External"/><Relationship Id="rId4" Type="http://schemas.openxmlformats.org/officeDocument/2006/relationships/hyperlink" Target="#'&#35282;&#33394;&#32463;&#39564;'!A1" TargetMode="External"/><Relationship Id="rId3" Type="http://schemas.openxmlformats.org/officeDocument/2006/relationships/hyperlink" Target="#'&#22256;&#38590;&#20027;&#32447;'!A1" TargetMode="External"/><Relationship Id="rId2" Type="http://schemas.openxmlformats.org/officeDocument/2006/relationships/hyperlink" Target="#'&#20027;&#32447;'!A1" TargetMode="External"/><Relationship Id="rId13" Type="http://schemas.openxmlformats.org/officeDocument/2006/relationships/hyperlink" Target="#'PVPVE'!A1" TargetMode="External"/><Relationship Id="rId12" Type="http://schemas.openxmlformats.org/officeDocument/2006/relationships/hyperlink" Target="#'&#22823;&#31192;&#22659;'!A1" TargetMode="External"/><Relationship Id="rId11" Type="http://schemas.openxmlformats.org/officeDocument/2006/relationships/hyperlink" Target="#'&#32905;&#40509;'!A1" TargetMode="External"/><Relationship Id="rId10" Type="http://schemas.openxmlformats.org/officeDocument/2006/relationships/hyperlink" Target="#'Boss&#25361;&#25112;'!A1" TargetMode="Externa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5.xm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6.xml"/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7.xml"/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8.xml"/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9.xml"/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10.xml"/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11.xml"/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3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12.xml"/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_rels/sheet14.xml.rels><?xml version="1.0" encoding="UTF-8" standalone="yes"?>
<Relationships xmlns="http://schemas.openxmlformats.org/package/2006/relationships"><Relationship Id="rId4" Type="http://schemas.openxmlformats.org/officeDocument/2006/relationships/hyperlink" Target="#'&#29609;&#27861;&#27719;&#24635;'!A1" TargetMode="External"/><Relationship Id="rId3" Type="http://schemas.openxmlformats.org/officeDocument/2006/relationships/table" Target="../tables/table13.xml"/><Relationship Id="rId2" Type="http://schemas.openxmlformats.org/officeDocument/2006/relationships/vmlDrawing" Target="../drawings/vmlDrawing12.vml"/><Relationship Id="rId1" Type="http://schemas.openxmlformats.org/officeDocument/2006/relationships/comments" Target="../comments12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comments" Target="../comments13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comments" Target="../comments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9"/>
  <sheetViews>
    <sheetView showGridLines="0" tabSelected="1" workbookViewId="0">
      <selection activeCell="A1" sqref="A1:I1"/>
    </sheetView>
  </sheetViews>
  <sheetFormatPr defaultColWidth="9" defaultRowHeight="13.5"/>
  <cols>
    <col min="1" max="1" width="17" customWidth="1"/>
    <col min="2" max="3" width="34" customWidth="1"/>
    <col min="4" max="4" width="67" customWidth="1"/>
    <col min="5" max="5" width="20" customWidth="1"/>
    <col min="6" max="9" width="12" customWidth="1"/>
  </cols>
  <sheetData>
    <row r="1" ht="34" customHeight="1" spans="1:2">
      <c r="A1" s="26" t="s">
        <v>0</v>
      </c>
    </row>
    <row r="3" ht="42" customHeight="1" spans="1:2">
      <c r="A3" s="58" t="s">
        <v>1</v>
      </c>
    </row>
    <row r="5" ht="27" customHeight="1" spans="1:2">
      <c r="A5" s="59" t="s">
        <v>2</v>
      </c>
      <c r="B5" s="60" t="s">
        <v>3</v>
      </c>
    </row>
    <row r="6" ht="27" customHeight="1" spans="1:2">
      <c r="A6" s="59" t="s">
        <v>4</v>
      </c>
      <c r="B6" s="60" t="s">
        <v>5</v>
      </c>
    </row>
    <row r="7" ht="27" customHeight="1" spans="1:2">
      <c r="A7" s="59" t="s">
        <v>6</v>
      </c>
      <c r="B7" s="60" t="s">
        <v>7</v>
      </c>
    </row>
    <row r="8" ht="27" customHeight="1" spans="1:2">
      <c r="A8" s="59" t="s">
        <v>8</v>
      </c>
      <c r="B8" s="60" t="s">
        <v>9</v>
      </c>
    </row>
    <row r="9" ht="27" customHeight="1" spans="1:2">
      <c r="A9" s="59" t="s">
        <v>10</v>
      </c>
      <c r="B9" s="60" t="s">
        <v>11</v>
      </c>
    </row>
    <row r="10" ht="27" customHeight="1" spans="1:2">
      <c r="A10" s="59" t="s">
        <v>12</v>
      </c>
      <c r="B10" s="60" t="s">
        <v>13</v>
      </c>
    </row>
    <row r="12" ht="15" customHeight="1" spans="1:2">
      <c r="A12" s="25" t="s">
        <v>14</v>
      </c>
    </row>
    <row r="13" ht="16.5" customHeight="1" spans="1:2">
      <c r="A13" s="61" t="s">
        <v>15</v>
      </c>
      <c r="B13" s="62" t="s">
        <v>16</v>
      </c>
    </row>
    <row r="14" ht="16.5" customHeight="1" spans="1:2">
      <c r="A14" s="63" t="s">
        <v>17</v>
      </c>
      <c r="B14" s="62" t="s">
        <v>18</v>
      </c>
    </row>
    <row r="15" ht="16.5" customHeight="1" spans="1:2">
      <c r="A15" s="64" t="s">
        <v>19</v>
      </c>
      <c r="B15" s="62" t="s">
        <v>20</v>
      </c>
    </row>
    <row r="16" ht="16.5" customHeight="1" spans="1:2">
      <c r="A16" s="65" t="s">
        <v>21</v>
      </c>
      <c r="B16" s="62" t="s">
        <v>22</v>
      </c>
    </row>
    <row r="18" ht="15" customHeight="1" spans="1:5">
      <c r="A18" s="25" t="s">
        <v>23</v>
      </c>
    </row>
    <row r="19" ht="36" customHeight="1" spans="1:5">
      <c r="A19" s="29" t="s">
        <v>24</v>
      </c>
      <c r="B19" s="29" t="s">
        <v>25</v>
      </c>
      <c r="C19" s="29" t="s">
        <v>26</v>
      </c>
      <c r="D19" s="29" t="s">
        <v>27</v>
      </c>
      <c r="E19" s="29" t="s">
        <v>28</v>
      </c>
    </row>
    <row r="20" ht="42" customHeight="1" spans="1:5">
      <c r="A20" s="66" t="s">
        <v>29</v>
      </c>
      <c r="B20" s="66" t="s">
        <v>30</v>
      </c>
      <c r="C20" s="66" t="s">
        <v>31</v>
      </c>
      <c r="D20" s="66" t="s">
        <v>32</v>
      </c>
      <c r="E20" s="67">
        <v>46244.6139287934</v>
      </c>
    </row>
    <row r="21" ht="42" customHeight="1" spans="1:5">
      <c r="A21" s="66" t="s">
        <v>33</v>
      </c>
      <c r="B21" s="66" t="s">
        <v>34</v>
      </c>
      <c r="C21" s="66" t="s">
        <v>35</v>
      </c>
      <c r="D21" s="66" t="s">
        <v>36</v>
      </c>
      <c r="E21" s="67">
        <v>46239.7193433796</v>
      </c>
    </row>
    <row r="22" ht="42" customHeight="1" spans="1:5">
      <c r="A22" s="66" t="s">
        <v>37</v>
      </c>
      <c r="B22" s="66" t="s">
        <v>38</v>
      </c>
      <c r="C22" s="66" t="s">
        <v>39</v>
      </c>
      <c r="D22" s="66" t="s">
        <v>40</v>
      </c>
      <c r="E22" s="67">
        <v>46240.415280162</v>
      </c>
    </row>
    <row r="23" ht="42" customHeight="1" spans="1:5">
      <c r="A23" s="66" t="s">
        <v>41</v>
      </c>
      <c r="B23" s="66" t="s">
        <v>42</v>
      </c>
      <c r="C23" s="66" t="s">
        <v>43</v>
      </c>
      <c r="D23" s="66" t="s">
        <v>44</v>
      </c>
      <c r="E23" s="67">
        <v>46240.4152802778</v>
      </c>
    </row>
    <row r="26" ht="15" customHeight="1" spans="1:5">
      <c r="A26" s="25" t="s">
        <v>45</v>
      </c>
    </row>
    <row r="27" ht="27" customHeight="1" spans="1:5">
      <c r="A27" s="68" t="s">
        <v>46</v>
      </c>
    </row>
    <row r="28" ht="27" customHeight="1" spans="1:5">
      <c r="A28" s="68" t="s">
        <v>47</v>
      </c>
    </row>
    <row r="29" ht="27" customHeight="1" spans="1:5">
      <c r="A29" s="68" t="s">
        <v>48</v>
      </c>
    </row>
    <row r="30" ht="27" customHeight="1" spans="1:5">
      <c r="A30" s="68" t="s">
        <v>49</v>
      </c>
    </row>
    <row r="33" ht="15" customHeight="1" spans="1:8">
      <c r="A33" s="25" t="s">
        <v>50</v>
      </c>
    </row>
    <row r="34" ht="24" customHeight="1" spans="1:8">
      <c r="A34" s="69" t="s">
        <v>51</v>
      </c>
      <c r="B34" s="70" t="s">
        <v>52</v>
      </c>
      <c r="C34" s="69" t="s">
        <v>53</v>
      </c>
      <c r="D34" s="70" t="s">
        <v>52</v>
      </c>
      <c r="E34" s="69" t="s">
        <v>54</v>
      </c>
      <c r="F34" s="70" t="s">
        <v>52</v>
      </c>
      <c r="G34" s="69" t="s">
        <v>55</v>
      </c>
      <c r="H34" s="70" t="s">
        <v>52</v>
      </c>
    </row>
    <row r="35" ht="24" customHeight="1" spans="1:8">
      <c r="A35" s="69" t="s">
        <v>56</v>
      </c>
      <c r="B35" s="70" t="s">
        <v>52</v>
      </c>
      <c r="C35" s="69" t="s">
        <v>57</v>
      </c>
      <c r="D35" s="70" t="s">
        <v>52</v>
      </c>
      <c r="E35" s="69" t="s">
        <v>58</v>
      </c>
      <c r="F35" s="70" t="s">
        <v>52</v>
      </c>
      <c r="G35" s="69" t="s">
        <v>59</v>
      </c>
      <c r="H35" s="70" t="s">
        <v>52</v>
      </c>
    </row>
    <row r="36" ht="24" customHeight="1" spans="1:8">
      <c r="A36" s="69" t="s">
        <v>60</v>
      </c>
      <c r="B36" s="70" t="s">
        <v>52</v>
      </c>
      <c r="C36" s="69" t="s">
        <v>61</v>
      </c>
      <c r="D36" s="70" t="s">
        <v>52</v>
      </c>
      <c r="E36" s="69" t="s">
        <v>62</v>
      </c>
      <c r="F36" s="70" t="s">
        <v>52</v>
      </c>
      <c r="G36" s="69" t="s">
        <v>63</v>
      </c>
      <c r="H36" s="70" t="s">
        <v>52</v>
      </c>
    </row>
    <row r="39" ht="15" customHeight="1" spans="1:8">
      <c r="A39" s="25" t="s">
        <v>64</v>
      </c>
    </row>
    <row r="40" ht="28" customHeight="1" spans="1:8">
      <c r="A40" s="59" t="s">
        <v>51</v>
      </c>
      <c r="B40" s="60" t="s">
        <v>65</v>
      </c>
    </row>
    <row r="41" ht="28" customHeight="1" spans="1:8">
      <c r="A41" s="59" t="s">
        <v>53</v>
      </c>
      <c r="B41" s="60" t="s">
        <v>66</v>
      </c>
    </row>
    <row r="42" ht="28" customHeight="1" spans="1:8">
      <c r="A42" s="59" t="s">
        <v>67</v>
      </c>
      <c r="B42" s="60" t="s">
        <v>68</v>
      </c>
    </row>
    <row r="43" ht="28" customHeight="1" spans="1:8">
      <c r="A43" s="59" t="s">
        <v>69</v>
      </c>
      <c r="B43" s="60" t="s">
        <v>70</v>
      </c>
    </row>
    <row r="44" ht="28" customHeight="1" spans="1:8">
      <c r="A44" s="59" t="s">
        <v>71</v>
      </c>
      <c r="B44" s="60" t="s">
        <v>72</v>
      </c>
    </row>
    <row r="45" ht="28" customHeight="1" spans="1:8">
      <c r="A45" s="59" t="s">
        <v>61</v>
      </c>
      <c r="B45" s="60" t="s">
        <v>73</v>
      </c>
    </row>
    <row r="46" ht="28" customHeight="1" spans="1:8">
      <c r="A46" s="59" t="s">
        <v>62</v>
      </c>
      <c r="B46" s="60" t="s">
        <v>74</v>
      </c>
    </row>
    <row r="47" ht="28" customHeight="1" spans="1:8">
      <c r="A47" s="59" t="s">
        <v>75</v>
      </c>
      <c r="B47" s="60" t="s">
        <v>76</v>
      </c>
    </row>
    <row r="49" ht="36" customHeight="1" spans="1:9">
      <c r="A49" s="71" t="s">
        <v>77</v>
      </c>
      <c r="B49" s="71"/>
      <c r="C49" s="71"/>
      <c r="D49" s="71"/>
      <c r="E49" s="71"/>
      <c r="F49" s="71"/>
      <c r="G49" s="71"/>
      <c r="H49" s="71"/>
      <c r="I49" s="71"/>
    </row>
  </sheetData>
  <mergeCells count="30">
    <mergeCell ref="A1:I1"/>
    <mergeCell ref="A3:I3"/>
    <mergeCell ref="B5:I5"/>
    <mergeCell ref="B6:I6"/>
    <mergeCell ref="B7:I7"/>
    <mergeCell ref="B8:I8"/>
    <mergeCell ref="B9:I9"/>
    <mergeCell ref="B10:I10"/>
    <mergeCell ref="A12:I12"/>
    <mergeCell ref="B13:I13"/>
    <mergeCell ref="B14:I14"/>
    <mergeCell ref="B15:I15"/>
    <mergeCell ref="B16:I16"/>
    <mergeCell ref="A18:I18"/>
    <mergeCell ref="A26:I26"/>
    <mergeCell ref="A27:I27"/>
    <mergeCell ref="A28:I28"/>
    <mergeCell ref="A29:I29"/>
    <mergeCell ref="A30:I30"/>
    <mergeCell ref="A33:I33"/>
    <mergeCell ref="A39:I39"/>
    <mergeCell ref="B40:I40"/>
    <mergeCell ref="B41:I41"/>
    <mergeCell ref="B42:I42"/>
    <mergeCell ref="B43:I43"/>
    <mergeCell ref="B44:I44"/>
    <mergeCell ref="B45:I45"/>
    <mergeCell ref="B46:I46"/>
    <mergeCell ref="B47:I47"/>
    <mergeCell ref="A49:I49"/>
  </mergeCells>
  <hyperlinks>
    <hyperlink ref="A34" r:id="rId1" display="主线"/>
    <hyperlink ref="C34" r:id="rId2" display="困难主线"/>
    <hyperlink ref="E34" r:id="rId3" display="角色经验"/>
    <hyperlink ref="G34" r:id="rId4" display="金币"/>
    <hyperlink ref="A35" r:id="rId5" display="收容经验"/>
    <hyperlink ref="C35" r:id="rId6" display="旅券"/>
    <hyperlink ref="E35" r:id="rId7" display="映射"/>
    <hyperlink ref="G35" r:id="rId8" display="爬塔"/>
    <hyperlink ref="A36" r:id="rId9" display="Boss挑战"/>
    <hyperlink ref="C36" r:id="rId10" display="肉鸽"/>
    <hyperlink ref="E36" r:id="rId11" display="大秘境"/>
    <hyperlink ref="G36" r:id="rId12" display="PVPVE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showGridLines="0" workbookViewId="0">
      <selection activeCell="A1" sqref="A1:L1"/>
    </sheetView>
  </sheetViews>
  <sheetFormatPr defaultColWidth="9" defaultRowHeight="13.5"/>
  <cols>
    <col min="1" max="1" width="15" customWidth="1"/>
    <col min="2" max="2" width="14" customWidth="1"/>
    <col min="3" max="3" width="23" customWidth="1"/>
    <col min="4" max="4" width="10" customWidth="1"/>
    <col min="5" max="11" width="12" customWidth="1"/>
    <col min="12" max="12" width="55" customWidth="1"/>
  </cols>
  <sheetData>
    <row r="1" ht="34" customHeight="1" spans="1:12">
      <c r="A1" s="26" t="s">
        <v>78</v>
      </c>
    </row>
    <row r="2" ht="15" customHeight="1" spans="1:12">
      <c r="A2" s="27" t="s">
        <v>79</v>
      </c>
    </row>
    <row r="4" ht="36" customHeight="1" spans="1:12">
      <c r="A4" s="29" t="s">
        <v>80</v>
      </c>
      <c r="B4" s="29" t="s">
        <v>81</v>
      </c>
      <c r="C4" s="29" t="s">
        <v>82</v>
      </c>
      <c r="D4" s="29" t="s">
        <v>83</v>
      </c>
      <c r="E4" s="29" t="s">
        <v>84</v>
      </c>
      <c r="F4" s="29" t="s">
        <v>85</v>
      </c>
      <c r="G4" s="29" t="s">
        <v>86</v>
      </c>
      <c r="H4" s="29" t="s">
        <v>87</v>
      </c>
      <c r="I4" s="29" t="s">
        <v>88</v>
      </c>
      <c r="J4" s="29" t="s">
        <v>89</v>
      </c>
      <c r="K4" s="29" t="s">
        <v>90</v>
      </c>
      <c r="L4" s="29" t="s">
        <v>91</v>
      </c>
    </row>
    <row r="5" ht="30" customHeight="1" spans="1:12">
      <c r="A5" s="52" t="s">
        <v>51</v>
      </c>
      <c r="B5" s="53" t="s">
        <v>92</v>
      </c>
      <c r="C5" s="54" t="s">
        <v>93</v>
      </c>
      <c r="D5" s="53">
        <f>ROWS(主线!$B$5:$B$103)</f>
        <v>99</v>
      </c>
      <c r="E5" s="53">
        <f t="shared" ref="E5:E15" si="0">D5</f>
        <v>99</v>
      </c>
      <c r="F5" s="53">
        <f>COUNTIFS(主线!$J$5:$J$103,"&gt;=1",主线!$J$5:$J$103,"&lt;=500")</f>
        <v>99</v>
      </c>
      <c r="G5" s="55">
        <f t="shared" ref="G5:G16" si="1">IF($E5=0,1,$F5/$E5)</f>
        <v>1</v>
      </c>
      <c r="H5" s="53">
        <f>IF($F5=0,"",_xlfn.MINIFS(主线!$J$5:$J$103,主线!$J$5:$J$103,"&gt;=1",主线!$J$5:$J$103,"&lt;=500"))</f>
        <v>5</v>
      </c>
      <c r="I5" s="53">
        <f>IF($F5=0,"",_xlfn.MAXIFS(主线!$J$5:$J$103,主线!$J$5:$J$103,"&gt;=1",主线!$J$5:$J$103,"&lt;=500"))</f>
        <v>154</v>
      </c>
      <c r="J5" s="53">
        <f>COUNTIF(主线!$AC$5:$AC$103,"下降")</f>
        <v>0</v>
      </c>
      <c r="K5" s="53">
        <f>COUNTIF(主线!$AB$5:$AB$103,"超范围")</f>
        <v>0</v>
      </c>
      <c r="L5" s="54" t="s">
        <v>94</v>
      </c>
    </row>
    <row r="6" ht="30" customHeight="1" spans="1:12">
      <c r="A6" s="52" t="s">
        <v>53</v>
      </c>
      <c r="B6" s="53" t="s">
        <v>92</v>
      </c>
      <c r="C6" s="54" t="s">
        <v>95</v>
      </c>
      <c r="D6" s="53">
        <f>ROWS(困难主线!$B$5:$B$39)</f>
        <v>35</v>
      </c>
      <c r="E6" s="53">
        <f t="shared" si="0"/>
        <v>35</v>
      </c>
      <c r="F6" s="53">
        <f>COUNTIFS(困难主线!$J$5:$J$39,"&gt;=1",困难主线!$J$5:$J$39,"&lt;=500")</f>
        <v>35</v>
      </c>
      <c r="G6" s="55">
        <f t="shared" si="1"/>
        <v>1</v>
      </c>
      <c r="H6" s="53">
        <f>IF($F6=0,"",_xlfn.MINIFS(困难主线!$J$5:$J$39,困难主线!$J$5:$J$39,"&gt;=1",困难主线!$J$5:$J$39,"&lt;=500"))</f>
        <v>116</v>
      </c>
      <c r="I6" s="53">
        <f>IF($F6=0,"",_xlfn.MAXIFS(困难主线!$J$5:$J$39,困难主线!$J$5:$J$39,"&gt;=1",困难主线!$J$5:$J$39,"&lt;=500"))</f>
        <v>207</v>
      </c>
      <c r="J6" s="53">
        <f>COUNTIF(困难主线!$AC$5:$AC$39,"下降")</f>
        <v>0</v>
      </c>
      <c r="K6" s="53">
        <f>COUNTIF(困难主线!$AB$5:$AB$39,"超范围")</f>
        <v>0</v>
      </c>
      <c r="L6" s="54" t="s">
        <v>96</v>
      </c>
    </row>
    <row r="7" ht="30" customHeight="1" spans="1:12">
      <c r="A7" s="52" t="s">
        <v>54</v>
      </c>
      <c r="B7" s="53" t="s">
        <v>92</v>
      </c>
      <c r="C7" s="54" t="s">
        <v>97</v>
      </c>
      <c r="D7" s="53">
        <f>ROWS(角色经验!$B$5:$B$13)</f>
        <v>9</v>
      </c>
      <c r="E7" s="53">
        <f t="shared" si="0"/>
        <v>9</v>
      </c>
      <c r="F7" s="53">
        <f>COUNTIFS(角色经验!$J$5:$J$13,"&gt;=1",角色经验!$J$5:$J$13,"&lt;=500")</f>
        <v>9</v>
      </c>
      <c r="G7" s="55">
        <f t="shared" si="1"/>
        <v>1</v>
      </c>
      <c r="H7" s="53">
        <f>IF($F7=0,"",_xlfn.MINIFS(角色经验!$J$5:$J$13,角色经验!$J$5:$J$13,"&gt;=1",角色经验!$J$5:$J$13,"&lt;=500"))</f>
        <v>20</v>
      </c>
      <c r="I7" s="53">
        <f>IF($F7=0,"",_xlfn.MAXIFS(角色经验!$J$5:$J$13,角色经验!$J$5:$J$13,"&gt;=1",角色经验!$J$5:$J$13,"&lt;=500"))</f>
        <v>126</v>
      </c>
      <c r="J7" s="53">
        <f>COUNTIF(角色经验!$AC$5:$AC$13,"下降")</f>
        <v>0</v>
      </c>
      <c r="K7" s="53">
        <f>COUNTIF(角色经验!$AB$5:$AB$13,"超范围")</f>
        <v>0</v>
      </c>
      <c r="L7" s="54" t="s">
        <v>98</v>
      </c>
    </row>
    <row r="8" ht="30" customHeight="1" spans="1:12">
      <c r="A8" s="52" t="s">
        <v>55</v>
      </c>
      <c r="B8" s="53" t="s">
        <v>92</v>
      </c>
      <c r="C8" s="54" t="s">
        <v>97</v>
      </c>
      <c r="D8" s="53">
        <f>ROWS(金币!$B$5:$B$13)</f>
        <v>9</v>
      </c>
      <c r="E8" s="53">
        <f t="shared" si="0"/>
        <v>9</v>
      </c>
      <c r="F8" s="53">
        <f>COUNTIFS(金币!$J$5:$J$13,"&gt;=1",金币!$J$5:$J$13,"&lt;=500")</f>
        <v>9</v>
      </c>
      <c r="G8" s="55">
        <f t="shared" si="1"/>
        <v>1</v>
      </c>
      <c r="H8" s="53">
        <f>IF($F8=0,"",_xlfn.MINIFS(金币!$J$5:$J$13,金币!$J$5:$J$13,"&gt;=1",金币!$J$5:$J$13,"&lt;=500"))</f>
        <v>20</v>
      </c>
      <c r="I8" s="53">
        <f>IF($F8=0,"",_xlfn.MAXIFS(金币!$J$5:$J$13,金币!$J$5:$J$13,"&gt;=1",金币!$J$5:$J$13,"&lt;=500"))</f>
        <v>126</v>
      </c>
      <c r="J8" s="53">
        <f>COUNTIF(金币!$AC$5:$AC$13,"下降")</f>
        <v>0</v>
      </c>
      <c r="K8" s="53">
        <f>COUNTIF(金币!$AB$5:$AB$13,"超范围")</f>
        <v>0</v>
      </c>
      <c r="L8" s="54" t="s">
        <v>98</v>
      </c>
    </row>
    <row r="9" ht="30" customHeight="1" spans="1:12">
      <c r="A9" s="52" t="s">
        <v>56</v>
      </c>
      <c r="B9" s="53" t="s">
        <v>92</v>
      </c>
      <c r="C9" s="54" t="s">
        <v>97</v>
      </c>
      <c r="D9" s="53">
        <f>ROWS(收容经验!$B$5:$B$13)</f>
        <v>9</v>
      </c>
      <c r="E9" s="53">
        <f t="shared" si="0"/>
        <v>9</v>
      </c>
      <c r="F9" s="53">
        <f>COUNTIFS(收容经验!$J$5:$J$13,"&gt;=1",收容经验!$J$5:$J$13,"&lt;=500")</f>
        <v>9</v>
      </c>
      <c r="G9" s="55">
        <f t="shared" si="1"/>
        <v>1</v>
      </c>
      <c r="H9" s="53">
        <f>IF($F9=0,"",_xlfn.MINIFS(收容经验!$J$5:$J$13,收容经验!$J$5:$J$13,"&gt;=1",收容经验!$J$5:$J$13,"&lt;=500"))</f>
        <v>20</v>
      </c>
      <c r="I9" s="53">
        <f>IF($F9=0,"",_xlfn.MAXIFS(收容经验!$J$5:$J$13,收容经验!$J$5:$J$13,"&gt;=1",收容经验!$J$5:$J$13,"&lt;=500"))</f>
        <v>126</v>
      </c>
      <c r="J9" s="53">
        <f>COUNTIF(收容经验!$AC$5:$AC$13,"下降")</f>
        <v>0</v>
      </c>
      <c r="K9" s="53">
        <f>COUNTIF(收容经验!$AB$5:$AB$13,"超范围")</f>
        <v>0</v>
      </c>
      <c r="L9" s="54" t="s">
        <v>98</v>
      </c>
    </row>
    <row r="10" ht="30" customHeight="1" spans="1:12">
      <c r="A10" s="52" t="s">
        <v>57</v>
      </c>
      <c r="B10" s="53" t="s">
        <v>92</v>
      </c>
      <c r="C10" s="54" t="s">
        <v>99</v>
      </c>
      <c r="D10" s="53">
        <f>ROWS(旅券!$B$5:$B$14)</f>
        <v>10</v>
      </c>
      <c r="E10" s="53">
        <f t="shared" si="0"/>
        <v>10</v>
      </c>
      <c r="F10" s="53">
        <f>COUNTIFS(旅券!$J$5:$J$14,"&gt;=1",旅券!$J$5:$J$14,"&lt;=500")</f>
        <v>10</v>
      </c>
      <c r="G10" s="55">
        <f t="shared" si="1"/>
        <v>1</v>
      </c>
      <c r="H10" s="53">
        <f>IF($F10=0,"",_xlfn.MINIFS(旅券!$J$5:$J$14,旅券!$J$5:$J$14,"&gt;=1",旅券!$J$5:$J$14,"&lt;=500"))</f>
        <v>102</v>
      </c>
      <c r="I10" s="53">
        <f>IF($F10=0,"",_xlfn.MAXIFS(旅券!$J$5:$J$14,旅券!$J$5:$J$14,"&gt;=1",旅券!$J$5:$J$14,"&lt;=500"))</f>
        <v>312</v>
      </c>
      <c r="J10" s="53">
        <f>COUNTIF(旅券!$AC$5:$AC$14,"下降")</f>
        <v>0</v>
      </c>
      <c r="K10" s="53">
        <f>COUNTIF(旅券!$AB$5:$AB$14,"超范围")</f>
        <v>0</v>
      </c>
      <c r="L10" s="54" t="s">
        <v>100</v>
      </c>
    </row>
    <row r="11" ht="30" customHeight="1" spans="1:12">
      <c r="A11" s="52" t="s">
        <v>58</v>
      </c>
      <c r="B11" s="53" t="s">
        <v>92</v>
      </c>
      <c r="C11" s="54" t="s">
        <v>101</v>
      </c>
      <c r="D11" s="53">
        <f>ROWS(映射!$B$5:$B$34)</f>
        <v>30</v>
      </c>
      <c r="E11" s="53">
        <f t="shared" si="0"/>
        <v>30</v>
      </c>
      <c r="F11" s="53">
        <f>COUNTIFS(映射!$J$5:$J$34,"&gt;=1",映射!$J$5:$J$34,"&lt;=500")</f>
        <v>30</v>
      </c>
      <c r="G11" s="55">
        <f t="shared" si="1"/>
        <v>1</v>
      </c>
      <c r="H11" s="53">
        <f>IF($F11=0,"",_xlfn.MINIFS(映射!$J$5:$J$34,映射!$J$5:$J$34,"&gt;=1",映射!$J$5:$J$34,"&lt;=500"))</f>
        <v>23</v>
      </c>
      <c r="I11" s="53">
        <f>IF($F11=0,"",_xlfn.MAXIFS(映射!$J$5:$J$34,映射!$J$5:$J$34,"&gt;=1",映射!$J$5:$J$34,"&lt;=500"))</f>
        <v>305</v>
      </c>
      <c r="J11" s="53">
        <f>COUNTIF(映射!$AC$5:$AC$34,"下降")</f>
        <v>0</v>
      </c>
      <c r="K11" s="53">
        <f>COUNTIF(映射!$AB$5:$AB$34,"超范围")</f>
        <v>0</v>
      </c>
      <c r="L11" s="54" t="s">
        <v>102</v>
      </c>
    </row>
    <row r="12" ht="30" customHeight="1" spans="1:12">
      <c r="A12" s="52" t="s">
        <v>59</v>
      </c>
      <c r="B12" s="53" t="s">
        <v>92</v>
      </c>
      <c r="C12" s="54" t="s">
        <v>103</v>
      </c>
      <c r="D12" s="53">
        <f>ROWS(爬塔!$B$5:$B$104)</f>
        <v>100</v>
      </c>
      <c r="E12" s="53">
        <f t="shared" si="0"/>
        <v>100</v>
      </c>
      <c r="F12" s="53">
        <f>COUNTIFS(爬塔!$J$5:$J$104,"&gt;=1",爬塔!$J$5:$J$104,"&lt;=500")</f>
        <v>100</v>
      </c>
      <c r="G12" s="55">
        <f t="shared" si="1"/>
        <v>1</v>
      </c>
      <c r="H12" s="53">
        <f>IF($F12=0,"",_xlfn.MINIFS(爬塔!$J$5:$J$104,爬塔!$J$5:$J$104,"&gt;=1",爬塔!$J$5:$J$104,"&lt;=500"))</f>
        <v>15</v>
      </c>
      <c r="I12" s="53">
        <f>IF($F12=0,"",_xlfn.MAXIFS(爬塔!$J$5:$J$104,爬塔!$J$5:$J$104,"&gt;=1",爬塔!$J$5:$J$104,"&lt;=500"))</f>
        <v>280</v>
      </c>
      <c r="J12" s="53">
        <f>COUNTIF(爬塔!$AC$5:$AC$104,"下降")</f>
        <v>0</v>
      </c>
      <c r="K12" s="53">
        <f>COUNTIF(爬塔!$AB$5:$AB$104,"超范围")</f>
        <v>0</v>
      </c>
      <c r="L12" s="54" t="s">
        <v>104</v>
      </c>
    </row>
    <row r="13" ht="30" customHeight="1" spans="1:12">
      <c r="A13" s="52" t="s">
        <v>60</v>
      </c>
      <c r="B13" s="53" t="s">
        <v>92</v>
      </c>
      <c r="C13" s="54" t="s">
        <v>105</v>
      </c>
      <c r="D13" s="53">
        <f>ROWS(Boss挑战!$B$5:$B$14)</f>
        <v>10</v>
      </c>
      <c r="E13" s="53">
        <f t="shared" si="0"/>
        <v>10</v>
      </c>
      <c r="F13" s="53">
        <f>COUNTIFS(Boss挑战!$J$5:$J$14,"&gt;=1",Boss挑战!$J$5:$J$14,"&lt;=500")</f>
        <v>10</v>
      </c>
      <c r="G13" s="55">
        <f t="shared" si="1"/>
        <v>1</v>
      </c>
      <c r="H13" s="53">
        <f>IF($F13=0,"",_xlfn.MINIFS(Boss挑战!$J$5:$J$14,Boss挑战!$J$5:$J$14,"&gt;=1",Boss挑战!$J$5:$J$14,"&lt;=500"))</f>
        <v>68</v>
      </c>
      <c r="I13" s="53">
        <f>IF($F13=0,"",_xlfn.MAXIFS(Boss挑战!$J$5:$J$14,Boss挑战!$J$5:$J$14,"&gt;=1",Boss挑战!$J$5:$J$14,"&lt;=500"))</f>
        <v>295</v>
      </c>
      <c r="J13" s="53">
        <f>COUNTIF(Boss挑战!$AC$5:$AC$14,"下降")</f>
        <v>0</v>
      </c>
      <c r="K13" s="53">
        <f>COUNTIF(Boss挑战!$AB$5:$AB$14,"超范围")</f>
        <v>0</v>
      </c>
      <c r="L13" s="54" t="s">
        <v>106</v>
      </c>
    </row>
    <row r="14" ht="30" customHeight="1" spans="1:12">
      <c r="A14" s="52" t="s">
        <v>61</v>
      </c>
      <c r="B14" s="53" t="s">
        <v>92</v>
      </c>
      <c r="C14" s="54" t="s">
        <v>107</v>
      </c>
      <c r="D14" s="53">
        <f>ROWS(肉鸽!$B$5:$B$9)</f>
        <v>5</v>
      </c>
      <c r="E14" s="53">
        <f t="shared" si="0"/>
        <v>5</v>
      </c>
      <c r="F14" s="53">
        <f>COUNTIFS(肉鸽!$J$5:$J$9,"&gt;=1",肉鸽!$J$5:$J$9,"&lt;=500")</f>
        <v>5</v>
      </c>
      <c r="G14" s="55">
        <f t="shared" si="1"/>
        <v>1</v>
      </c>
      <c r="H14" s="53">
        <f>IF($F14=0,"",_xlfn.MINIFS(肉鸽!$J$5:$J$9,肉鸽!$J$5:$J$9,"&gt;=1",肉鸽!$J$5:$J$9,"&lt;=500"))</f>
        <v>106</v>
      </c>
      <c r="I14" s="53">
        <f>IF($F14=0,"",_xlfn.MAXIFS(肉鸽!$J$5:$J$9,肉鸽!$J$5:$J$9,"&gt;=1",肉鸽!$J$5:$J$9,"&lt;=500"))</f>
        <v>286</v>
      </c>
      <c r="J14" s="53">
        <f>COUNTIF(肉鸽!$AC$5:$AC$9,"下降")</f>
        <v>0</v>
      </c>
      <c r="K14" s="53">
        <f>COUNTIF(肉鸽!$AB$5:$AB$9,"超范围")</f>
        <v>0</v>
      </c>
      <c r="L14" s="54" t="s">
        <v>108</v>
      </c>
    </row>
    <row r="15" ht="30" customHeight="1" spans="1:12">
      <c r="A15" s="52" t="s">
        <v>62</v>
      </c>
      <c r="B15" s="53" t="s">
        <v>109</v>
      </c>
      <c r="C15" s="54" t="s">
        <v>110</v>
      </c>
      <c r="D15" s="53">
        <f>ROWS(大秘境!$B$5:$B$29)</f>
        <v>25</v>
      </c>
      <c r="E15" s="53">
        <f t="shared" si="0"/>
        <v>25</v>
      </c>
      <c r="F15" s="53">
        <f>COUNTIFS(大秘境!$J$5:$J$29,"&gt;=1",大秘境!$J$5:$J$29,"&lt;=500")</f>
        <v>25</v>
      </c>
      <c r="G15" s="55">
        <f t="shared" si="1"/>
        <v>1</v>
      </c>
      <c r="H15" s="53">
        <f>IF($F15=0,"",_xlfn.MINIFS(大秘境!$J$5:$J$29,大秘境!$J$5:$J$29,"&gt;=1",大秘境!$J$5:$J$29,"&lt;=500"))</f>
        <v>143</v>
      </c>
      <c r="I15" s="53">
        <f>IF($F15=0,"",_xlfn.MAXIFS(大秘境!$J$5:$J$29,大秘境!$J$5:$J$29,"&gt;=1",大秘境!$J$5:$J$29,"&lt;=500"))</f>
        <v>302</v>
      </c>
      <c r="J15" s="53">
        <f>COUNTIF(大秘境!$AC$5:$AC$29,"下降")</f>
        <v>0</v>
      </c>
      <c r="K15" s="53">
        <f>COUNTIF(大秘境!$AB$5:$AB$29,"超范围")</f>
        <v>0</v>
      </c>
      <c r="L15" s="54" t="s">
        <v>111</v>
      </c>
    </row>
    <row r="16" ht="30" customHeight="1" spans="1:12">
      <c r="A16" s="52" t="s">
        <v>63</v>
      </c>
      <c r="B16" s="53" t="s">
        <v>112</v>
      </c>
      <c r="C16" s="54" t="s">
        <v>113</v>
      </c>
      <c r="D16" s="53">
        <f>ROWS(PVPVE!$B$5:$B$6)</f>
        <v>2</v>
      </c>
      <c r="E16" s="53">
        <f>0</f>
        <v>0</v>
      </c>
      <c r="F16" s="53">
        <f>COUNTIFS(PVPVE!$J$5:$J$6,"&gt;=1",PVPVE!$J$5:$J$6,"&lt;=500")</f>
        <v>0</v>
      </c>
      <c r="G16" s="55">
        <f t="shared" si="1"/>
        <v>1</v>
      </c>
      <c r="H16" s="53" t="str">
        <f>IF($F16=0,"",_xlfn.MINIFS(PVPVE!$J$5:$J$6,PVPVE!$J$5:$J$6,"&gt;=1",PVPVE!$J$5:$J$6,"&lt;=500"))</f>
        <v/>
      </c>
      <c r="I16" s="53" t="str">
        <f>IF($F16=0,"",_xlfn.MAXIFS(PVPVE!$J$5:$J$6,PVPVE!$J$5:$J$6,"&gt;=1",PVPVE!$J$5:$J$6,"&lt;=500"))</f>
        <v/>
      </c>
      <c r="J16" s="53">
        <f>COUNTIF(PVPVE!$AC$5:$AC$6,"下降")</f>
        <v>0</v>
      </c>
      <c r="K16" s="53">
        <f>COUNTIF(PVPVE!$AB$5:$AB$6,"超范围")</f>
        <v>0</v>
      </c>
      <c r="L16" s="54" t="s">
        <v>114</v>
      </c>
    </row>
    <row r="17" ht="15" customHeight="1" spans="1:12">
      <c r="A17" s="56" t="s">
        <v>115</v>
      </c>
      <c r="B17" s="56"/>
      <c r="C17" s="56"/>
      <c r="D17" s="56">
        <f>SUM(D5:D16)</f>
        <v>343</v>
      </c>
      <c r="E17" s="56">
        <f>SUM(E5:E16)</f>
        <v>341</v>
      </c>
      <c r="F17" s="56">
        <f>SUM(F5:F16)</f>
        <v>341</v>
      </c>
      <c r="G17" s="57">
        <f>IF(E17=0,1,F17/E17)</f>
        <v>1</v>
      </c>
      <c r="H17" s="56"/>
      <c r="I17" s="56"/>
      <c r="J17" s="56">
        <f>SUM(J5:J16)</f>
        <v>0</v>
      </c>
      <c r="K17" s="56">
        <f>SUM(K5:K16)</f>
        <v>0</v>
      </c>
      <c r="L17" s="56"/>
    </row>
    <row r="19" ht="32" customHeight="1" spans="1:12">
      <c r="A19" t="s">
        <v>116</v>
      </c>
      <c r="B19" t="s">
        <v>117</v>
      </c>
    </row>
  </sheetData>
  <mergeCells count="3">
    <mergeCell ref="A1:L1"/>
    <mergeCell ref="A2:L2"/>
    <mergeCell ref="B19:L19"/>
  </mergeCells>
  <conditionalFormatting sqref="G5:G16">
    <cfRule type="expression" dxfId="0" priority="1">
      <formula>$G5=1</formula>
    </cfRule>
  </conditionalFormatting>
  <conditionalFormatting sqref="J5:K16">
    <cfRule type="expression" dxfId="1" priority="2">
      <formula>J5&gt;0</formula>
    </cfRule>
  </conditionalFormatting>
  <hyperlinks>
    <hyperlink ref="A5" r:id="rId2" display="主线"/>
    <hyperlink ref="A6" r:id="rId3" display="困难主线"/>
    <hyperlink ref="A7" r:id="rId4" display="角色经验"/>
    <hyperlink ref="A8" r:id="rId5" display="金币"/>
    <hyperlink ref="A9" r:id="rId6" display="收容经验"/>
    <hyperlink ref="A10" r:id="rId7" display="旅券"/>
    <hyperlink ref="A11" r:id="rId8" display="映射"/>
    <hyperlink ref="A12" r:id="rId9" display="爬塔"/>
    <hyperlink ref="A13" r:id="rId10" display="Boss挑战"/>
    <hyperlink ref="A14" r:id="rId11" display="肉鸽"/>
    <hyperlink ref="A15" r:id="rId12" display="大秘境"/>
    <hyperlink ref="A16" r:id="rId13" display="PVPVE"/>
  </hyperlink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472C4"/>
  </sheetPr>
  <dimension ref="A1:AF109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  <col min="31" max="32" width="22" customWidth="1"/>
  </cols>
  <sheetData>
    <row r="1" ht="34" customHeight="1" spans="1:32">
      <c r="A1" s="26" t="s">
        <v>118</v>
      </c>
    </row>
    <row r="2" ht="30" customHeight="1" spans="1:32">
      <c r="A2" s="27" t="s">
        <v>119</v>
      </c>
    </row>
    <row r="3" ht="14.25" customHeight="1" spans="1:32">
      <c r="A3" s="28" t="s">
        <v>120</v>
      </c>
    </row>
    <row r="4" ht="30" customHeight="1" spans="1:32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  <c r="AE4" s="8" t="s">
        <v>148</v>
      </c>
      <c r="AF4" s="8" t="s">
        <v>149</v>
      </c>
    </row>
    <row r="5" ht="25" customHeight="1" spans="1:32">
      <c r="A5" s="30" t="s">
        <v>150</v>
      </c>
      <c r="B5" s="30" t="s">
        <v>51</v>
      </c>
      <c r="C5" s="31" t="s">
        <v>151</v>
      </c>
      <c r="D5" s="31" t="s">
        <v>152</v>
      </c>
      <c r="E5" s="31" t="s">
        <v>153</v>
      </c>
      <c r="F5" s="30" t="s">
        <v>154</v>
      </c>
      <c r="G5" s="40">
        <v>1</v>
      </c>
      <c r="H5" s="41"/>
      <c r="I5" s="42">
        <f t="shared" ref="I5:I68" si="0">IF($H5="",$G5,$H5)</f>
        <v>1</v>
      </c>
      <c r="J5" s="43">
        <v>5</v>
      </c>
      <c r="K5" s="44">
        <v>0.958483754512635</v>
      </c>
      <c r="L5" s="44">
        <v>0.733333333333333</v>
      </c>
      <c r="M5" s="44">
        <v>0.956989247311828</v>
      </c>
      <c r="N5" s="45"/>
      <c r="O5" s="45"/>
      <c r="P5" s="45"/>
      <c r="Q5" s="46">
        <f>IF($I5="","",IFERROR(INDEX(_玩家曲线!$H$2:$H$286,MATCH($I5,_玩家曲线!$A$2:$A$286,0)),""))</f>
        <v>1535.625</v>
      </c>
      <c r="R5" s="46">
        <f>IF($I5="","",IFERROR(INDEX(_玩家曲线!$I$2:$I$286,MATCH($I5,_玩家曲线!$A$2:$A$286,0)),""))</f>
        <v>5208.33333333333</v>
      </c>
      <c r="S5" s="46">
        <f>IF(OR($J5="",$F5="不适用"),"",IFERROR(INDEX(_怪物模型!$D$2:$D$4501,(INT($J5)-1)*ROWS(_怪物类型!$A$2:$A$10)+MATCH($F5,_怪物类型!$A$2:$A$10,0))*IF($K5="",1,$K5),""))</f>
        <v>531</v>
      </c>
      <c r="T5" s="46">
        <f>IF(OR($J5="",$F5="不适用"),"",IFERROR(INDEX(_怪物模型!$E$2:$E$4501,(INT($J5)-1)*ROWS(_怪物类型!$A$2:$A$10)+MATCH($F5,_怪物类型!$A$2:$A$10,0))*IF($L5="",1,$L5),""))</f>
        <v>165</v>
      </c>
      <c r="U5" s="46">
        <f>IF(OR($J5="",$F5="不适用"),"",IFERROR(INDEX(_怪物模型!$F$2:$F$4501,(INT($J5)-1)*ROWS(_怪物类型!$A$2:$A$10)+MATCH($F5,_怪物类型!$A$2:$A$10,0))*IF($M5="",1,$M5),""))</f>
        <v>356</v>
      </c>
      <c r="V5" s="47">
        <f t="shared" ref="V5:V68" si="1">IF($U5="","",MIN(0.75,$U5/($U5+24000)))</f>
        <v>0.0146165215963212</v>
      </c>
      <c r="W5" s="48">
        <f t="shared" ref="W5:W68" si="2">IF($S5="","",$S5/(1-$V5)*IF($N5="",1,$N5))</f>
        <v>538.8765</v>
      </c>
      <c r="X5" s="48">
        <f t="shared" ref="X5:X68" si="3">IF(OR($W5="",$Q5="",$Q5=0),"",$W5/$Q5)</f>
        <v>0.350916727716728</v>
      </c>
      <c r="Y5" s="48">
        <f t="shared" ref="Y5:Y68" si="4">IF(OR($R5="",$T5="",$T5=0),"",$R5/($T5*IF($O5="",1,$O5)))</f>
        <v>31.5656565656566</v>
      </c>
      <c r="Z5" s="49" t="str">
        <f t="shared" ref="Z5:Z68" si="5">IF(OR($X5="",$P5="",$P5=0),"",$X5/$P5)</f>
        <v/>
      </c>
      <c r="AA5" s="30" t="str">
        <f t="shared" ref="AA5:AA68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 t="shared" ref="AB5:AB68" si="7">IF($J5="","待填",IF(AND(ISNUMBER($J5),$J5&gt;=1,$J5&lt;=500,MOD($J5,1)=0),"有效","超范围"))</f>
        <v>有效</v>
      </c>
      <c r="AC5" s="30" t="str">
        <f t="shared" ref="AC5:AC68" si="8">IF(OR($J5="",ROW()=5,$B5&lt;&gt;$B4,$J4=""),"",IF($J5&lt;$J4,"下降",""))</f>
        <v/>
      </c>
      <c r="AD5" s="31" t="s">
        <v>155</v>
      </c>
      <c r="AE5">
        <v>2280</v>
      </c>
      <c r="AF5">
        <f>INDEX(_统一战力!$B$2:$B$501,J5)</f>
        <v>2240</v>
      </c>
    </row>
    <row r="6" ht="25" customHeight="1" spans="1:32">
      <c r="A6" s="30" t="s">
        <v>150</v>
      </c>
      <c r="B6" s="30" t="s">
        <v>51</v>
      </c>
      <c r="C6" s="31" t="s">
        <v>151</v>
      </c>
      <c r="D6" s="31" t="s">
        <v>156</v>
      </c>
      <c r="E6" s="31" t="s">
        <v>157</v>
      </c>
      <c r="F6" s="30" t="s">
        <v>154</v>
      </c>
      <c r="G6" s="40">
        <v>2</v>
      </c>
      <c r="H6" s="41"/>
      <c r="I6" s="42">
        <f t="shared" si="0"/>
        <v>2</v>
      </c>
      <c r="J6" s="43">
        <v>6</v>
      </c>
      <c r="K6" s="44">
        <v>0.958944281524927</v>
      </c>
      <c r="L6" s="44">
        <v>0.738007380073801</v>
      </c>
      <c r="M6" s="44">
        <v>0.957494407158837</v>
      </c>
      <c r="N6" s="45"/>
      <c r="O6" s="45"/>
      <c r="P6" s="45"/>
      <c r="Q6" s="46">
        <f>IF($I6="","",IFERROR(INDEX(_玩家曲线!$H$2:$H$286,MATCH($I6,_玩家曲线!$A$2:$A$286,0)),""))</f>
        <v>1635.88830164879</v>
      </c>
      <c r="R6" s="46">
        <f>IF($I6="","",IFERROR(INDEX(_玩家曲线!$I$2:$I$286,MATCH($I6,_玩家曲线!$A$2:$A$286,0)),""))</f>
        <v>5562.88389458253</v>
      </c>
      <c r="S6" s="46">
        <f>IF(OR($J6="",$F6="不适用"),"",IFERROR(INDEX(_怪物模型!$D$2:$D$4501,(INT($J6)-1)*ROWS(_怪物类型!$A$2:$A$10)+MATCH($F6,_怪物类型!$A$2:$A$10,0))*IF($K6="",1,$K6),""))</f>
        <v>654</v>
      </c>
      <c r="T6" s="46">
        <f>IF(OR($J6="",$F6="不适用"),"",IFERROR(INDEX(_怪物模型!$E$2:$E$4501,(INT($J6)-1)*ROWS(_怪物类型!$A$2:$A$10)+MATCH($F6,_怪物类型!$A$2:$A$10,0))*IF($L6="",1,$L6),""))</f>
        <v>200</v>
      </c>
      <c r="U6" s="46">
        <f>IF(OR($J6="",$F6="不适用"),"",IFERROR(INDEX(_怪物模型!$F$2:$F$4501,(INT($J6)-1)*ROWS(_怪物类型!$A$2:$A$10)+MATCH($F6,_怪物类型!$A$2:$A$10,0))*IF($M6="",1,$M6),""))</f>
        <v>428</v>
      </c>
      <c r="V6" s="47">
        <f t="shared" si="1"/>
        <v>0.0175208776813493</v>
      </c>
      <c r="W6" s="48">
        <f t="shared" si="2"/>
        <v>665.663</v>
      </c>
      <c r="X6" s="48">
        <f t="shared" si="3"/>
        <v>0.406912256374159</v>
      </c>
      <c r="Y6" s="48">
        <f t="shared" si="4"/>
        <v>27.8144194729126</v>
      </c>
      <c r="Z6" s="49" t="str">
        <f t="shared" si="5"/>
        <v/>
      </c>
      <c r="AA6" s="30" t="str">
        <f t="shared" si="6"/>
        <v>已计算</v>
      </c>
      <c r="AB6" s="30" t="str">
        <f t="shared" si="7"/>
        <v>有效</v>
      </c>
      <c r="AC6" s="30" t="str">
        <f t="shared" si="8"/>
        <v/>
      </c>
      <c r="AD6" s="31" t="s">
        <v>158</v>
      </c>
      <c r="AE6">
        <v>2320</v>
      </c>
      <c r="AF6">
        <f>INDEX(_统一战力!$B$2:$B$501,J6)</f>
        <v>2390</v>
      </c>
    </row>
    <row r="7" ht="25" customHeight="1" spans="1:32">
      <c r="A7" s="30" t="s">
        <v>150</v>
      </c>
      <c r="B7" s="30" t="s">
        <v>51</v>
      </c>
      <c r="C7" s="31" t="s">
        <v>151</v>
      </c>
      <c r="D7" s="31" t="s">
        <v>159</v>
      </c>
      <c r="E7" s="31" t="s">
        <v>160</v>
      </c>
      <c r="F7" s="30" t="s">
        <v>154</v>
      </c>
      <c r="G7" s="40">
        <v>3</v>
      </c>
      <c r="H7" s="41"/>
      <c r="I7" s="42">
        <f t="shared" si="0"/>
        <v>3</v>
      </c>
      <c r="J7" s="43">
        <v>8</v>
      </c>
      <c r="K7" s="44">
        <v>0.959076600209864</v>
      </c>
      <c r="L7" s="44">
        <v>0.745205479452055</v>
      </c>
      <c r="M7" s="44">
        <v>0.956521739130435</v>
      </c>
      <c r="N7" s="45"/>
      <c r="O7" s="45"/>
      <c r="P7" s="45"/>
      <c r="Q7" s="46">
        <f>IF($I7="","",IFERROR(INDEX(_玩家曲线!$H$2:$H$286,MATCH($I7,_玩家曲线!$A$2:$A$286,0)),""))</f>
        <v>2170.18950412197</v>
      </c>
      <c r="R7" s="46">
        <f>IF($I7="","",IFERROR(INDEX(_玩家曲线!$I$2:$I$286,MATCH($I7,_玩家曲线!$A$2:$A$286,0)),""))</f>
        <v>7399.01337371697</v>
      </c>
      <c r="S7" s="46">
        <f>IF(OR($J7="",$F7="不适用"),"",IFERROR(INDEX(_怪物模型!$D$2:$D$4501,(INT($J7)-1)*ROWS(_怪物类型!$A$2:$A$10)+MATCH($F7,_怪物类型!$A$2:$A$10,0))*IF($K7="",1,$K7),""))</f>
        <v>914</v>
      </c>
      <c r="T7" s="46">
        <f>IF(OR($J7="",$F7="不适用"),"",IFERROR(INDEX(_怪物模型!$E$2:$E$4501,(INT($J7)-1)*ROWS(_怪物类型!$A$2:$A$10)+MATCH($F7,_怪物类型!$A$2:$A$10,0))*IF($L7="",1,$L7),""))</f>
        <v>272</v>
      </c>
      <c r="U7" s="46">
        <f>IF(OR($J7="",$F7="不适用"),"",IFERROR(INDEX(_怪物模型!$F$2:$F$4501,(INT($J7)-1)*ROWS(_怪物类型!$A$2:$A$10)+MATCH($F7,_怪物类型!$A$2:$A$10,0))*IF($M7="",1,$M7),""))</f>
        <v>572</v>
      </c>
      <c r="V7" s="47">
        <f t="shared" si="1"/>
        <v>0.0232785284063161</v>
      </c>
      <c r="W7" s="48">
        <f t="shared" si="2"/>
        <v>935.783666666667</v>
      </c>
      <c r="X7" s="48">
        <f t="shared" si="3"/>
        <v>0.431199056529062</v>
      </c>
      <c r="Y7" s="48">
        <f t="shared" si="4"/>
        <v>27.20225505043</v>
      </c>
      <c r="Z7" s="49" t="str">
        <f t="shared" si="5"/>
        <v/>
      </c>
      <c r="AA7" s="30" t="str">
        <f t="shared" si="6"/>
        <v>已计算</v>
      </c>
      <c r="AB7" s="30" t="str">
        <f t="shared" si="7"/>
        <v>有效</v>
      </c>
      <c r="AC7" s="30" t="str">
        <f t="shared" si="8"/>
        <v/>
      </c>
      <c r="AD7" s="31" t="s">
        <v>161</v>
      </c>
      <c r="AE7">
        <v>2350</v>
      </c>
      <c r="AF7">
        <f>INDEX(_统一战力!$B$2:$B$501,J7)</f>
        <v>3170</v>
      </c>
    </row>
    <row r="8" ht="25" customHeight="1" spans="1:32">
      <c r="A8" s="30" t="s">
        <v>150</v>
      </c>
      <c r="B8" s="30" t="s">
        <v>51</v>
      </c>
      <c r="C8" s="31" t="s">
        <v>151</v>
      </c>
      <c r="D8" s="31" t="s">
        <v>162</v>
      </c>
      <c r="E8" s="31" t="s">
        <v>163</v>
      </c>
      <c r="F8" s="30" t="s">
        <v>164</v>
      </c>
      <c r="G8" s="40">
        <v>4</v>
      </c>
      <c r="H8" s="41"/>
      <c r="I8" s="42">
        <f t="shared" si="0"/>
        <v>4</v>
      </c>
      <c r="J8" s="43">
        <v>8</v>
      </c>
      <c r="K8" s="44">
        <v>0.983591652956966</v>
      </c>
      <c r="L8" s="44">
        <v>0.599118942731278</v>
      </c>
      <c r="M8" s="44">
        <v>0.956521739130435</v>
      </c>
      <c r="N8" s="45"/>
      <c r="O8" s="45"/>
      <c r="P8" s="45"/>
      <c r="Q8" s="46">
        <f>IF($I8="","",IFERROR(INDEX(_玩家曲线!$H$2:$H$286,MATCH($I8,_玩家曲线!$A$2:$A$286,0)),""))</f>
        <v>2751.2469946323</v>
      </c>
      <c r="R8" s="46">
        <f>IF($I8="","",IFERROR(INDEX(_玩家曲线!$I$2:$I$286,MATCH($I8,_玩家曲线!$A$2:$A$286,0)),""))</f>
        <v>9403.88585759718</v>
      </c>
      <c r="S8" s="46">
        <f>IF(OR($J8="",$F8="不适用"),"",IFERROR(INDEX(_怪物模型!$D$2:$D$4501,(INT($J8)-1)*ROWS(_怪物类型!$A$2:$A$10)+MATCH($F8,_怪物类型!$A$2:$A$10,0))*IF($K8="",1,$K8),""))</f>
        <v>90876</v>
      </c>
      <c r="T8" s="46">
        <f>IF(OR($J8="",$F8="不适用"),"",IFERROR(INDEX(_怪物模型!$E$2:$E$4501,(INT($J8)-1)*ROWS(_怪物类型!$A$2:$A$10)+MATCH($F8,_怪物类型!$A$2:$A$10,0))*IF($L8="",1,$L8),""))</f>
        <v>272</v>
      </c>
      <c r="U8" s="46">
        <f>IF(OR($J8="",$F8="不适用"),"",IFERROR(INDEX(_怪物模型!$F$2:$F$4501,(INT($J8)-1)*ROWS(_怪物类型!$A$2:$A$10)+MATCH($F8,_怪物类型!$A$2:$A$10,0))*IF($M8="",1,$M8),""))</f>
        <v>572</v>
      </c>
      <c r="V8" s="47">
        <f t="shared" si="1"/>
        <v>0.0232785284063161</v>
      </c>
      <c r="W8" s="48">
        <f t="shared" si="2"/>
        <v>93041.878</v>
      </c>
      <c r="X8" s="48">
        <f t="shared" si="3"/>
        <v>33.8180752878696</v>
      </c>
      <c r="Y8" s="48">
        <f t="shared" si="4"/>
        <v>34.5731097705779</v>
      </c>
      <c r="Z8" s="49" t="str">
        <f t="shared" si="5"/>
        <v/>
      </c>
      <c r="AA8" s="30" t="str">
        <f t="shared" si="6"/>
        <v>已计算</v>
      </c>
      <c r="AB8" s="30" t="str">
        <f t="shared" si="7"/>
        <v>有效</v>
      </c>
      <c r="AC8" s="30" t="str">
        <f t="shared" si="8"/>
        <v/>
      </c>
      <c r="AD8" s="31" t="s">
        <v>165</v>
      </c>
      <c r="AE8">
        <v>2390</v>
      </c>
      <c r="AF8">
        <f>INDEX(_统一战力!$B$2:$B$501,J8)</f>
        <v>3170</v>
      </c>
    </row>
    <row r="9" ht="25" customHeight="1" spans="1:32">
      <c r="A9" s="30" t="s">
        <v>150</v>
      </c>
      <c r="B9" s="30" t="s">
        <v>51</v>
      </c>
      <c r="C9" s="31" t="s">
        <v>166</v>
      </c>
      <c r="D9" s="31" t="s">
        <v>167</v>
      </c>
      <c r="E9" s="31" t="s">
        <v>168</v>
      </c>
      <c r="F9" s="30" t="s">
        <v>154</v>
      </c>
      <c r="G9" s="40">
        <v>5</v>
      </c>
      <c r="H9" s="41"/>
      <c r="I9" s="42">
        <f t="shared" si="0"/>
        <v>5</v>
      </c>
      <c r="J9" s="43">
        <v>11</v>
      </c>
      <c r="K9" s="44">
        <v>0.958571428571429</v>
      </c>
      <c r="L9" s="44">
        <v>0.755905511811024</v>
      </c>
      <c r="M9" s="44">
        <v>0.956416464891041</v>
      </c>
      <c r="N9" s="45"/>
      <c r="O9" s="45"/>
      <c r="P9" s="45"/>
      <c r="Q9" s="46">
        <f>IF($I9="","",IFERROR(INDEX(_玩家曲线!$H$2:$H$286,MATCH($I9,_玩家曲线!$A$2:$A$286,0)),""))</f>
        <v>3378.73817221844</v>
      </c>
      <c r="R9" s="46">
        <f>IF($I9="","",IFERROR(INDEX(_玩家曲线!$I$2:$I$286,MATCH($I9,_玩家曲线!$A$2:$A$286,0)),""))</f>
        <v>11577.4968526717</v>
      </c>
      <c r="S9" s="46">
        <f>IF(OR($J9="",$F9="不适用"),"",IFERROR(INDEX(_怪物模型!$D$2:$D$4501,(INT($J9)-1)*ROWS(_怪物类型!$A$2:$A$10)+MATCH($F9,_怪物类型!$A$2:$A$10,0))*IF($K9="",1,$K9),""))</f>
        <v>1342</v>
      </c>
      <c r="T9" s="46">
        <f>IF(OR($J9="",$F9="不适用"),"",IFERROR(INDEX(_怪物模型!$E$2:$E$4501,(INT($J9)-1)*ROWS(_怪物类型!$A$2:$A$10)+MATCH($F9,_怪物类型!$A$2:$A$10,0))*IF($L9="",1,$L9),""))</f>
        <v>384</v>
      </c>
      <c r="U9" s="46">
        <f>IF(OR($J9="",$F9="不适用"),"",IFERROR(INDEX(_怪物模型!$F$2:$F$4501,(INT($J9)-1)*ROWS(_怪物类型!$A$2:$A$10)+MATCH($F9,_怪物类型!$A$2:$A$10,0))*IF($M9="",1,$M9),""))</f>
        <v>790</v>
      </c>
      <c r="V9" s="47">
        <f t="shared" si="1"/>
        <v>0.0318676885841065</v>
      </c>
      <c r="W9" s="48">
        <f t="shared" si="2"/>
        <v>1386.17416666667</v>
      </c>
      <c r="X9" s="48">
        <f t="shared" si="3"/>
        <v>0.410263860652014</v>
      </c>
      <c r="Y9" s="48">
        <f t="shared" si="4"/>
        <v>30.1497313871659</v>
      </c>
      <c r="Z9" s="49" t="str">
        <f t="shared" si="5"/>
        <v/>
      </c>
      <c r="AA9" s="30" t="str">
        <f t="shared" si="6"/>
        <v>已计算</v>
      </c>
      <c r="AB9" s="30" t="str">
        <f t="shared" si="7"/>
        <v>有效</v>
      </c>
      <c r="AC9" s="30" t="str">
        <f t="shared" si="8"/>
        <v/>
      </c>
      <c r="AD9" s="31" t="s">
        <v>169</v>
      </c>
      <c r="AE9">
        <v>3170</v>
      </c>
      <c r="AF9">
        <f>INDEX(_统一战力!$B$2:$B$501,J9)</f>
        <v>4930</v>
      </c>
    </row>
    <row r="10" ht="25" customHeight="1" spans="1:32">
      <c r="A10" s="30" t="s">
        <v>150</v>
      </c>
      <c r="B10" s="30" t="s">
        <v>51</v>
      </c>
      <c r="C10" s="31" t="s">
        <v>166</v>
      </c>
      <c r="D10" s="31" t="s">
        <v>170</v>
      </c>
      <c r="E10" s="31" t="s">
        <v>171</v>
      </c>
      <c r="F10" s="30" t="s">
        <v>154</v>
      </c>
      <c r="G10" s="40">
        <v>6</v>
      </c>
      <c r="H10" s="41"/>
      <c r="I10" s="42">
        <f t="shared" si="0"/>
        <v>6</v>
      </c>
      <c r="J10" s="43">
        <v>13</v>
      </c>
      <c r="K10" s="44">
        <v>0.958236658932715</v>
      </c>
      <c r="L10" s="44">
        <v>0.760726072607261</v>
      </c>
      <c r="M10" s="44">
        <v>0.956077630234934</v>
      </c>
      <c r="N10" s="45"/>
      <c r="O10" s="45"/>
      <c r="P10" s="45"/>
      <c r="Q10" s="46">
        <f>IF($I10="","",IFERROR(INDEX(_玩家曲线!$H$2:$H$286,MATCH($I10,_玩家曲线!$A$2:$A$286,0)),""))</f>
        <v>4051.60449583466</v>
      </c>
      <c r="R10" s="46">
        <f>IF($I10="","",IFERROR(INDEX(_玩家曲线!$I$2:$I$286,MATCH($I10,_玩家曲线!$A$2:$A$286,0)),""))</f>
        <v>13917.1618120045</v>
      </c>
      <c r="S10" s="46">
        <f>IF(OR($J10="",$F10="不适用"),"",IFERROR(INDEX(_怪物模型!$D$2:$D$4501,(INT($J10)-1)*ROWS(_怪物类型!$A$2:$A$10)+MATCH($F10,_怪物类型!$A$2:$A$10,0))*IF($K10="",1,$K10),""))</f>
        <v>1652</v>
      </c>
      <c r="T10" s="46">
        <f>IF(OR($J10="",$F10="不适用"),"",IFERROR(INDEX(_怪物模型!$E$2:$E$4501,(INT($J10)-1)*ROWS(_怪物类型!$A$2:$A$10)+MATCH($F10,_怪物类型!$A$2:$A$10,0))*IF($L10="",1,$L10),""))</f>
        <v>461</v>
      </c>
      <c r="U10" s="46">
        <f>IF(OR($J10="",$F10="不适用"),"",IFERROR(INDEX(_怪物模型!$F$2:$F$4501,(INT($J10)-1)*ROWS(_怪物类型!$A$2:$A$10)+MATCH($F10,_怪物类型!$A$2:$A$10,0))*IF($M10="",1,$M10),""))</f>
        <v>936</v>
      </c>
      <c r="V10" s="47">
        <f t="shared" si="1"/>
        <v>0.0375360923965351</v>
      </c>
      <c r="W10" s="48">
        <f t="shared" si="2"/>
        <v>1716.428</v>
      </c>
      <c r="X10" s="48">
        <f t="shared" si="3"/>
        <v>0.423641547876801</v>
      </c>
      <c r="Y10" s="48">
        <f t="shared" si="4"/>
        <v>30.1890711757147</v>
      </c>
      <c r="Z10" s="49" t="str">
        <f t="shared" si="5"/>
        <v/>
      </c>
      <c r="AA10" s="30" t="str">
        <f t="shared" si="6"/>
        <v>已计算</v>
      </c>
      <c r="AB10" s="30" t="str">
        <f t="shared" si="7"/>
        <v>有效</v>
      </c>
      <c r="AC10" s="30" t="str">
        <f t="shared" si="8"/>
        <v/>
      </c>
      <c r="AD10" s="31" t="s">
        <v>172</v>
      </c>
      <c r="AE10">
        <v>3940</v>
      </c>
      <c r="AF10">
        <f>INDEX(_统一战力!$B$2:$B$501,J10)</f>
        <v>5910</v>
      </c>
    </row>
    <row r="11" ht="25" customHeight="1" spans="1:32">
      <c r="A11" s="30" t="s">
        <v>150</v>
      </c>
      <c r="B11" s="30" t="s">
        <v>51</v>
      </c>
      <c r="C11" s="31" t="s">
        <v>166</v>
      </c>
      <c r="D11" s="31" t="s">
        <v>173</v>
      </c>
      <c r="E11" s="31" t="s">
        <v>174</v>
      </c>
      <c r="F11" s="30" t="s">
        <v>154</v>
      </c>
      <c r="G11" s="40">
        <v>7</v>
      </c>
      <c r="H11" s="41"/>
      <c r="I11" s="42">
        <f t="shared" si="0"/>
        <v>7</v>
      </c>
      <c r="J11" s="43">
        <v>15</v>
      </c>
      <c r="K11" s="44">
        <v>0.957950700821653</v>
      </c>
      <c r="L11" s="44">
        <v>0.767375886524823</v>
      </c>
      <c r="M11" s="44">
        <v>0.955869373345101</v>
      </c>
      <c r="N11" s="45"/>
      <c r="O11" s="45"/>
      <c r="P11" s="45"/>
      <c r="Q11" s="46">
        <f>IF($I11="","",IFERROR(INDEX(_玩家曲线!$H$2:$H$286,MATCH($I11,_玩家曲线!$A$2:$A$286,0)),""))</f>
        <v>4945.43127875686</v>
      </c>
      <c r="R11" s="46">
        <f>IF($I11="","",IFERROR(INDEX(_玩家曲线!$I$2:$I$286,MATCH($I11,_玩家曲线!$A$2:$A$286,0)),""))</f>
        <v>17028.3595053211</v>
      </c>
      <c r="S11" s="46">
        <f>IF(OR($J11="",$F11="不适用"),"",IFERROR(INDEX(_怪物模型!$D$2:$D$4501,(INT($J11)-1)*ROWS(_怪物类型!$A$2:$A$10)+MATCH($F11,_怪物类型!$A$2:$A$10,0))*IF($K11="",1,$K11),""))</f>
        <v>1982</v>
      </c>
      <c r="T11" s="46">
        <f>IF(OR($J11="",$F11="不适用"),"",IFERROR(INDEX(_怪物模型!$E$2:$E$4501,(INT($J11)-1)*ROWS(_怪物类型!$A$2:$A$10)+MATCH($F11,_怪物类型!$A$2:$A$10,0))*IF($L11="",1,$L11),""))</f>
        <v>541</v>
      </c>
      <c r="U11" s="46">
        <f>IF(OR($J11="",$F11="不适用"),"",IFERROR(INDEX(_怪物模型!$F$2:$F$4501,(INT($J11)-1)*ROWS(_怪物类型!$A$2:$A$10)+MATCH($F11,_怪物类型!$A$2:$A$10,0))*IF($M11="",1,$M11),""))</f>
        <v>1083</v>
      </c>
      <c r="V11" s="47">
        <f t="shared" si="1"/>
        <v>0.0431766535103456</v>
      </c>
      <c r="W11" s="48">
        <f t="shared" si="2"/>
        <v>2071.43775</v>
      </c>
      <c r="X11" s="48">
        <f t="shared" si="3"/>
        <v>0.418858868567819</v>
      </c>
      <c r="Y11" s="48">
        <f t="shared" si="4"/>
        <v>31.4757107307229</v>
      </c>
      <c r="Z11" s="49" t="str">
        <f t="shared" si="5"/>
        <v/>
      </c>
      <c r="AA11" s="30" t="str">
        <f t="shared" si="6"/>
        <v>已计算</v>
      </c>
      <c r="AB11" s="30" t="str">
        <f t="shared" si="7"/>
        <v>有效</v>
      </c>
      <c r="AC11" s="30" t="str">
        <f t="shared" si="8"/>
        <v/>
      </c>
      <c r="AD11" s="31" t="s">
        <v>175</v>
      </c>
      <c r="AE11">
        <v>4720</v>
      </c>
      <c r="AF11">
        <f>INDEX(_统一战力!$B$2:$B$501,J11)</f>
        <v>7220</v>
      </c>
    </row>
    <row r="12" ht="25" customHeight="1" spans="1:32">
      <c r="A12" s="30" t="s">
        <v>150</v>
      </c>
      <c r="B12" s="30" t="s">
        <v>51</v>
      </c>
      <c r="C12" s="31" t="s">
        <v>166</v>
      </c>
      <c r="D12" s="31" t="s">
        <v>176</v>
      </c>
      <c r="E12" s="31" t="s">
        <v>177</v>
      </c>
      <c r="F12" s="30" t="s">
        <v>154</v>
      </c>
      <c r="G12" s="40">
        <v>8</v>
      </c>
      <c r="H12" s="41"/>
      <c r="I12" s="42">
        <f t="shared" si="0"/>
        <v>8</v>
      </c>
      <c r="J12" s="43">
        <v>16</v>
      </c>
      <c r="K12" s="44">
        <v>0.957759004001779</v>
      </c>
      <c r="L12" s="44">
        <v>0.770860927152318</v>
      </c>
      <c r="M12" s="44">
        <v>0.956198347107438</v>
      </c>
      <c r="N12" s="45"/>
      <c r="O12" s="45"/>
      <c r="P12" s="45"/>
      <c r="Q12" s="46">
        <f>IF($I12="","",IFERROR(INDEX(_玩家曲线!$H$2:$H$286,MATCH($I12,_玩家曲线!$A$2:$A$286,0)),""))</f>
        <v>5896.11159757605</v>
      </c>
      <c r="R12" s="46">
        <f>IF($I12="","",IFERROR(INDEX(_玩家曲线!$I$2:$I$286,MATCH($I12,_玩家曲线!$A$2:$A$286,0)),""))</f>
        <v>20349.4896023023</v>
      </c>
      <c r="S12" s="46">
        <f>IF(OR($J12="",$F12="不适用"),"",IFERROR(INDEX(_怪物模型!$D$2:$D$4501,(INT($J12)-1)*ROWS(_怪物类型!$A$2:$A$10)+MATCH($F12,_怪物类型!$A$2:$A$10,0))*IF($K12="",1,$K12),""))</f>
        <v>2154</v>
      </c>
      <c r="T12" s="46">
        <f>IF(OR($J12="",$F12="不适用"),"",IFERROR(INDEX(_怪物模型!$E$2:$E$4501,(INT($J12)-1)*ROWS(_怪物类型!$A$2:$A$10)+MATCH($F12,_怪物类型!$A$2:$A$10,0))*IF($L12="",1,$L12),""))</f>
        <v>582</v>
      </c>
      <c r="U12" s="46">
        <f>IF(OR($J12="",$F12="不适用"),"",IFERROR(INDEX(_怪物模型!$F$2:$F$4501,(INT($J12)-1)*ROWS(_怪物类型!$A$2:$A$10)+MATCH($F12,_怪物类型!$A$2:$A$10,0))*IF($M12="",1,$M12),""))</f>
        <v>1157</v>
      </c>
      <c r="V12" s="47">
        <f t="shared" si="1"/>
        <v>0.0459911754183726</v>
      </c>
      <c r="W12" s="48">
        <f t="shared" si="2"/>
        <v>2257.84075</v>
      </c>
      <c r="X12" s="48">
        <f t="shared" si="3"/>
        <v>0.382937248156602</v>
      </c>
      <c r="Y12" s="48">
        <f t="shared" si="4"/>
        <v>34.9647587668424</v>
      </c>
      <c r="Z12" s="49" t="str">
        <f t="shared" si="5"/>
        <v/>
      </c>
      <c r="AA12" s="30" t="str">
        <f t="shared" si="6"/>
        <v>已计算</v>
      </c>
      <c r="AB12" s="30" t="str">
        <f t="shared" si="7"/>
        <v>有效</v>
      </c>
      <c r="AC12" s="30" t="str">
        <f t="shared" si="8"/>
        <v/>
      </c>
      <c r="AD12" s="31" t="s">
        <v>178</v>
      </c>
      <c r="AE12">
        <v>5500</v>
      </c>
      <c r="AF12">
        <f>INDEX(_统一战力!$B$2:$B$501,J12)</f>
        <v>8610</v>
      </c>
    </row>
    <row r="13" ht="25" customHeight="1" spans="1:32">
      <c r="A13" s="30" t="s">
        <v>150</v>
      </c>
      <c r="B13" s="30" t="s">
        <v>51</v>
      </c>
      <c r="C13" s="31" t="s">
        <v>166</v>
      </c>
      <c r="D13" s="31" t="s">
        <v>179</v>
      </c>
      <c r="E13" s="31" t="s">
        <v>180</v>
      </c>
      <c r="F13" s="30" t="s">
        <v>154</v>
      </c>
      <c r="G13" s="40">
        <v>9</v>
      </c>
      <c r="H13" s="41"/>
      <c r="I13" s="42">
        <f t="shared" si="0"/>
        <v>9</v>
      </c>
      <c r="J13" s="43">
        <v>19</v>
      </c>
      <c r="K13" s="44">
        <v>0.957446808510638</v>
      </c>
      <c r="L13" s="44">
        <v>0.780837004405286</v>
      </c>
      <c r="M13" s="44">
        <v>0.954986149584488</v>
      </c>
      <c r="N13" s="45"/>
      <c r="O13" s="45"/>
      <c r="P13" s="45"/>
      <c r="Q13" s="46">
        <f>IF($I13="","",IFERROR(INDEX(_玩家曲线!$H$2:$H$286,MATCH($I13,_玩家曲线!$A$2:$A$286,0)),""))</f>
        <v>6907.83945043014</v>
      </c>
      <c r="R13" s="46">
        <f>IF($I13="","",IFERROR(INDEX(_玩家曲线!$I$2:$I$286,MATCH($I13,_玩家曲线!$A$2:$A$286,0)),""))</f>
        <v>23897.1913904747</v>
      </c>
      <c r="S13" s="46">
        <f>IF(OR($J13="",$F13="不适用"),"",IFERROR(INDEX(_怪物模型!$D$2:$D$4501,(INT($J13)-1)*ROWS(_怪物类型!$A$2:$A$10)+MATCH($F13,_怪物类型!$A$2:$A$10,0))*IF($K13="",1,$K13),""))</f>
        <v>2700</v>
      </c>
      <c r="T13" s="46">
        <f>IF(OR($J13="",$F13="不适用"),"",IFERROR(INDEX(_怪物模型!$E$2:$E$4501,(INT($J13)-1)*ROWS(_怪物类型!$A$2:$A$10)+MATCH($F13,_怪物类型!$A$2:$A$10,0))*IF($L13="",1,$L13),""))</f>
        <v>709</v>
      </c>
      <c r="U13" s="46">
        <f>IF(OR($J13="",$F13="不适用"),"",IFERROR(INDEX(_怪物模型!$F$2:$F$4501,(INT($J13)-1)*ROWS(_怪物类型!$A$2:$A$10)+MATCH($F13,_怪物类型!$A$2:$A$10,0))*IF($M13="",1,$M13),""))</f>
        <v>1379</v>
      </c>
      <c r="V13" s="47">
        <f t="shared" si="1"/>
        <v>0.0543362622640766</v>
      </c>
      <c r="W13" s="48">
        <f t="shared" si="2"/>
        <v>2855.1375</v>
      </c>
      <c r="X13" s="48">
        <f t="shared" si="3"/>
        <v>0.413318450796104</v>
      </c>
      <c r="Y13" s="48">
        <f t="shared" si="4"/>
        <v>33.7054885620236</v>
      </c>
      <c r="Z13" s="49" t="str">
        <f t="shared" si="5"/>
        <v/>
      </c>
      <c r="AA13" s="30" t="str">
        <f t="shared" si="6"/>
        <v>已计算</v>
      </c>
      <c r="AB13" s="30" t="str">
        <f t="shared" si="7"/>
        <v>有效</v>
      </c>
      <c r="AC13" s="30" t="str">
        <f t="shared" si="8"/>
        <v/>
      </c>
      <c r="AD13" s="31" t="s">
        <v>181</v>
      </c>
      <c r="AE13">
        <v>6280</v>
      </c>
      <c r="AF13">
        <f>INDEX(_统一战力!$B$2:$B$501,J13)</f>
        <v>10100</v>
      </c>
    </row>
    <row r="14" ht="25" customHeight="1" spans="1:32">
      <c r="A14" s="30" t="s">
        <v>150</v>
      </c>
      <c r="B14" s="30" t="s">
        <v>51</v>
      </c>
      <c r="C14" s="31" t="s">
        <v>166</v>
      </c>
      <c r="D14" s="31" t="s">
        <v>182</v>
      </c>
      <c r="E14" s="31" t="s">
        <v>183</v>
      </c>
      <c r="F14" s="30" t="s">
        <v>154</v>
      </c>
      <c r="G14" s="40">
        <v>10</v>
      </c>
      <c r="H14" s="41"/>
      <c r="I14" s="42">
        <f t="shared" si="0"/>
        <v>10</v>
      </c>
      <c r="J14" s="43">
        <v>21</v>
      </c>
      <c r="K14" s="44">
        <v>0.957519379844961</v>
      </c>
      <c r="L14" s="44">
        <v>0.787549407114625</v>
      </c>
      <c r="M14" s="44">
        <v>0.955</v>
      </c>
      <c r="N14" s="45"/>
      <c r="O14" s="45"/>
      <c r="P14" s="45"/>
      <c r="Q14" s="46">
        <f>IF($I14="","",IFERROR(INDEX(_玩家曲线!$H$2:$H$286,MATCH($I14,_玩家曲线!$A$2:$A$286,0)),""))</f>
        <v>7654.81371754023</v>
      </c>
      <c r="R14" s="46">
        <f>IF($I14="","",IFERROR(INDEX(_玩家曲线!$I$2:$I$286,MATCH($I14,_玩家曲线!$A$2:$A$286,0)),""))</f>
        <v>26541.83453548</v>
      </c>
      <c r="S14" s="46">
        <f>IF(OR($J14="",$F14="不适用"),"",IFERROR(INDEX(_怪物模型!$D$2:$D$4501,(INT($J14)-1)*ROWS(_怪物类型!$A$2:$A$10)+MATCH($F14,_怪物类型!$A$2:$A$10,0))*IF($K14="",1,$K14),""))</f>
        <v>3088</v>
      </c>
      <c r="T14" s="46">
        <f>IF(OR($J14="",$F14="不适用"),"",IFERROR(INDEX(_怪物模型!$E$2:$E$4501,(INT($J14)-1)*ROWS(_怪物类型!$A$2:$A$10)+MATCH($F14,_怪物类型!$A$2:$A$10,0))*IF($L14="",1,$L14),""))</f>
        <v>797</v>
      </c>
      <c r="U14" s="46">
        <f>IF(OR($J14="",$F14="不适用"),"",IFERROR(INDEX(_怪物模型!$F$2:$F$4501,(INT($J14)-1)*ROWS(_怪物类型!$A$2:$A$10)+MATCH($F14,_怪物类型!$A$2:$A$10,0))*IF($M14="",1,$M14),""))</f>
        <v>1528</v>
      </c>
      <c r="V14" s="47">
        <f t="shared" si="1"/>
        <v>0.059855844562833</v>
      </c>
      <c r="W14" s="48">
        <f t="shared" si="2"/>
        <v>3284.60266666667</v>
      </c>
      <c r="X14" s="48">
        <f t="shared" si="3"/>
        <v>0.429089823458451</v>
      </c>
      <c r="Y14" s="48">
        <f t="shared" si="4"/>
        <v>33.3021763305897</v>
      </c>
      <c r="Z14" s="49" t="str">
        <f t="shared" si="5"/>
        <v/>
      </c>
      <c r="AA14" s="30" t="str">
        <f t="shared" si="6"/>
        <v>已计算</v>
      </c>
      <c r="AB14" s="30" t="str">
        <f t="shared" si="7"/>
        <v>有效</v>
      </c>
      <c r="AC14" s="30" t="str">
        <f t="shared" si="8"/>
        <v/>
      </c>
      <c r="AD14" s="31" t="s">
        <v>184</v>
      </c>
      <c r="AE14">
        <v>7050</v>
      </c>
      <c r="AF14">
        <f>INDEX(_统一战力!$B$2:$B$501,J14)</f>
        <v>11200</v>
      </c>
    </row>
    <row r="15" ht="25" customHeight="1" spans="1:32">
      <c r="A15" s="30" t="s">
        <v>150</v>
      </c>
      <c r="B15" s="30" t="s">
        <v>51</v>
      </c>
      <c r="C15" s="31" t="s">
        <v>166</v>
      </c>
      <c r="D15" s="31" t="s">
        <v>185</v>
      </c>
      <c r="E15" s="31" t="s">
        <v>186</v>
      </c>
      <c r="F15" s="30" t="s">
        <v>154</v>
      </c>
      <c r="G15" s="40">
        <v>11</v>
      </c>
      <c r="H15" s="41"/>
      <c r="I15" s="42">
        <f t="shared" si="0"/>
        <v>11</v>
      </c>
      <c r="J15" s="43">
        <v>22</v>
      </c>
      <c r="K15" s="44">
        <v>0.957205240174672</v>
      </c>
      <c r="L15" s="44">
        <v>0.791353383458647</v>
      </c>
      <c r="M15" s="44">
        <v>0.95473496128648</v>
      </c>
      <c r="N15" s="45"/>
      <c r="O15" s="45"/>
      <c r="P15" s="45"/>
      <c r="Q15" s="46">
        <f>IF($I15="","",IFERROR(INDEX(_玩家曲线!$H$2:$H$286,MATCH($I15,_玩家曲线!$A$2:$A$286,0)),""))</f>
        <v>8430.78069475875</v>
      </c>
      <c r="R15" s="46">
        <f>IF($I15="","",IFERROR(INDEX(_玩家曲线!$I$2:$I$286,MATCH($I15,_玩家曲线!$A$2:$A$286,0)),""))</f>
        <v>29297.5566282877</v>
      </c>
      <c r="S15" s="46">
        <f>IF(OR($J15="",$F15="不适用"),"",IFERROR(INDEX(_怪物模型!$D$2:$D$4501,(INT($J15)-1)*ROWS(_怪物类型!$A$2:$A$10)+MATCH($F15,_怪物类型!$A$2:$A$10,0))*IF($K15="",1,$K15),""))</f>
        <v>3288</v>
      </c>
      <c r="T15" s="46">
        <f>IF(OR($J15="",$F15="不适用"),"",IFERROR(INDEX(_怪物模型!$E$2:$E$4501,(INT($J15)-1)*ROWS(_怪物类型!$A$2:$A$10)+MATCH($F15,_怪物类型!$A$2:$A$10,0))*IF($L15="",1,$L15),""))</f>
        <v>842</v>
      </c>
      <c r="U15" s="46">
        <f>IF(OR($J15="",$F15="不适用"),"",IFERROR(INDEX(_怪物模型!$F$2:$F$4501,(INT($J15)-1)*ROWS(_怪物类型!$A$2:$A$10)+MATCH($F15,_怪物类型!$A$2:$A$10,0))*IF($M15="",1,$M15),""))</f>
        <v>1603</v>
      </c>
      <c r="V15" s="47">
        <f t="shared" si="1"/>
        <v>0.0626098504081553</v>
      </c>
      <c r="W15" s="48">
        <f t="shared" si="2"/>
        <v>3507.611</v>
      </c>
      <c r="X15" s="48">
        <f t="shared" si="3"/>
        <v>0.416048184266092</v>
      </c>
      <c r="Y15" s="48">
        <f t="shared" si="4"/>
        <v>34.7951978958286</v>
      </c>
      <c r="Z15" s="49" t="str">
        <f t="shared" si="5"/>
        <v/>
      </c>
      <c r="AA15" s="30" t="str">
        <f t="shared" si="6"/>
        <v>已计算</v>
      </c>
      <c r="AB15" s="30" t="str">
        <f t="shared" si="7"/>
        <v>有效</v>
      </c>
      <c r="AC15" s="30" t="str">
        <f t="shared" si="8"/>
        <v/>
      </c>
      <c r="AD15" s="31" t="s">
        <v>187</v>
      </c>
      <c r="AE15">
        <v>7830</v>
      </c>
      <c r="AF15">
        <f>INDEX(_统一战力!$B$2:$B$501,J15)</f>
        <v>12300</v>
      </c>
    </row>
    <row r="16" ht="25" customHeight="1" spans="1:32">
      <c r="A16" s="30" t="s">
        <v>150</v>
      </c>
      <c r="B16" s="30" t="s">
        <v>51</v>
      </c>
      <c r="C16" s="31" t="s">
        <v>166</v>
      </c>
      <c r="D16" s="31" t="s">
        <v>188</v>
      </c>
      <c r="E16" s="31" t="s">
        <v>189</v>
      </c>
      <c r="F16" s="30" t="s">
        <v>164</v>
      </c>
      <c r="G16" s="40">
        <v>12</v>
      </c>
      <c r="H16" s="41"/>
      <c r="I16" s="42">
        <f t="shared" si="0"/>
        <v>12</v>
      </c>
      <c r="J16" s="43">
        <v>23</v>
      </c>
      <c r="K16" s="44">
        <v>1.03381338931493</v>
      </c>
      <c r="L16" s="44">
        <v>0.644622093023256</v>
      </c>
      <c r="M16" s="44">
        <v>0.954493742889647</v>
      </c>
      <c r="N16" s="45"/>
      <c r="O16" s="45"/>
      <c r="P16" s="45"/>
      <c r="Q16" s="46">
        <f>IF($I16="","",IFERROR(INDEX(_玩家曲线!$H$2:$H$286,MATCH($I16,_玩家曲线!$A$2:$A$286,0)),""))</f>
        <v>9241.7525096093</v>
      </c>
      <c r="R16" s="46">
        <f>IF($I16="","",IFERROR(INDEX(_玩家曲线!$I$2:$I$286,MATCH($I16,_玩家曲线!$A$2:$A$286,0)),""))</f>
        <v>32187.1922088963</v>
      </c>
      <c r="S16" s="46">
        <f>IF(OR($J16="",$F16="不适用"),"",IFERROR(INDEX(_怪物模型!$D$2:$D$4501,(INT($J16)-1)*ROWS(_怪物类型!$A$2:$A$10)+MATCH($F16,_怪物类型!$A$2:$A$10,0))*IF($K16="",1,$K16),""))</f>
        <v>299412.000000001</v>
      </c>
      <c r="T16" s="46">
        <f>IF(OR($J16="",$F16="不适用"),"",IFERROR(INDEX(_怪物模型!$E$2:$E$4501,(INT($J16)-1)*ROWS(_怪物类型!$A$2:$A$10)+MATCH($F16,_怪物类型!$A$2:$A$10,0))*IF($L16="",1,$L16),""))</f>
        <v>887</v>
      </c>
      <c r="U16" s="46">
        <f>IF(OR($J16="",$F16="不适用"),"",IFERROR(INDEX(_怪物模型!$F$2:$F$4501,(INT($J16)-1)*ROWS(_怪物类型!$A$2:$A$10)+MATCH($F16,_怪物类型!$A$2:$A$10,0))*IF($M16="",1,$M16),""))</f>
        <v>1678</v>
      </c>
      <c r="V16" s="47">
        <f t="shared" si="1"/>
        <v>0.0653477685177973</v>
      </c>
      <c r="W16" s="48">
        <f t="shared" si="2"/>
        <v>320345.889000001</v>
      </c>
      <c r="X16" s="48">
        <f t="shared" si="3"/>
        <v>34.6628941498828</v>
      </c>
      <c r="Y16" s="48">
        <f t="shared" si="4"/>
        <v>36.2877026030398</v>
      </c>
      <c r="Z16" s="49" t="str">
        <f t="shared" si="5"/>
        <v/>
      </c>
      <c r="AA16" s="30" t="str">
        <f t="shared" si="6"/>
        <v>已计算</v>
      </c>
      <c r="AB16" s="30" t="str">
        <f t="shared" si="7"/>
        <v>有效</v>
      </c>
      <c r="AC16" s="30" t="str">
        <f t="shared" si="8"/>
        <v/>
      </c>
      <c r="AD16" s="31" t="s">
        <v>190</v>
      </c>
      <c r="AE16">
        <v>8610</v>
      </c>
      <c r="AF16">
        <f>INDEX(_统一战力!$B$2:$B$501,J16)</f>
        <v>13500</v>
      </c>
    </row>
    <row r="17" ht="25" customHeight="1" spans="1:32">
      <c r="A17" s="30" t="s">
        <v>150</v>
      </c>
      <c r="B17" s="30" t="s">
        <v>51</v>
      </c>
      <c r="C17" s="31" t="s">
        <v>191</v>
      </c>
      <c r="D17" s="31" t="s">
        <v>192</v>
      </c>
      <c r="E17" s="31" t="s">
        <v>193</v>
      </c>
      <c r="F17" s="30" t="s">
        <v>154</v>
      </c>
      <c r="G17" s="40">
        <v>13</v>
      </c>
      <c r="H17" s="41"/>
      <c r="I17" s="42">
        <f t="shared" si="0"/>
        <v>13</v>
      </c>
      <c r="J17" s="43">
        <v>25</v>
      </c>
      <c r="K17" s="44">
        <v>0.95703125</v>
      </c>
      <c r="L17" s="44">
        <v>0.8</v>
      </c>
      <c r="M17" s="44">
        <v>0.953573291601461</v>
      </c>
      <c r="N17" s="45"/>
      <c r="O17" s="45"/>
      <c r="P17" s="45"/>
      <c r="Q17" s="46">
        <f>IF($I17="","",IFERROR(INDEX(_玩家曲线!$H$2:$H$286,MATCH($I17,_玩家曲线!$A$2:$A$286,0)),""))</f>
        <v>10080.2657251111</v>
      </c>
      <c r="R17" s="46">
        <f>IF($I17="","",IFERROR(INDEX(_玩家曲线!$I$2:$I$286,MATCH($I17,_玩家曲线!$A$2:$A$286,0)),""))</f>
        <v>35183.7527049831</v>
      </c>
      <c r="S17" s="46">
        <f>IF(OR($J17="",$F17="不适用"),"",IFERROR(INDEX(_怪物模型!$D$2:$D$4501,(INT($J17)-1)*ROWS(_怪物类型!$A$2:$A$10)+MATCH($F17,_怪物类型!$A$2:$A$10,0))*IF($K17="",1,$K17),""))</f>
        <v>3920</v>
      </c>
      <c r="T17" s="46">
        <f>IF(OR($J17="",$F17="不适用"),"",IFERROR(INDEX(_怪物模型!$E$2:$E$4501,(INT($J17)-1)*ROWS(_怪物类型!$A$2:$A$10)+MATCH($F17,_怪物类型!$A$2:$A$10,0))*IF($L17="",1,$L17),""))</f>
        <v>980</v>
      </c>
      <c r="U17" s="46">
        <f>IF(OR($J17="",$F17="不适用"),"",IFERROR(INDEX(_怪物模型!$F$2:$F$4501,(INT($J17)-1)*ROWS(_怪物类型!$A$2:$A$10)+MATCH($F17,_怪物类型!$A$2:$A$10,0))*IF($M17="",1,$M17),""))</f>
        <v>1828</v>
      </c>
      <c r="V17" s="47">
        <f t="shared" si="1"/>
        <v>0.0707759021217284</v>
      </c>
      <c r="W17" s="48">
        <f t="shared" si="2"/>
        <v>4218.57333333333</v>
      </c>
      <c r="X17" s="48">
        <f t="shared" si="3"/>
        <v>0.418498226968797</v>
      </c>
      <c r="Y17" s="48">
        <f t="shared" si="4"/>
        <v>35.9017884744725</v>
      </c>
      <c r="Z17" s="49" t="str">
        <f t="shared" si="5"/>
        <v/>
      </c>
      <c r="AA17" s="30" t="str">
        <f t="shared" si="6"/>
        <v>已计算</v>
      </c>
      <c r="AB17" s="30" t="str">
        <f t="shared" si="7"/>
        <v>有效</v>
      </c>
      <c r="AC17" s="30" t="str">
        <f t="shared" si="8"/>
        <v/>
      </c>
      <c r="AD17" s="31" t="s">
        <v>194</v>
      </c>
      <c r="AE17">
        <v>9540</v>
      </c>
      <c r="AF17">
        <f>INDEX(_统一战力!$B$2:$B$501,J17)</f>
        <v>14700</v>
      </c>
    </row>
    <row r="18" ht="25" customHeight="1" spans="1:32">
      <c r="A18" s="30" t="s">
        <v>150</v>
      </c>
      <c r="B18" s="30" t="s">
        <v>51</v>
      </c>
      <c r="C18" s="31" t="s">
        <v>191</v>
      </c>
      <c r="D18" s="31" t="s">
        <v>195</v>
      </c>
      <c r="E18" s="31" t="s">
        <v>196</v>
      </c>
      <c r="F18" s="30" t="s">
        <v>154</v>
      </c>
      <c r="G18" s="40">
        <v>14</v>
      </c>
      <c r="H18" s="41"/>
      <c r="I18" s="42">
        <f t="shared" si="0"/>
        <v>14</v>
      </c>
      <c r="J18" s="43">
        <v>27</v>
      </c>
      <c r="K18" s="44">
        <v>0.957026967770226</v>
      </c>
      <c r="L18" s="44">
        <v>0.807201800450113</v>
      </c>
      <c r="M18" s="44">
        <v>0.953275529865125</v>
      </c>
      <c r="N18" s="45"/>
      <c r="O18" s="45"/>
      <c r="P18" s="45"/>
      <c r="Q18" s="46">
        <f>IF($I18="","",IFERROR(INDEX(_玩家曲线!$H$2:$H$286,MATCH($I18,_玩家曲线!$A$2:$A$286,0)),""))</f>
        <v>10947.8652713966</v>
      </c>
      <c r="R18" s="46">
        <f>IF($I18="","",IFERROR(INDEX(_玩家曲线!$I$2:$I$286,MATCH($I18,_玩家曲线!$A$2:$A$286,0)),""))</f>
        <v>38293.4883702837</v>
      </c>
      <c r="S18" s="46">
        <f>IF(OR($J18="",$F18="不适用"),"",IFERROR(INDEX(_怪物模型!$D$2:$D$4501,(INT($J18)-1)*ROWS(_怪物类型!$A$2:$A$10)+MATCH($F18,_怪物类型!$A$2:$A$10,0))*IF($K18="",1,$K18),""))</f>
        <v>4365</v>
      </c>
      <c r="T18" s="46">
        <f>IF(OR($J18="",$F18="不适用"),"",IFERROR(INDEX(_怪物模型!$E$2:$E$4501,(INT($J18)-1)*ROWS(_怪物类型!$A$2:$A$10)+MATCH($F18,_怪物类型!$A$2:$A$10,0))*IF($L18="",1,$L18),""))</f>
        <v>1076</v>
      </c>
      <c r="U18" s="46">
        <f>IF(OR($J18="",$F18="不适用"),"",IFERROR(INDEX(_怪物模型!$F$2:$F$4501,(INT($J18)-1)*ROWS(_怪物类型!$A$2:$A$10)+MATCH($F18,_怪物类型!$A$2:$A$10,0))*IF($M18="",1,$M18),""))</f>
        <v>1979</v>
      </c>
      <c r="V18" s="47">
        <f t="shared" si="1"/>
        <v>0.0761769121213288</v>
      </c>
      <c r="W18" s="48">
        <f t="shared" si="2"/>
        <v>4724.930625</v>
      </c>
      <c r="X18" s="48">
        <f t="shared" si="3"/>
        <v>0.431584652155411</v>
      </c>
      <c r="Y18" s="48">
        <f t="shared" si="4"/>
        <v>35.5887438385536</v>
      </c>
      <c r="Z18" s="49" t="str">
        <f t="shared" si="5"/>
        <v/>
      </c>
      <c r="AA18" s="30" t="str">
        <f t="shared" si="6"/>
        <v>已计算</v>
      </c>
      <c r="AB18" s="30" t="str">
        <f t="shared" si="7"/>
        <v>有效</v>
      </c>
      <c r="AC18" s="30" t="str">
        <f t="shared" si="8"/>
        <v/>
      </c>
      <c r="AD18" s="31" t="s">
        <v>197</v>
      </c>
      <c r="AE18">
        <v>10500</v>
      </c>
      <c r="AF18">
        <f>INDEX(_统一战力!$B$2:$B$501,J18)</f>
        <v>16000</v>
      </c>
    </row>
    <row r="19" ht="25" customHeight="1" spans="1:32">
      <c r="A19" s="30" t="s">
        <v>150</v>
      </c>
      <c r="B19" s="30" t="s">
        <v>51</v>
      </c>
      <c r="C19" s="31" t="s">
        <v>191</v>
      </c>
      <c r="D19" s="31" t="s">
        <v>198</v>
      </c>
      <c r="E19" s="31" t="s">
        <v>199</v>
      </c>
      <c r="F19" s="30" t="s">
        <v>154</v>
      </c>
      <c r="G19" s="40">
        <v>15</v>
      </c>
      <c r="H19" s="41"/>
      <c r="I19" s="42">
        <f t="shared" si="0"/>
        <v>15</v>
      </c>
      <c r="J19" s="43">
        <v>28</v>
      </c>
      <c r="K19" s="44">
        <v>0.956883982503645</v>
      </c>
      <c r="L19" s="44">
        <v>0.809935205183585</v>
      </c>
      <c r="M19" s="44">
        <v>0.953153988868275</v>
      </c>
      <c r="N19" s="45"/>
      <c r="O19" s="45"/>
      <c r="P19" s="45"/>
      <c r="Q19" s="46">
        <f>IF($I19="","",IFERROR(INDEX(_玩家曲线!$H$2:$H$286,MATCH($I19,_玩家曲线!$A$2:$A$286,0)),""))</f>
        <v>11554.7916589384</v>
      </c>
      <c r="R19" s="46">
        <f>IF($I19="","",IFERROR(INDEX(_玩家曲线!$I$2:$I$286,MATCH($I19,_玩家曲线!$A$2:$A$286,0)),""))</f>
        <v>40054.7709950847</v>
      </c>
      <c r="S19" s="46">
        <f>IF(OR($J19="",$F19="不适用"),"",IFERROR(INDEX(_怪物模型!$D$2:$D$4501,(INT($J19)-1)*ROWS(_怪物类型!$A$2:$A$10)+MATCH($F19,_怪物类型!$A$2:$A$10,0))*IF($K19="",1,$K19),""))</f>
        <v>4594</v>
      </c>
      <c r="T19" s="46">
        <f>IF(OR($J19="",$F19="不适用"),"",IFERROR(INDEX(_怪物模型!$E$2:$E$4501,(INT($J19)-1)*ROWS(_怪物类型!$A$2:$A$10)+MATCH($F19,_怪物类型!$A$2:$A$10,0))*IF($L19="",1,$L19),""))</f>
        <v>1125</v>
      </c>
      <c r="U19" s="46">
        <f>IF(OR($J19="",$F19="不适用"),"",IFERROR(INDEX(_怪物模型!$F$2:$F$4501,(INT($J19)-1)*ROWS(_怪物类型!$A$2:$A$10)+MATCH($F19,_怪物类型!$A$2:$A$10,0))*IF($M19="",1,$M19),""))</f>
        <v>2055</v>
      </c>
      <c r="V19" s="47">
        <f t="shared" si="1"/>
        <v>0.0788716177317214</v>
      </c>
      <c r="W19" s="48">
        <f t="shared" si="2"/>
        <v>4987.36125</v>
      </c>
      <c r="X19" s="48">
        <f t="shared" si="3"/>
        <v>0.431627103041875</v>
      </c>
      <c r="Y19" s="48">
        <f t="shared" si="4"/>
        <v>35.6042408845197</v>
      </c>
      <c r="Z19" s="49" t="str">
        <f t="shared" si="5"/>
        <v/>
      </c>
      <c r="AA19" s="30" t="str">
        <f t="shared" si="6"/>
        <v>已计算</v>
      </c>
      <c r="AB19" s="30" t="str">
        <f t="shared" si="7"/>
        <v>有效</v>
      </c>
      <c r="AC19" s="30" t="str">
        <f t="shared" si="8"/>
        <v/>
      </c>
      <c r="AD19" s="31" t="s">
        <v>200</v>
      </c>
      <c r="AE19">
        <v>11400</v>
      </c>
      <c r="AF19">
        <f>INDEX(_统一战力!$B$2:$B$501,J19)</f>
        <v>16700</v>
      </c>
    </row>
    <row r="20" ht="25" customHeight="1" spans="1:32">
      <c r="A20" s="30" t="s">
        <v>150</v>
      </c>
      <c r="B20" s="30" t="s">
        <v>51</v>
      </c>
      <c r="C20" s="31" t="s">
        <v>191</v>
      </c>
      <c r="D20" s="31" t="s">
        <v>201</v>
      </c>
      <c r="E20" s="31" t="s">
        <v>202</v>
      </c>
      <c r="F20" s="30" t="s">
        <v>154</v>
      </c>
      <c r="G20" s="40">
        <v>16</v>
      </c>
      <c r="H20" s="41"/>
      <c r="I20" s="42">
        <f t="shared" si="0"/>
        <v>16</v>
      </c>
      <c r="J20" s="43">
        <v>30</v>
      </c>
      <c r="K20" s="44">
        <v>0.956767981876534</v>
      </c>
      <c r="L20" s="44">
        <v>0.816</v>
      </c>
      <c r="M20" s="44">
        <v>0.952524816573155</v>
      </c>
      <c r="N20" s="45"/>
      <c r="O20" s="45"/>
      <c r="P20" s="45"/>
      <c r="Q20" s="46">
        <f>IF($I20="","",IFERROR(INDEX(_玩家曲线!$H$2:$H$286,MATCH($I20,_玩家曲线!$A$2:$A$286,0)),""))</f>
        <v>12729.4716557661</v>
      </c>
      <c r="R20" s="46">
        <f>IF($I20="","",IFERROR(INDEX(_玩家曲线!$I$2:$I$286,MATCH($I20,_玩家曲线!$A$2:$A$286,0)),""))</f>
        <v>43361.3035091893</v>
      </c>
      <c r="S20" s="46">
        <f>IF(OR($J20="",$F20="不适用"),"",IFERROR(INDEX(_怪物模型!$D$2:$D$4501,(INT($J20)-1)*ROWS(_怪物类型!$A$2:$A$10)+MATCH($F20,_怪物类型!$A$2:$A$10,0))*IF($K20="",1,$K20),""))</f>
        <v>5068</v>
      </c>
      <c r="T20" s="46">
        <f>IF(OR($J20="",$F20="不适用"),"",IFERROR(INDEX(_怪物模型!$E$2:$E$4501,(INT($J20)-1)*ROWS(_怪物类型!$A$2:$A$10)+MATCH($F20,_怪物类型!$A$2:$A$10,0))*IF($L20="",1,$L20),""))</f>
        <v>1224</v>
      </c>
      <c r="U20" s="46">
        <f>IF(OR($J20="",$F20="不适用"),"",IFERROR(INDEX(_怪物模型!$F$2:$F$4501,(INT($J20)-1)*ROWS(_怪物类型!$A$2:$A$10)+MATCH($F20,_怪物类型!$A$2:$A$10,0))*IF($M20="",1,$M20),""))</f>
        <v>2207</v>
      </c>
      <c r="V20" s="47">
        <f t="shared" si="1"/>
        <v>0.0842141412599687</v>
      </c>
      <c r="W20" s="48">
        <f t="shared" si="2"/>
        <v>5534.04483333333</v>
      </c>
      <c r="X20" s="48">
        <f t="shared" si="3"/>
        <v>0.434742696553833</v>
      </c>
      <c r="Y20" s="48">
        <f t="shared" si="4"/>
        <v>35.4259015597952</v>
      </c>
      <c r="Z20" s="49" t="str">
        <f t="shared" si="5"/>
        <v/>
      </c>
      <c r="AA20" s="30" t="str">
        <f t="shared" si="6"/>
        <v>已计算</v>
      </c>
      <c r="AB20" s="30" t="str">
        <f t="shared" si="7"/>
        <v>有效</v>
      </c>
      <c r="AC20" s="30" t="str">
        <f t="shared" si="8"/>
        <v/>
      </c>
      <c r="AD20" s="31" t="s">
        <v>203</v>
      </c>
      <c r="AE20">
        <v>12300</v>
      </c>
      <c r="AF20">
        <f>INDEX(_统一战力!$B$2:$B$501,J20)</f>
        <v>18200</v>
      </c>
    </row>
    <row r="21" ht="25" customHeight="1" spans="1:32">
      <c r="A21" s="30" t="s">
        <v>150</v>
      </c>
      <c r="B21" s="30" t="s">
        <v>51</v>
      </c>
      <c r="C21" s="31" t="s">
        <v>191</v>
      </c>
      <c r="D21" s="31" t="s">
        <v>204</v>
      </c>
      <c r="E21" s="31" t="s">
        <v>205</v>
      </c>
      <c r="F21" s="30" t="s">
        <v>154</v>
      </c>
      <c r="G21" s="40">
        <v>17</v>
      </c>
      <c r="H21" s="41"/>
      <c r="I21" s="42">
        <f t="shared" si="0"/>
        <v>17</v>
      </c>
      <c r="J21" s="43">
        <v>32</v>
      </c>
      <c r="K21" s="44">
        <v>0.956641431520991</v>
      </c>
      <c r="L21" s="44">
        <v>0.822690638561686</v>
      </c>
      <c r="M21" s="44">
        <v>0.952400161355385</v>
      </c>
      <c r="N21" s="45"/>
      <c r="O21" s="45"/>
      <c r="P21" s="45"/>
      <c r="Q21" s="46">
        <f>IF($I21="","",IFERROR(INDEX(_玩家曲线!$H$2:$H$286,MATCH($I21,_玩家曲线!$A$2:$A$286,0)),""))</f>
        <v>13957.0878273227</v>
      </c>
      <c r="R21" s="46">
        <f>IF($I21="","",IFERROR(INDEX(_玩家曲线!$I$2:$I$286,MATCH($I21,_玩家曲线!$A$2:$A$286,0)),""))</f>
        <v>46731.0163987609</v>
      </c>
      <c r="S21" s="46">
        <f>IF(OR($J21="",$F21="不适用"),"",IFERROR(INDEX(_怪物模型!$D$2:$D$4501,(INT($J21)-1)*ROWS(_怪物类型!$A$2:$A$10)+MATCH($F21,_怪物类型!$A$2:$A$10,0))*IF($K21="",1,$K21),""))</f>
        <v>5560</v>
      </c>
      <c r="T21" s="46">
        <f>IF(OR($J21="",$F21="不适用"),"",IFERROR(INDEX(_怪物模型!$E$2:$E$4501,(INT($J21)-1)*ROWS(_怪物类型!$A$2:$A$10)+MATCH($F21,_怪物类型!$A$2:$A$10,0))*IF($L21="",1,$L21),""))</f>
        <v>1327</v>
      </c>
      <c r="U21" s="46">
        <f>IF(OR($J21="",$F21="不适用"),"",IFERROR(INDEX(_怪物模型!$F$2:$F$4501,(INT($J21)-1)*ROWS(_怪物类型!$A$2:$A$10)+MATCH($F21,_怪物类型!$A$2:$A$10,0))*IF($M21="",1,$M21),""))</f>
        <v>2361</v>
      </c>
      <c r="V21" s="47">
        <f t="shared" si="1"/>
        <v>0.0895641288266757</v>
      </c>
      <c r="W21" s="48">
        <f t="shared" si="2"/>
        <v>6106.965</v>
      </c>
      <c r="X21" s="48">
        <f t="shared" si="3"/>
        <v>0.437552953420904</v>
      </c>
      <c r="Y21" s="48">
        <f t="shared" si="4"/>
        <v>35.2155360955244</v>
      </c>
      <c r="Z21" s="49" t="str">
        <f t="shared" si="5"/>
        <v/>
      </c>
      <c r="AA21" s="30" t="str">
        <f t="shared" si="6"/>
        <v>已计算</v>
      </c>
      <c r="AB21" s="30" t="str">
        <f t="shared" si="7"/>
        <v>有效</v>
      </c>
      <c r="AC21" s="30" t="str">
        <f t="shared" si="8"/>
        <v/>
      </c>
      <c r="AD21" s="31" t="s">
        <v>206</v>
      </c>
      <c r="AE21">
        <v>13300</v>
      </c>
      <c r="AF21">
        <f>INDEX(_统一战力!$B$2:$B$501,J21)</f>
        <v>19800</v>
      </c>
    </row>
    <row r="22" ht="25" customHeight="1" spans="1:32">
      <c r="A22" s="30" t="s">
        <v>150</v>
      </c>
      <c r="B22" s="30" t="s">
        <v>51</v>
      </c>
      <c r="C22" s="31" t="s">
        <v>191</v>
      </c>
      <c r="D22" s="31" t="s">
        <v>207</v>
      </c>
      <c r="E22" s="31" t="s">
        <v>208</v>
      </c>
      <c r="F22" s="30" t="s">
        <v>154</v>
      </c>
      <c r="G22" s="40">
        <v>18</v>
      </c>
      <c r="H22" s="41"/>
      <c r="I22" s="42">
        <f t="shared" si="0"/>
        <v>18</v>
      </c>
      <c r="J22" s="43">
        <v>33</v>
      </c>
      <c r="K22" s="44">
        <v>0.956564659427443</v>
      </c>
      <c r="L22" s="44">
        <v>0.82525433871933</v>
      </c>
      <c r="M22" s="44">
        <v>0.951953125</v>
      </c>
      <c r="N22" s="45"/>
      <c r="O22" s="45"/>
      <c r="P22" s="45"/>
      <c r="Q22" s="46">
        <f>IF($I22="","",IFERROR(INDEX(_玩家曲线!$H$2:$H$286,MATCH($I22,_玩家曲线!$A$2:$A$286,0)),""))</f>
        <v>15239.1437306135</v>
      </c>
      <c r="R22" s="46">
        <f>IF($I22="","",IFERROR(INDEX(_玩家曲线!$I$2:$I$286,MATCH($I22,_玩家曲线!$A$2:$A$286,0)),""))</f>
        <v>50164.8230046736</v>
      </c>
      <c r="S22" s="46">
        <f>IF(OR($J22="",$F22="不适用"),"",IFERROR(INDEX(_怪物模型!$D$2:$D$4501,(INT($J22)-1)*ROWS(_怪物类型!$A$2:$A$10)+MATCH($F22,_怪物类型!$A$2:$A$10,0))*IF($K22="",1,$K22),""))</f>
        <v>5814</v>
      </c>
      <c r="T22" s="46">
        <f>IF(OR($J22="",$F22="不适用"),"",IFERROR(INDEX(_怪物模型!$E$2:$E$4501,(INT($J22)-1)*ROWS(_怪物类型!$A$2:$A$10)+MATCH($F22,_怪物类型!$A$2:$A$10,0))*IF($L22="",1,$L22),""))</f>
        <v>1379</v>
      </c>
      <c r="U22" s="46">
        <f>IF(OR($J22="",$F22="不适用"),"",IFERROR(INDEX(_怪物模型!$F$2:$F$4501,(INT($J22)-1)*ROWS(_怪物类型!$A$2:$A$10)+MATCH($F22,_怪物类型!$A$2:$A$10,0))*IF($M22="",1,$M22),""))</f>
        <v>2437</v>
      </c>
      <c r="V22" s="47">
        <f t="shared" si="1"/>
        <v>0.0921814124144192</v>
      </c>
      <c r="W22" s="48">
        <f t="shared" si="2"/>
        <v>6404.36325</v>
      </c>
      <c r="X22" s="48">
        <f t="shared" si="3"/>
        <v>0.420257421493732</v>
      </c>
      <c r="Y22" s="48">
        <f t="shared" si="4"/>
        <v>36.3776816567611</v>
      </c>
      <c r="Z22" s="49" t="str">
        <f t="shared" si="5"/>
        <v/>
      </c>
      <c r="AA22" s="30" t="str">
        <f t="shared" si="6"/>
        <v>已计算</v>
      </c>
      <c r="AB22" s="30" t="str">
        <f t="shared" si="7"/>
        <v>有效</v>
      </c>
      <c r="AC22" s="30" t="str">
        <f t="shared" si="8"/>
        <v/>
      </c>
      <c r="AD22" s="31" t="s">
        <v>209</v>
      </c>
      <c r="AE22">
        <v>14200</v>
      </c>
      <c r="AF22">
        <f>INDEX(_统一战力!$B$2:$B$501,J22)</f>
        <v>21400</v>
      </c>
    </row>
    <row r="23" ht="25" customHeight="1" spans="1:32">
      <c r="A23" s="30" t="s">
        <v>150</v>
      </c>
      <c r="B23" s="30" t="s">
        <v>51</v>
      </c>
      <c r="C23" s="31" t="s">
        <v>191</v>
      </c>
      <c r="D23" s="31" t="s">
        <v>210</v>
      </c>
      <c r="E23" s="31" t="s">
        <v>211</v>
      </c>
      <c r="F23" s="30" t="s">
        <v>154</v>
      </c>
      <c r="G23" s="40">
        <v>19</v>
      </c>
      <c r="H23" s="41"/>
      <c r="I23" s="42">
        <f t="shared" si="0"/>
        <v>19</v>
      </c>
      <c r="J23" s="43">
        <v>36</v>
      </c>
      <c r="K23" s="44">
        <v>0.956402085747393</v>
      </c>
      <c r="L23" s="44">
        <v>0.834688346883469</v>
      </c>
      <c r="M23" s="44">
        <v>0.951515151515152</v>
      </c>
      <c r="N23" s="45"/>
      <c r="O23" s="45"/>
      <c r="P23" s="45"/>
      <c r="Q23" s="46">
        <f>IF($I23="","",IFERROR(INDEX(_玩家曲线!$H$2:$H$286,MATCH($I23,_玩家曲线!$A$2:$A$286,0)),""))</f>
        <v>16577.1744599968</v>
      </c>
      <c r="R23" s="46">
        <f>IF($I23="","",IFERROR(INDEX(_玩家曲线!$I$2:$I$286,MATCH($I23,_玩家曲线!$A$2:$A$286,0)),""))</f>
        <v>53663.6446921413</v>
      </c>
      <c r="S23" s="46">
        <f>IF(OR($J23="",$F23="不适用"),"",IFERROR(INDEX(_怪物模型!$D$2:$D$4501,(INT($J23)-1)*ROWS(_怪物类型!$A$2:$A$10)+MATCH($F23,_怪物类型!$A$2:$A$10,0))*IF($K23="",1,$K23),""))</f>
        <v>6603</v>
      </c>
      <c r="T23" s="46">
        <f>IF(OR($J23="",$F23="不适用"),"",IFERROR(INDEX(_怪物模型!$E$2:$E$4501,(INT($J23)-1)*ROWS(_怪物类型!$A$2:$A$10)+MATCH($F23,_怪物类型!$A$2:$A$10,0))*IF($L23="",1,$L23),""))</f>
        <v>1540</v>
      </c>
      <c r="U23" s="46">
        <f>IF(OR($J23="",$F23="不适用"),"",IFERROR(INDEX(_怪物模型!$F$2:$F$4501,(INT($J23)-1)*ROWS(_怪物类型!$A$2:$A$10)+MATCH($F23,_怪物类型!$A$2:$A$10,0))*IF($M23="",1,$M23),""))</f>
        <v>2669</v>
      </c>
      <c r="V23" s="47">
        <f t="shared" si="1"/>
        <v>0.100078743109978</v>
      </c>
      <c r="W23" s="48">
        <f t="shared" si="2"/>
        <v>7337.308625</v>
      </c>
      <c r="X23" s="48">
        <f t="shared" si="3"/>
        <v>0.442615153909734</v>
      </c>
      <c r="Y23" s="48">
        <f t="shared" si="4"/>
        <v>34.8465225273645</v>
      </c>
      <c r="Z23" s="49" t="str">
        <f t="shared" si="5"/>
        <v/>
      </c>
      <c r="AA23" s="30" t="str">
        <f t="shared" si="6"/>
        <v>已计算</v>
      </c>
      <c r="AB23" s="30" t="str">
        <f t="shared" si="7"/>
        <v>有效</v>
      </c>
      <c r="AC23" s="30" t="str">
        <f t="shared" si="8"/>
        <v/>
      </c>
      <c r="AD23" s="31" t="s">
        <v>212</v>
      </c>
      <c r="AE23">
        <v>15100</v>
      </c>
      <c r="AF23">
        <f>INDEX(_统一战力!$B$2:$B$501,J23)</f>
        <v>23100</v>
      </c>
    </row>
    <row r="24" ht="25" customHeight="1" spans="1:32">
      <c r="A24" s="30" t="s">
        <v>150</v>
      </c>
      <c r="B24" s="30" t="s">
        <v>51</v>
      </c>
      <c r="C24" s="31" t="s">
        <v>191</v>
      </c>
      <c r="D24" s="31" t="s">
        <v>213</v>
      </c>
      <c r="E24" s="31" t="s">
        <v>214</v>
      </c>
      <c r="F24" s="30" t="s">
        <v>154</v>
      </c>
      <c r="G24" s="40">
        <v>20</v>
      </c>
      <c r="H24" s="41"/>
      <c r="I24" s="42">
        <f t="shared" si="0"/>
        <v>20</v>
      </c>
      <c r="J24" s="43">
        <v>37</v>
      </c>
      <c r="K24" s="44">
        <v>0.956328233657858</v>
      </c>
      <c r="L24" s="44">
        <v>0.837710084033613</v>
      </c>
      <c r="M24" s="44">
        <v>0.951160374090752</v>
      </c>
      <c r="N24" s="45"/>
      <c r="O24" s="45"/>
      <c r="P24" s="45"/>
      <c r="Q24" s="46">
        <f>IF($I24="","",IFERROR(INDEX(_玩家曲线!$H$2:$H$286,MATCH($I24,_玩家曲线!$A$2:$A$286,0)),""))</f>
        <v>18422.0658556409</v>
      </c>
      <c r="R24" s="46">
        <f>IF($I24="","",IFERROR(INDEX(_玩家曲线!$I$2:$I$286,MATCH($I24,_玩家曲线!$A$2:$A$286,0)),""))</f>
        <v>58659.1211219852</v>
      </c>
      <c r="S24" s="46">
        <f>IF(OR($J24="",$F24="不适用"),"",IFERROR(INDEX(_怪物模型!$D$2:$D$4501,(INT($J24)-1)*ROWS(_怪物类型!$A$2:$A$10)+MATCH($F24,_怪物类型!$A$2:$A$10,0))*IF($K24="",1,$K24),""))</f>
        <v>6876</v>
      </c>
      <c r="T24" s="46">
        <f>IF(OR($J24="",$F24="不适用"),"",IFERROR(INDEX(_怪物模型!$E$2:$E$4501,(INT($J24)-1)*ROWS(_怪物类型!$A$2:$A$10)+MATCH($F24,_怪物类型!$A$2:$A$10,0))*IF($L24="",1,$L24),""))</f>
        <v>1595</v>
      </c>
      <c r="U24" s="46">
        <f>IF(OR($J24="",$F24="不适用"),"",IFERROR(INDEX(_怪物模型!$F$2:$F$4501,(INT($J24)-1)*ROWS(_怪物类型!$A$2:$A$10)+MATCH($F24,_怪物类型!$A$2:$A$10,0))*IF($M24="",1,$M24),""))</f>
        <v>2746</v>
      </c>
      <c r="V24" s="47">
        <f t="shared" si="1"/>
        <v>0.102669558064757</v>
      </c>
      <c r="W24" s="48">
        <f t="shared" si="2"/>
        <v>7662.729</v>
      </c>
      <c r="X24" s="48">
        <f t="shared" si="3"/>
        <v>0.415953838187678</v>
      </c>
      <c r="Y24" s="48">
        <f t="shared" si="4"/>
        <v>36.7768784463857</v>
      </c>
      <c r="Z24" s="49" t="str">
        <f t="shared" si="5"/>
        <v/>
      </c>
      <c r="AA24" s="30" t="str">
        <f t="shared" si="6"/>
        <v>已计算</v>
      </c>
      <c r="AB24" s="30" t="str">
        <f t="shared" si="7"/>
        <v>有效</v>
      </c>
      <c r="AC24" s="30" t="str">
        <f t="shared" si="8"/>
        <v/>
      </c>
      <c r="AD24" s="31" t="s">
        <v>215</v>
      </c>
      <c r="AE24">
        <v>16100</v>
      </c>
      <c r="AF24">
        <f>INDEX(_统一战力!$B$2:$B$501,J24)</f>
        <v>25400</v>
      </c>
    </row>
    <row r="25" ht="25" customHeight="1" spans="1:32">
      <c r="A25" s="30" t="s">
        <v>150</v>
      </c>
      <c r="B25" s="30" t="s">
        <v>51</v>
      </c>
      <c r="C25" s="31" t="s">
        <v>191</v>
      </c>
      <c r="D25" s="31" t="s">
        <v>216</v>
      </c>
      <c r="E25" s="31" t="s">
        <v>217</v>
      </c>
      <c r="F25" s="30" t="s">
        <v>154</v>
      </c>
      <c r="G25" s="40">
        <v>21</v>
      </c>
      <c r="H25" s="41"/>
      <c r="I25" s="42">
        <f t="shared" si="0"/>
        <v>21</v>
      </c>
      <c r="J25" s="43">
        <v>39</v>
      </c>
      <c r="K25" s="44">
        <v>0.956281342419956</v>
      </c>
      <c r="L25" s="44">
        <v>0.843796342066238</v>
      </c>
      <c r="M25" s="44">
        <v>0.950851900393185</v>
      </c>
      <c r="N25" s="45"/>
      <c r="O25" s="45"/>
      <c r="P25" s="45"/>
      <c r="Q25" s="46">
        <f>IF($I25="","",IFERROR(INDEX(_玩家曲线!$H$2:$H$286,MATCH($I25,_玩家曲线!$A$2:$A$286,0)),""))</f>
        <v>20272.2134954798</v>
      </c>
      <c r="R25" s="46">
        <f>IF($I25="","",IFERROR(INDEX(_玩家曲线!$I$2:$I$286,MATCH($I25,_玩家曲线!$A$2:$A$286,0)),""))</f>
        <v>63598.9013580518</v>
      </c>
      <c r="S25" s="46">
        <f>IF(OR($J25="",$F25="不适用"),"",IFERROR(INDEX(_怪物模型!$D$2:$D$4501,(INT($J25)-1)*ROWS(_怪物类型!$A$2:$A$10)+MATCH($F25,_怪物类型!$A$2:$A$10,0))*IF($K25="",1,$K25),""))</f>
        <v>7437</v>
      </c>
      <c r="T25" s="46">
        <f>IF(OR($J25="",$F25="不适用"),"",IFERROR(INDEX(_怪物模型!$E$2:$E$4501,(INT($J25)-1)*ROWS(_怪物类型!$A$2:$A$10)+MATCH($F25,_怪物类型!$A$2:$A$10,0))*IF($L25="",1,$L25),""))</f>
        <v>1707</v>
      </c>
      <c r="U25" s="46">
        <f>IF(OR($J25="",$F25="不适用"),"",IFERROR(INDEX(_怪物模型!$F$2:$F$4501,(INT($J25)-1)*ROWS(_怪物类型!$A$2:$A$10)+MATCH($F25,_怪物类型!$A$2:$A$10,0))*IF($M25="",1,$M25),""))</f>
        <v>2902</v>
      </c>
      <c r="V25" s="47">
        <f t="shared" si="1"/>
        <v>0.107873020593264</v>
      </c>
      <c r="W25" s="48">
        <f t="shared" si="2"/>
        <v>8336.25725</v>
      </c>
      <c r="X25" s="48">
        <f t="shared" si="3"/>
        <v>0.411215936131433</v>
      </c>
      <c r="Y25" s="48">
        <f t="shared" si="4"/>
        <v>37.2577043690989</v>
      </c>
      <c r="Z25" s="49" t="str">
        <f t="shared" si="5"/>
        <v/>
      </c>
      <c r="AA25" s="30" t="str">
        <f t="shared" si="6"/>
        <v>已计算</v>
      </c>
      <c r="AB25" s="30" t="str">
        <f t="shared" si="7"/>
        <v>有效</v>
      </c>
      <c r="AC25" s="30" t="str">
        <f t="shared" si="8"/>
        <v/>
      </c>
      <c r="AD25" s="31" t="s">
        <v>218</v>
      </c>
      <c r="AE25">
        <v>17000</v>
      </c>
      <c r="AF25">
        <f>INDEX(_统一战力!$B$2:$B$501,J25)</f>
        <v>27800</v>
      </c>
    </row>
    <row r="26" ht="25" customHeight="1" spans="1:32">
      <c r="A26" s="30" t="s">
        <v>150</v>
      </c>
      <c r="B26" s="30" t="s">
        <v>51</v>
      </c>
      <c r="C26" s="31" t="s">
        <v>191</v>
      </c>
      <c r="D26" s="31" t="s">
        <v>219</v>
      </c>
      <c r="E26" s="31" t="s">
        <v>220</v>
      </c>
      <c r="F26" s="30" t="s">
        <v>154</v>
      </c>
      <c r="G26" s="40">
        <v>22</v>
      </c>
      <c r="H26" s="41"/>
      <c r="I26" s="42">
        <f t="shared" si="0"/>
        <v>22</v>
      </c>
      <c r="J26" s="43">
        <v>41</v>
      </c>
      <c r="K26" s="44">
        <v>0.955998092058192</v>
      </c>
      <c r="L26" s="44">
        <v>0.850279850746269</v>
      </c>
      <c r="M26" s="44">
        <v>0.950279676817899</v>
      </c>
      <c r="N26" s="45"/>
      <c r="O26" s="45"/>
      <c r="P26" s="45"/>
      <c r="Q26" s="46">
        <f>IF($I26="","",IFERROR(INDEX(_玩家曲线!$H$2:$H$286,MATCH($I26,_玩家曲线!$A$2:$A$286,0)),""))</f>
        <v>22243.9427367402</v>
      </c>
      <c r="R26" s="46">
        <f>IF($I26="","",IFERROR(INDEX(_玩家曲线!$I$2:$I$286,MATCH($I26,_玩家曲线!$A$2:$A$286,0)),""))</f>
        <v>68767.7036174873</v>
      </c>
      <c r="S26" s="46">
        <f>IF(OR($J26="",$F26="不适用"),"",IFERROR(INDEX(_怪物模型!$D$2:$D$4501,(INT($J26)-1)*ROWS(_怪物类型!$A$2:$A$10)+MATCH($F26,_怪物类型!$A$2:$A$10,0))*IF($K26="",1,$K26),""))</f>
        <v>8017</v>
      </c>
      <c r="T26" s="46">
        <f>IF(OR($J26="",$F26="不适用"),"",IFERROR(INDEX(_怪物模型!$E$2:$E$4501,(INT($J26)-1)*ROWS(_怪物类型!$A$2:$A$10)+MATCH($F26,_怪物类型!$A$2:$A$10,0))*IF($L26="",1,$L26),""))</f>
        <v>1823</v>
      </c>
      <c r="U26" s="46">
        <f>IF(OR($J26="",$F26="不适用"),"",IFERROR(INDEX(_怪物模型!$F$2:$F$4501,(INT($J26)-1)*ROWS(_怪物类型!$A$2:$A$10)+MATCH($F26,_怪物类型!$A$2:$A$10,0))*IF($M26="",1,$M26),""))</f>
        <v>3058</v>
      </c>
      <c r="V26" s="47">
        <f t="shared" si="1"/>
        <v>0.113016483110356</v>
      </c>
      <c r="W26" s="48">
        <f t="shared" si="2"/>
        <v>9038.49941666666</v>
      </c>
      <c r="X26" s="48">
        <f t="shared" si="3"/>
        <v>0.406335312207841</v>
      </c>
      <c r="Y26" s="48">
        <f t="shared" si="4"/>
        <v>37.7222729662574</v>
      </c>
      <c r="Z26" s="49" t="str">
        <f t="shared" si="5"/>
        <v/>
      </c>
      <c r="AA26" s="30" t="str">
        <f t="shared" si="6"/>
        <v>已计算</v>
      </c>
      <c r="AB26" s="30" t="str">
        <f t="shared" si="7"/>
        <v>有效</v>
      </c>
      <c r="AC26" s="30" t="str">
        <f t="shared" si="8"/>
        <v/>
      </c>
      <c r="AD26" s="31" t="s">
        <v>221</v>
      </c>
      <c r="AE26">
        <v>17900</v>
      </c>
      <c r="AF26">
        <f>INDEX(_统一战力!$B$2:$B$501,J26)</f>
        <v>30200</v>
      </c>
    </row>
    <row r="27" ht="25" customHeight="1" spans="1:32">
      <c r="A27" s="30" t="s">
        <v>150</v>
      </c>
      <c r="B27" s="30" t="s">
        <v>51</v>
      </c>
      <c r="C27" s="31" t="s">
        <v>191</v>
      </c>
      <c r="D27" s="31" t="s">
        <v>222</v>
      </c>
      <c r="E27" s="31" t="s">
        <v>223</v>
      </c>
      <c r="F27" s="30" t="s">
        <v>154</v>
      </c>
      <c r="G27" s="40">
        <v>23</v>
      </c>
      <c r="H27" s="41"/>
      <c r="I27" s="42">
        <f t="shared" si="0"/>
        <v>23</v>
      </c>
      <c r="J27" s="43">
        <v>44</v>
      </c>
      <c r="K27" s="44">
        <v>0.955879203255515</v>
      </c>
      <c r="L27" s="44">
        <v>0.859167024474023</v>
      </c>
      <c r="M27" s="44">
        <v>0.949826989619377</v>
      </c>
      <c r="N27" s="45"/>
      <c r="O27" s="45"/>
      <c r="P27" s="45"/>
      <c r="Q27" s="46">
        <f>IF($I27="","",IFERROR(INDEX(_玩家曲线!$H$2:$H$286,MATCH($I27,_玩家曲线!$A$2:$A$286,0)),""))</f>
        <v>24342.4922848202</v>
      </c>
      <c r="R27" s="46">
        <f>IF($I27="","",IFERROR(INDEX(_玩家曲线!$I$2:$I$286,MATCH($I27,_玩家曲线!$A$2:$A$286,0)),""))</f>
        <v>74170.6710651302</v>
      </c>
      <c r="S27" s="46">
        <f>IF(OR($J27="",$F27="不适用"),"",IFERROR(INDEX(_怪物模型!$D$2:$D$4501,(INT($J27)-1)*ROWS(_怪物类型!$A$2:$A$10)+MATCH($F27,_怪物类型!$A$2:$A$10,0))*IF($K27="",1,$K27),""))</f>
        <v>8926</v>
      </c>
      <c r="T27" s="46">
        <f>IF(OR($J27="",$F27="不适用"),"",IFERROR(INDEX(_怪物模型!$E$2:$E$4501,(INT($J27)-1)*ROWS(_怪物类型!$A$2:$A$10)+MATCH($F27,_怪物类型!$A$2:$A$10,0))*IF($L27="",1,$L27),""))</f>
        <v>2001</v>
      </c>
      <c r="U27" s="46">
        <f>IF(OR($J27="",$F27="不适用"),"",IFERROR(INDEX(_怪物模型!$F$2:$F$4501,(INT($J27)-1)*ROWS(_怪物类型!$A$2:$A$10)+MATCH($F27,_怪物类型!$A$2:$A$10,0))*IF($M27="",1,$M27),""))</f>
        <v>3294</v>
      </c>
      <c r="V27" s="47">
        <f t="shared" si="1"/>
        <v>0.12068586502528</v>
      </c>
      <c r="W27" s="48">
        <f t="shared" si="2"/>
        <v>10151.0935</v>
      </c>
      <c r="X27" s="48">
        <f t="shared" si="3"/>
        <v>0.417011264961154</v>
      </c>
      <c r="Y27" s="48">
        <f t="shared" si="4"/>
        <v>37.0668021314994</v>
      </c>
      <c r="Z27" s="49" t="str">
        <f t="shared" si="5"/>
        <v/>
      </c>
      <c r="AA27" s="30" t="str">
        <f t="shared" si="6"/>
        <v>已计算</v>
      </c>
      <c r="AB27" s="30" t="str">
        <f t="shared" si="7"/>
        <v>有效</v>
      </c>
      <c r="AC27" s="30" t="str">
        <f t="shared" si="8"/>
        <v/>
      </c>
      <c r="AD27" s="31" t="s">
        <v>224</v>
      </c>
      <c r="AE27">
        <v>18900</v>
      </c>
      <c r="AF27">
        <f>INDEX(_统一战力!$B$2:$B$501,J27)</f>
        <v>32800</v>
      </c>
    </row>
    <row r="28" ht="25" customHeight="1" spans="1:32">
      <c r="A28" s="30" t="s">
        <v>150</v>
      </c>
      <c r="B28" s="30" t="s">
        <v>51</v>
      </c>
      <c r="C28" s="31" t="s">
        <v>191</v>
      </c>
      <c r="D28" s="31" t="s">
        <v>225</v>
      </c>
      <c r="E28" s="31" t="s">
        <v>226</v>
      </c>
      <c r="F28" s="30" t="s">
        <v>164</v>
      </c>
      <c r="G28" s="40">
        <v>24</v>
      </c>
      <c r="H28" s="41"/>
      <c r="I28" s="42">
        <f t="shared" si="0"/>
        <v>24</v>
      </c>
      <c r="J28" s="43">
        <v>46</v>
      </c>
      <c r="K28" s="44">
        <v>1.08765450496553</v>
      </c>
      <c r="L28" s="44">
        <v>0.712894560107455</v>
      </c>
      <c r="M28" s="44">
        <v>0.9496699669967</v>
      </c>
      <c r="N28" s="45"/>
      <c r="O28" s="45"/>
      <c r="P28" s="45"/>
      <c r="Q28" s="46">
        <f>IF($I28="","",IFERROR(INDEX(_玩家曲线!$H$2:$H$286,MATCH($I28,_玩家曲线!$A$2:$A$286,0)),""))</f>
        <v>26573.2561562461</v>
      </c>
      <c r="R28" s="46">
        <f>IF($I28="","",IFERROR(INDEX(_玩家曲线!$I$2:$I$286,MATCH($I28,_玩家曲线!$A$2:$A$286,0)),""))</f>
        <v>79813.0282432992</v>
      </c>
      <c r="S28" s="46">
        <f>IF(OR($J28="",$F28="不适用"),"",IFERROR(INDEX(_怪物模型!$D$2:$D$4501,(INT($J28)-1)*ROWS(_怪物类型!$A$2:$A$10)+MATCH($F28,_怪物类型!$A$2:$A$10,0))*IF($K28="",1,$K28),""))</f>
        <v>773653.000000001</v>
      </c>
      <c r="T28" s="46">
        <f>IF(OR($J28="",$F28="不适用"),"",IFERROR(INDEX(_怪物模型!$E$2:$E$4501,(INT($J28)-1)*ROWS(_怪物类型!$A$2:$A$10)+MATCH($F28,_怪物类型!$A$2:$A$10,0))*IF($L28="",1,$L28),""))</f>
        <v>2123</v>
      </c>
      <c r="U28" s="46">
        <f>IF(OR($J28="",$F28="不适用"),"",IFERROR(INDEX(_怪物模型!$F$2:$F$4501,(INT($J28)-1)*ROWS(_怪物类型!$A$2:$A$10)+MATCH($F28,_怪物类型!$A$2:$A$10,0))*IF($M28="",1,$M28),""))</f>
        <v>3453</v>
      </c>
      <c r="V28" s="47">
        <f t="shared" si="1"/>
        <v>0.125778603431319</v>
      </c>
      <c r="W28" s="48">
        <f t="shared" si="2"/>
        <v>884962.325375002</v>
      </c>
      <c r="X28" s="48">
        <f t="shared" si="3"/>
        <v>33.3027431855388</v>
      </c>
      <c r="Y28" s="48">
        <f t="shared" si="4"/>
        <v>37.5944551310877</v>
      </c>
      <c r="Z28" s="49" t="str">
        <f t="shared" si="5"/>
        <v/>
      </c>
      <c r="AA28" s="30" t="str">
        <f t="shared" si="6"/>
        <v>已计算</v>
      </c>
      <c r="AB28" s="30" t="str">
        <f t="shared" si="7"/>
        <v>有效</v>
      </c>
      <c r="AC28" s="30" t="str">
        <f t="shared" si="8"/>
        <v/>
      </c>
      <c r="AD28" s="31" t="s">
        <v>227</v>
      </c>
      <c r="AE28">
        <v>19800</v>
      </c>
      <c r="AF28">
        <f>INDEX(_统一战力!$B$2:$B$501,J28)</f>
        <v>35500</v>
      </c>
    </row>
    <row r="29" ht="25" customHeight="1" spans="1:32">
      <c r="A29" s="30" t="s">
        <v>150</v>
      </c>
      <c r="B29" s="30" t="s">
        <v>51</v>
      </c>
      <c r="C29" s="31" t="s">
        <v>228</v>
      </c>
      <c r="D29" s="31" t="s">
        <v>229</v>
      </c>
      <c r="E29" s="31" t="s">
        <v>230</v>
      </c>
      <c r="F29" s="30" t="s">
        <v>154</v>
      </c>
      <c r="G29" s="40">
        <v>25</v>
      </c>
      <c r="H29" s="41"/>
      <c r="I29" s="42">
        <f t="shared" si="0"/>
        <v>25</v>
      </c>
      <c r="J29" s="43">
        <v>46</v>
      </c>
      <c r="K29" s="44">
        <v>0.995247515763884</v>
      </c>
      <c r="L29" s="44">
        <v>0.898688261763338</v>
      </c>
      <c r="M29" s="44">
        <v>1</v>
      </c>
      <c r="N29" s="45"/>
      <c r="O29" s="45"/>
      <c r="P29" s="45"/>
      <c r="Q29" s="46">
        <f>IF($I29="","",IFERROR(INDEX(_玩家曲线!$H$2:$H$286,MATCH($I29,_玩家曲线!$A$2:$A$286,0)),""))</f>
        <v>28151.9107154301</v>
      </c>
      <c r="R29" s="46">
        <f>IF($I29="","",IFERROR(INDEX(_玩家曲线!$I$2:$I$286,MATCH($I29,_玩家曲线!$A$2:$A$286,0)),""))</f>
        <v>83890.0209961095</v>
      </c>
      <c r="S29" s="46">
        <f>IF(OR($J29="",$F29="不适用"),"",IFERROR(INDEX(_怪物模型!$D$2:$D$4501,(INT($J29)-1)*ROWS(_怪物类型!$A$2:$A$10)+MATCH($F29,_怪物类型!$A$2:$A$10,0))*IF($K29="",1,$K29),""))</f>
        <v>9951.47991012308</v>
      </c>
      <c r="T29" s="46">
        <f>IF(OR($J29="",$F29="不适用"),"",IFERROR(INDEX(_怪物模型!$E$2:$E$4501,(INT($J29)-1)*ROWS(_怪物类型!$A$2:$A$10)+MATCH($F29,_怪物类型!$A$2:$A$10,0))*IF($L29="",1,$L29),""))</f>
        <v>2206.279682629</v>
      </c>
      <c r="U29" s="46">
        <f>IF(OR($J29="",$F29="不适用"),"",IFERROR(INDEX(_怪物模型!$F$2:$F$4501,(INT($J29)-1)*ROWS(_怪物类型!$A$2:$A$10)+MATCH($F29,_怪物类型!$A$2:$A$10,0))*IF($M29="",1,$M29),""))</f>
        <v>3636</v>
      </c>
      <c r="V29" s="47">
        <f t="shared" si="1"/>
        <v>0.131567520625271</v>
      </c>
      <c r="W29" s="48">
        <f t="shared" si="2"/>
        <v>11459.1291165067</v>
      </c>
      <c r="X29" s="48">
        <f t="shared" si="3"/>
        <v>0.407046229733386</v>
      </c>
      <c r="Y29" s="48">
        <f t="shared" si="4"/>
        <v>38.0232939897024</v>
      </c>
      <c r="Z29" s="49" t="str">
        <f t="shared" si="5"/>
        <v/>
      </c>
      <c r="AA29" s="30" t="str">
        <f t="shared" si="6"/>
        <v>已计算</v>
      </c>
      <c r="AB29" s="30" t="str">
        <f t="shared" si="7"/>
        <v>有效</v>
      </c>
      <c r="AC29" s="30" t="str">
        <f t="shared" si="8"/>
        <v/>
      </c>
      <c r="AD29" s="31" t="s">
        <v>231</v>
      </c>
      <c r="AE29">
        <v>20900</v>
      </c>
      <c r="AF29">
        <f>INDEX(_统一战力!$B$2:$B$501,J29)</f>
        <v>35500</v>
      </c>
    </row>
    <row r="30" ht="25" customHeight="1" spans="1:32">
      <c r="A30" s="30" t="s">
        <v>150</v>
      </c>
      <c r="B30" s="30" t="s">
        <v>51</v>
      </c>
      <c r="C30" s="31" t="s">
        <v>228</v>
      </c>
      <c r="D30" s="31" t="s">
        <v>232</v>
      </c>
      <c r="E30" s="31" t="s">
        <v>233</v>
      </c>
      <c r="F30" s="30" t="s">
        <v>154</v>
      </c>
      <c r="G30" s="40">
        <v>26</v>
      </c>
      <c r="H30" s="41"/>
      <c r="I30" s="42">
        <f t="shared" si="0"/>
        <v>26</v>
      </c>
      <c r="J30" s="43">
        <v>46</v>
      </c>
      <c r="K30" s="44">
        <v>1.04185770084872</v>
      </c>
      <c r="L30" s="44">
        <v>0.933036391630041</v>
      </c>
      <c r="M30" s="44">
        <v>1</v>
      </c>
      <c r="N30" s="45"/>
      <c r="O30" s="45"/>
      <c r="P30" s="45"/>
      <c r="Q30" s="46">
        <f>IF($I30="","",IFERROR(INDEX(_玩家曲线!$H$2:$H$286,MATCH($I30,_玩家曲线!$A$2:$A$286,0)),""))</f>
        <v>29761.1521947349</v>
      </c>
      <c r="R30" s="46">
        <f>IF($I30="","",IFERROR(INDEX(_玩家曲线!$I$2:$I$286,MATCH($I30,_玩家曲线!$A$2:$A$286,0)),""))</f>
        <v>88019.0522964827</v>
      </c>
      <c r="S30" s="46">
        <f>IF(OR($J30="",$F30="不适用"),"",IFERROR(INDEX(_怪物模型!$D$2:$D$4501,(INT($J30)-1)*ROWS(_怪物类型!$A$2:$A$10)+MATCH($F30,_怪物类型!$A$2:$A$10,0))*IF($K30="",1,$K30),""))</f>
        <v>10417.5351507864</v>
      </c>
      <c r="T30" s="46">
        <f>IF(OR($J30="",$F30="不适用"),"",IFERROR(INDEX(_怪物模型!$E$2:$E$4501,(INT($J30)-1)*ROWS(_怪物类型!$A$2:$A$10)+MATCH($F30,_怪物类型!$A$2:$A$10,0))*IF($L30="",1,$L30),""))</f>
        <v>2290.60434145175</v>
      </c>
      <c r="U30" s="46">
        <f>IF(OR($J30="",$F30="不适用"),"",IFERROR(INDEX(_怪物模型!$F$2:$F$4501,(INT($J30)-1)*ROWS(_怪物类型!$A$2:$A$10)+MATCH($F30,_怪物类型!$A$2:$A$10,0))*IF($M30="",1,$M30),""))</f>
        <v>3636</v>
      </c>
      <c r="V30" s="47">
        <f t="shared" si="1"/>
        <v>0.131567520625271</v>
      </c>
      <c r="W30" s="48">
        <f t="shared" si="2"/>
        <v>11995.7917261305</v>
      </c>
      <c r="X30" s="48">
        <f t="shared" si="3"/>
        <v>0.403068794099063</v>
      </c>
      <c r="Y30" s="48">
        <f t="shared" si="4"/>
        <v>38.4261265482006</v>
      </c>
      <c r="Z30" s="49" t="str">
        <f t="shared" si="5"/>
        <v/>
      </c>
      <c r="AA30" s="30" t="str">
        <f t="shared" si="6"/>
        <v>已计算</v>
      </c>
      <c r="AB30" s="30" t="str">
        <f t="shared" si="7"/>
        <v>有效</v>
      </c>
      <c r="AC30" s="30" t="str">
        <f t="shared" si="8"/>
        <v/>
      </c>
      <c r="AD30" s="31" t="s">
        <v>234</v>
      </c>
      <c r="AE30">
        <v>21900</v>
      </c>
      <c r="AF30">
        <f>INDEX(_统一战力!$B$2:$B$501,J30)</f>
        <v>35500</v>
      </c>
    </row>
    <row r="31" ht="25" customHeight="1" spans="1:32">
      <c r="A31" s="30" t="s">
        <v>150</v>
      </c>
      <c r="B31" s="30" t="s">
        <v>51</v>
      </c>
      <c r="C31" s="31" t="s">
        <v>228</v>
      </c>
      <c r="D31" s="31" t="s">
        <v>235</v>
      </c>
      <c r="E31" s="31" t="s">
        <v>236</v>
      </c>
      <c r="F31" s="30" t="s">
        <v>154</v>
      </c>
      <c r="G31" s="40">
        <v>27</v>
      </c>
      <c r="H31" s="41"/>
      <c r="I31" s="42">
        <f t="shared" si="0"/>
        <v>27</v>
      </c>
      <c r="J31" s="43">
        <v>48</v>
      </c>
      <c r="K31" s="44">
        <v>1.01470841809104</v>
      </c>
      <c r="L31" s="44">
        <v>0.920572447773597</v>
      </c>
      <c r="M31" s="44">
        <v>1</v>
      </c>
      <c r="N31" s="45"/>
      <c r="O31" s="45"/>
      <c r="P31" s="45"/>
      <c r="Q31" s="46">
        <f>IF($I31="","",IFERROR(INDEX(_玩家曲线!$H$2:$H$286,MATCH($I31,_玩家曲线!$A$2:$A$286,0)),""))</f>
        <v>31434.3368316531</v>
      </c>
      <c r="R31" s="46">
        <f>IF($I31="","",IFERROR(INDEX(_玩家曲线!$I$2:$I$286,MATCH($I31,_玩家曲线!$A$2:$A$286,0)),""))</f>
        <v>92272.4866090822</v>
      </c>
      <c r="S31" s="46">
        <f>IF(OR($J31="",$F31="不适用"),"",IFERROR(INDEX(_怪物模型!$D$2:$D$4501,(INT($J31)-1)*ROWS(_怪物类型!$A$2:$A$10)+MATCH($F31,_怪物类型!$A$2:$A$10,0))*IF($K31="",1,$K31),""))</f>
        <v>10840.1300304666</v>
      </c>
      <c r="T31" s="46">
        <f>IF(OR($J31="",$F31="不适用"),"",IFERROR(INDEX(_怪物模型!$E$2:$E$4501,(INT($J31)-1)*ROWS(_怪物类型!$A$2:$A$10)+MATCH($F31,_怪物类型!$A$2:$A$10,0))*IF($L31="",1,$L31),""))</f>
        <v>2376.91806015143</v>
      </c>
      <c r="U31" s="46">
        <f>IF(OR($J31="",$F31="不适用"),"",IFERROR(INDEX(_怪物模型!$F$2:$F$4501,(INT($J31)-1)*ROWS(_怪物类型!$A$2:$A$10)+MATCH($F31,_怪物类型!$A$2:$A$10,0))*IF($M31="",1,$M31),""))</f>
        <v>3805</v>
      </c>
      <c r="V31" s="47">
        <f t="shared" si="1"/>
        <v>0.136845891026794</v>
      </c>
      <c r="W31" s="48">
        <f t="shared" si="2"/>
        <v>12558.7423123801</v>
      </c>
      <c r="X31" s="48">
        <f t="shared" si="3"/>
        <v>0.399523055938435</v>
      </c>
      <c r="Y31" s="48">
        <f t="shared" si="4"/>
        <v>38.8202219319263</v>
      </c>
      <c r="Z31" s="49" t="str">
        <f t="shared" si="5"/>
        <v/>
      </c>
      <c r="AA31" s="30" t="str">
        <f t="shared" si="6"/>
        <v>已计算</v>
      </c>
      <c r="AB31" s="30" t="str">
        <f t="shared" si="7"/>
        <v>有效</v>
      </c>
      <c r="AC31" s="30" t="str">
        <f t="shared" si="8"/>
        <v/>
      </c>
      <c r="AD31" s="31" t="s">
        <v>237</v>
      </c>
      <c r="AE31">
        <v>22900</v>
      </c>
      <c r="AF31">
        <f>INDEX(_统一战力!$B$2:$B$501,J31)</f>
        <v>41300</v>
      </c>
    </row>
    <row r="32" ht="25" customHeight="1" spans="1:32">
      <c r="A32" s="30" t="s">
        <v>150</v>
      </c>
      <c r="B32" s="30" t="s">
        <v>51</v>
      </c>
      <c r="C32" s="31" t="s">
        <v>228</v>
      </c>
      <c r="D32" s="31" t="s">
        <v>238</v>
      </c>
      <c r="E32" s="31" t="s">
        <v>239</v>
      </c>
      <c r="F32" s="30" t="s">
        <v>154</v>
      </c>
      <c r="G32" s="40">
        <v>28</v>
      </c>
      <c r="H32" s="41"/>
      <c r="I32" s="42">
        <f t="shared" si="0"/>
        <v>28</v>
      </c>
      <c r="J32" s="43">
        <v>49</v>
      </c>
      <c r="K32" s="44">
        <v>1.02546294314921</v>
      </c>
      <c r="L32" s="44">
        <v>0.932056523767833</v>
      </c>
      <c r="M32" s="44">
        <v>1</v>
      </c>
      <c r="N32" s="45"/>
      <c r="O32" s="45"/>
      <c r="P32" s="45"/>
      <c r="Q32" s="46">
        <f>IF($I32="","",IFERROR(INDEX(_玩家曲线!$H$2:$H$286,MATCH($I32,_玩家曲线!$A$2:$A$286,0)),""))</f>
        <v>33173.1132173505</v>
      </c>
      <c r="R32" s="46">
        <f>IF($I32="","",IFERROR(INDEX(_玩家曲线!$I$2:$I$286,MATCH($I32,_玩家曲线!$A$2:$A$286,0)),""))</f>
        <v>96652.1731893591</v>
      </c>
      <c r="S32" s="46">
        <f>IF(OR($J32="",$F32="不适用"),"",IFERROR(INDEX(_怪物模型!$D$2:$D$4501,(INT($J32)-1)*ROWS(_怪物类型!$A$2:$A$10)+MATCH($F32,_怪物类型!$A$2:$A$10,0))*IF($K32="",1,$K32),""))</f>
        <v>11313.9326517652</v>
      </c>
      <c r="T32" s="46">
        <f>IF(OR($J32="",$F32="不适用"),"",IFERROR(INDEX(_怪物模型!$E$2:$E$4501,(INT($J32)-1)*ROWS(_怪物类型!$A$2:$A$10)+MATCH($F32,_怪物类型!$A$2:$A$10,0))*IF($L32="",1,$L32),""))</f>
        <v>2467.15361841345</v>
      </c>
      <c r="U32" s="46">
        <f>IF(OR($J32="",$F32="不适用"),"",IFERROR(INDEX(_怪物模型!$F$2:$F$4501,(INT($J32)-1)*ROWS(_怪物类型!$A$2:$A$10)+MATCH($F32,_怪物类型!$A$2:$A$10,0))*IF($M32="",1,$M32),""))</f>
        <v>3890</v>
      </c>
      <c r="V32" s="47">
        <f t="shared" si="1"/>
        <v>0.139476514879885</v>
      </c>
      <c r="W32" s="48">
        <f t="shared" si="2"/>
        <v>13147.7325690722</v>
      </c>
      <c r="X32" s="48">
        <f t="shared" si="3"/>
        <v>0.39633701193277</v>
      </c>
      <c r="Y32" s="48">
        <f t="shared" si="4"/>
        <v>39.1755796915123</v>
      </c>
      <c r="Z32" s="49" t="str">
        <f t="shared" si="5"/>
        <v/>
      </c>
      <c r="AA32" s="30" t="str">
        <f t="shared" si="6"/>
        <v>已计算</v>
      </c>
      <c r="AB32" s="30" t="str">
        <f t="shared" si="7"/>
        <v>有效</v>
      </c>
      <c r="AC32" s="30" t="str">
        <f t="shared" si="8"/>
        <v/>
      </c>
      <c r="AD32" s="31" t="s">
        <v>240</v>
      </c>
      <c r="AE32">
        <v>24000</v>
      </c>
      <c r="AF32">
        <f>INDEX(_统一战力!$B$2:$B$501,J32)</f>
        <v>43300</v>
      </c>
    </row>
    <row r="33" ht="25" customHeight="1" spans="1:32">
      <c r="A33" s="30" t="s">
        <v>150</v>
      </c>
      <c r="B33" s="30" t="s">
        <v>51</v>
      </c>
      <c r="C33" s="31" t="s">
        <v>228</v>
      </c>
      <c r="D33" s="31" t="s">
        <v>241</v>
      </c>
      <c r="E33" s="31" t="s">
        <v>242</v>
      </c>
      <c r="F33" s="30" t="s">
        <v>154</v>
      </c>
      <c r="G33" s="40">
        <v>29</v>
      </c>
      <c r="H33" s="41"/>
      <c r="I33" s="42">
        <f t="shared" si="0"/>
        <v>29</v>
      </c>
      <c r="J33" s="43">
        <v>52</v>
      </c>
      <c r="K33" s="44">
        <v>1.031096821489</v>
      </c>
      <c r="L33" s="44">
        <v>0.946235146221095</v>
      </c>
      <c r="M33" s="44">
        <v>1</v>
      </c>
      <c r="N33" s="45"/>
      <c r="O33" s="45"/>
      <c r="P33" s="45"/>
      <c r="Q33" s="46">
        <f>IF($I33="","",IFERROR(INDEX(_玩家曲线!$H$2:$H$286,MATCH($I33,_玩家曲线!$A$2:$A$286,0)),""))</f>
        <v>34979.1578961386</v>
      </c>
      <c r="R33" s="46">
        <f>IF($I33="","",IFERROR(INDEX(_玩家曲线!$I$2:$I$286,MATCH($I33,_玩家曲线!$A$2:$A$286,0)),""))</f>
        <v>101159.979251687</v>
      </c>
      <c r="S33" s="46">
        <f>IF(OR($J33="",$F33="不适用"),"",IFERROR(INDEX(_怪物模型!$D$2:$D$4501,(INT($J33)-1)*ROWS(_怪物类型!$A$2:$A$10)+MATCH($F33,_怪物类型!$A$2:$A$10,0))*IF($K33="",1,$K33),""))</f>
        <v>12493.8001859822</v>
      </c>
      <c r="T33" s="46">
        <f>IF(OR($J33="",$F33="不适用"),"",IFERROR(INDEX(_怪物模型!$E$2:$E$4501,(INT($J33)-1)*ROWS(_怪物类型!$A$2:$A$10)+MATCH($F33,_怪物类型!$A$2:$A$10,0))*IF($L33="",1,$L33),""))</f>
        <v>2690.14652070657</v>
      </c>
      <c r="U33" s="46">
        <f>IF(OR($J33="",$F33="不适用"),"",IFERROR(INDEX(_怪物模型!$F$2:$F$4501,(INT($J33)-1)*ROWS(_怪物类型!$A$2:$A$10)+MATCH($F33,_怪物类型!$A$2:$A$10,0))*IF($M33="",1,$M33),""))</f>
        <v>4146</v>
      </c>
      <c r="V33" s="47">
        <f t="shared" si="1"/>
        <v>0.147303346834364</v>
      </c>
      <c r="W33" s="48">
        <f t="shared" si="2"/>
        <v>14652.1041681106</v>
      </c>
      <c r="X33" s="48">
        <f t="shared" si="3"/>
        <v>0.418880986546795</v>
      </c>
      <c r="Y33" s="48">
        <f t="shared" si="4"/>
        <v>37.6038920084981</v>
      </c>
      <c r="Z33" s="49" t="str">
        <f t="shared" si="5"/>
        <v/>
      </c>
      <c r="AA33" s="30" t="str">
        <f t="shared" si="6"/>
        <v>已计算</v>
      </c>
      <c r="AB33" s="30" t="str">
        <f t="shared" si="7"/>
        <v>有效</v>
      </c>
      <c r="AC33" s="30" t="str">
        <f t="shared" si="8"/>
        <v/>
      </c>
      <c r="AD33" s="31" t="s">
        <v>243</v>
      </c>
      <c r="AE33">
        <v>25000</v>
      </c>
      <c r="AF33">
        <f>INDEX(_统一战力!$B$2:$B$501,J33)</f>
        <v>45400</v>
      </c>
    </row>
    <row r="34" ht="25" customHeight="1" spans="1:32">
      <c r="A34" s="30" t="s">
        <v>150</v>
      </c>
      <c r="B34" s="30" t="s">
        <v>51</v>
      </c>
      <c r="C34" s="31" t="s">
        <v>228</v>
      </c>
      <c r="D34" s="31" t="s">
        <v>244</v>
      </c>
      <c r="E34" s="31" t="s">
        <v>245</v>
      </c>
      <c r="F34" s="30" t="s">
        <v>154</v>
      </c>
      <c r="G34" s="40">
        <v>30</v>
      </c>
      <c r="H34" s="41"/>
      <c r="I34" s="42">
        <f t="shared" si="0"/>
        <v>30</v>
      </c>
      <c r="J34" s="43">
        <v>52</v>
      </c>
      <c r="K34" s="44">
        <v>1.01295849298037</v>
      </c>
      <c r="L34" s="44">
        <v>0.933772995657108</v>
      </c>
      <c r="M34" s="44">
        <v>1</v>
      </c>
      <c r="N34" s="45"/>
      <c r="O34" s="45"/>
      <c r="P34" s="45"/>
      <c r="Q34" s="46">
        <f>IF($I34="","",IFERROR(INDEX(_玩家曲线!$H$2:$H$286,MATCH($I34,_玩家曲线!$A$2:$A$286,0)),""))</f>
        <v>36095.8982350441</v>
      </c>
      <c r="R34" s="46">
        <f>IF($I34="","",IFERROR(INDEX(_玩家曲线!$I$2:$I$286,MATCH($I34,_玩家曲线!$A$2:$A$286,0)),""))</f>
        <v>103648.571416605</v>
      </c>
      <c r="S34" s="46">
        <f>IF(OR($J34="",$F34="不适用"),"",IFERROR(INDEX(_怪物模型!$D$2:$D$4501,(INT($J34)-1)*ROWS(_怪物类型!$A$2:$A$10)+MATCH($F34,_怪物类型!$A$2:$A$10,0))*IF($K34="",1,$K34),""))</f>
        <v>12274.0180594431</v>
      </c>
      <c r="T34" s="46">
        <f>IF(OR($J34="",$F34="不适用"),"",IFERROR(INDEX(_怪物模型!$E$2:$E$4501,(INT($J34)-1)*ROWS(_怪物类型!$A$2:$A$10)+MATCH($F34,_怪物类型!$A$2:$A$10,0))*IF($L34="",1,$L34),""))</f>
        <v>2654.71662665316</v>
      </c>
      <c r="U34" s="46">
        <f>IF(OR($J34="",$F34="不适用"),"",IFERROR(INDEX(_怪物模型!$F$2:$F$4501,(INT($J34)-1)*ROWS(_怪物类型!$A$2:$A$10)+MATCH($F34,_怪物类型!$A$2:$A$10,0))*IF($M34="",1,$M34),""))</f>
        <v>4146</v>
      </c>
      <c r="V34" s="47">
        <f t="shared" si="1"/>
        <v>0.147303346834364</v>
      </c>
      <c r="W34" s="48">
        <f t="shared" si="2"/>
        <v>14394.3546792119</v>
      </c>
      <c r="X34" s="48">
        <f t="shared" si="3"/>
        <v>0.398780897083676</v>
      </c>
      <c r="Y34" s="48">
        <f t="shared" si="4"/>
        <v>39.0431771044717</v>
      </c>
      <c r="Z34" s="49" t="str">
        <f t="shared" si="5"/>
        <v/>
      </c>
      <c r="AA34" s="30" t="str">
        <f t="shared" si="6"/>
        <v>已计算</v>
      </c>
      <c r="AB34" s="30" t="str">
        <f t="shared" si="7"/>
        <v>有效</v>
      </c>
      <c r="AC34" s="30" t="str">
        <f t="shared" si="8"/>
        <v/>
      </c>
      <c r="AD34" s="31" t="s">
        <v>246</v>
      </c>
      <c r="AE34">
        <v>26100</v>
      </c>
      <c r="AF34">
        <f>INDEX(_统一战力!$B$2:$B$501,J34)</f>
        <v>45400</v>
      </c>
    </row>
    <row r="35" ht="25" customHeight="1" spans="1:32">
      <c r="A35" s="30" t="s">
        <v>150</v>
      </c>
      <c r="B35" s="30" t="s">
        <v>51</v>
      </c>
      <c r="C35" s="31" t="s">
        <v>228</v>
      </c>
      <c r="D35" s="31" t="s">
        <v>247</v>
      </c>
      <c r="E35" s="31" t="s">
        <v>248</v>
      </c>
      <c r="F35" s="30" t="s">
        <v>154</v>
      </c>
      <c r="G35" s="40">
        <v>31</v>
      </c>
      <c r="H35" s="41"/>
      <c r="I35" s="42">
        <f t="shared" si="0"/>
        <v>31</v>
      </c>
      <c r="J35" s="43">
        <v>54</v>
      </c>
      <c r="K35" s="44">
        <v>1.01407856301834</v>
      </c>
      <c r="L35" s="44">
        <v>0.93915380372989</v>
      </c>
      <c r="M35" s="44">
        <v>1</v>
      </c>
      <c r="N35" s="45"/>
      <c r="O35" s="45"/>
      <c r="P35" s="45"/>
      <c r="Q35" s="46">
        <f>IF($I35="","",IFERROR(INDEX(_玩家曲线!$H$2:$H$286,MATCH($I35,_玩家曲线!$A$2:$A$286,0)),""))</f>
        <v>38109.7223997486</v>
      </c>
      <c r="R35" s="46">
        <f>IF($I35="","",IFERROR(INDEX(_玩家曲线!$I$2:$I$286,MATCH($I35,_玩家曲线!$A$2:$A$286,0)),""))</f>
        <v>108222.241635925</v>
      </c>
      <c r="S35" s="46">
        <f>IF(OR($J35="",$F35="不适用"),"",IFERROR(INDEX(_怪物模型!$D$2:$D$4501,(INT($J35)-1)*ROWS(_怪物类型!$A$2:$A$10)+MATCH($F35,_怪物类型!$A$2:$A$10,0))*IF($K35="",1,$K35),""))</f>
        <v>13049.16294892</v>
      </c>
      <c r="T35" s="46">
        <f>IF(OR($J35="",$F35="不适用"),"",IFERROR(INDEX(_怪物模型!$E$2:$E$4501,(INT($J35)-1)*ROWS(_怪物类型!$A$2:$A$10)+MATCH($F35,_怪物类型!$A$2:$A$10,0))*IF($L35="",1,$L35),""))</f>
        <v>2795.86087370388</v>
      </c>
      <c r="U35" s="46">
        <f>IF(OR($J35="",$F35="不适用"),"",IFERROR(INDEX(_怪物模型!$F$2:$F$4501,(INT($J35)-1)*ROWS(_怪物类型!$A$2:$A$10)+MATCH($F35,_怪物类型!$A$2:$A$10,0))*IF($M35="",1,$M35),""))</f>
        <v>4318</v>
      </c>
      <c r="V35" s="47">
        <f t="shared" si="1"/>
        <v>0.152482519951974</v>
      </c>
      <c r="W35" s="48">
        <f t="shared" si="2"/>
        <v>15396.9248494799</v>
      </c>
      <c r="X35" s="48">
        <f t="shared" si="3"/>
        <v>0.404015665293364</v>
      </c>
      <c r="Y35" s="48">
        <f t="shared" si="4"/>
        <v>38.7080210799456</v>
      </c>
      <c r="Z35" s="49" t="str">
        <f t="shared" si="5"/>
        <v/>
      </c>
      <c r="AA35" s="30" t="str">
        <f t="shared" si="6"/>
        <v>已计算</v>
      </c>
      <c r="AB35" s="30" t="str">
        <f t="shared" si="7"/>
        <v>有效</v>
      </c>
      <c r="AC35" s="30" t="str">
        <f t="shared" si="8"/>
        <v/>
      </c>
      <c r="AD35" s="31" t="s">
        <v>249</v>
      </c>
      <c r="AE35">
        <v>27100</v>
      </c>
      <c r="AF35">
        <f>INDEX(_统一战力!$B$2:$B$501,J35)</f>
        <v>49100</v>
      </c>
    </row>
    <row r="36" ht="25" customHeight="1" spans="1:32">
      <c r="A36" s="30" t="s">
        <v>150</v>
      </c>
      <c r="B36" s="30" t="s">
        <v>51</v>
      </c>
      <c r="C36" s="31" t="s">
        <v>228</v>
      </c>
      <c r="D36" s="31" t="s">
        <v>250</v>
      </c>
      <c r="E36" s="31" t="s">
        <v>251</v>
      </c>
      <c r="F36" s="30" t="s">
        <v>154</v>
      </c>
      <c r="G36" s="40">
        <v>32</v>
      </c>
      <c r="H36" s="41"/>
      <c r="I36" s="42">
        <f t="shared" si="0"/>
        <v>32</v>
      </c>
      <c r="J36" s="43">
        <v>54</v>
      </c>
      <c r="K36" s="44">
        <v>1.02479606281563</v>
      </c>
      <c r="L36" s="44">
        <v>0.945720651600419</v>
      </c>
      <c r="M36" s="44">
        <v>1</v>
      </c>
      <c r="N36" s="45"/>
      <c r="O36" s="45"/>
      <c r="P36" s="45"/>
      <c r="Q36" s="46">
        <f>IF($I36="","",IFERROR(INDEX(_玩家曲线!$H$2:$H$286,MATCH($I36,_玩家曲线!$A$2:$A$286,0)),""))</f>
        <v>40188.015975026</v>
      </c>
      <c r="R36" s="46">
        <f>IF($I36="","",IFERROR(INDEX(_玩家曲线!$I$2:$I$286,MATCH($I36,_玩家曲线!$A$2:$A$286,0)),""))</f>
        <v>112891.038669981</v>
      </c>
      <c r="S36" s="46">
        <f>IF(OR($J36="",$F36="不适用"),"",IFERROR(INDEX(_怪物模型!$D$2:$D$4501,(INT($J36)-1)*ROWS(_怪物类型!$A$2:$A$10)+MATCH($F36,_怪物类型!$A$2:$A$10,0))*IF($K36="",1,$K36),""))</f>
        <v>13187.0757363115</v>
      </c>
      <c r="T36" s="46">
        <f>IF(OR($J36="",$F36="不适用"),"",IFERROR(INDEX(_怪物模型!$E$2:$E$4501,(INT($J36)-1)*ROWS(_怪物类型!$A$2:$A$10)+MATCH($F36,_怪物类型!$A$2:$A$10,0))*IF($L36="",1,$L36),""))</f>
        <v>2815.41037981445</v>
      </c>
      <c r="U36" s="46">
        <f>IF(OR($J36="",$F36="不适用"),"",IFERROR(INDEX(_怪物模型!$F$2:$F$4501,(INT($J36)-1)*ROWS(_怪物类型!$A$2:$A$10)+MATCH($F36,_怪物类型!$A$2:$A$10,0))*IF($M36="",1,$M36),""))</f>
        <v>4318</v>
      </c>
      <c r="V36" s="47">
        <f t="shared" si="1"/>
        <v>0.152482519951974</v>
      </c>
      <c r="W36" s="48">
        <f t="shared" si="2"/>
        <v>15559.6504458696</v>
      </c>
      <c r="X36" s="48">
        <f t="shared" si="3"/>
        <v>0.387171400935513</v>
      </c>
      <c r="Y36" s="48">
        <f t="shared" si="4"/>
        <v>40.097542965449</v>
      </c>
      <c r="Z36" s="49" t="str">
        <f t="shared" si="5"/>
        <v/>
      </c>
      <c r="AA36" s="30" t="str">
        <f t="shared" si="6"/>
        <v>已计算</v>
      </c>
      <c r="AB36" s="30" t="str">
        <f t="shared" si="7"/>
        <v>有效</v>
      </c>
      <c r="AC36" s="30" t="str">
        <f t="shared" si="8"/>
        <v/>
      </c>
      <c r="AD36" s="31" t="s">
        <v>252</v>
      </c>
      <c r="AE36">
        <v>28200</v>
      </c>
      <c r="AF36">
        <f>INDEX(_统一战力!$B$2:$B$501,J36)</f>
        <v>49100</v>
      </c>
    </row>
    <row r="37" ht="25" customHeight="1" spans="1:32">
      <c r="A37" s="30" t="s">
        <v>150</v>
      </c>
      <c r="B37" s="30" t="s">
        <v>51</v>
      </c>
      <c r="C37" s="31" t="s">
        <v>228</v>
      </c>
      <c r="D37" s="31" t="s">
        <v>253</v>
      </c>
      <c r="E37" s="31" t="s">
        <v>254</v>
      </c>
      <c r="F37" s="30" t="s">
        <v>154</v>
      </c>
      <c r="G37" s="40">
        <v>33</v>
      </c>
      <c r="H37" s="41"/>
      <c r="I37" s="42">
        <f t="shared" si="0"/>
        <v>33</v>
      </c>
      <c r="J37" s="43">
        <v>55</v>
      </c>
      <c r="K37" s="44">
        <v>1.03486849074803</v>
      </c>
      <c r="L37" s="44">
        <v>0.954392190249066</v>
      </c>
      <c r="M37" s="44">
        <v>1</v>
      </c>
      <c r="N37" s="45"/>
      <c r="O37" s="45"/>
      <c r="P37" s="45"/>
      <c r="Q37" s="46">
        <f>IF($I37="","",IFERROR(INDEX(_玩家曲线!$H$2:$H$286,MATCH($I37,_玩家曲线!$A$2:$A$286,0)),""))</f>
        <v>42332.3252975087</v>
      </c>
      <c r="R37" s="46">
        <f>IF($I37="","",IFERROR(INDEX(_玩家曲线!$I$2:$I$286,MATCH($I37,_玩家曲线!$A$2:$A$286,0)),""))</f>
        <v>117656.323591464</v>
      </c>
      <c r="S37" s="46">
        <f>IF(OR($J37="",$F37="不适用"),"",IFERROR(INDEX(_怪物模型!$D$2:$D$4501,(INT($J37)-1)*ROWS(_怪物类型!$A$2:$A$10)+MATCH($F37,_怪物类型!$A$2:$A$10,0))*IF($K37="",1,$K37),""))</f>
        <v>13714.0772393929</v>
      </c>
      <c r="T37" s="46">
        <f>IF(OR($J37="",$F37="不适用"),"",IFERROR(INDEX(_怪物模型!$E$2:$E$4501,(INT($J37)-1)*ROWS(_怪物类型!$A$2:$A$10)+MATCH($F37,_怪物类型!$A$2:$A$10,0))*IF($L37="",1,$L37),""))</f>
        <v>2905.16982711816</v>
      </c>
      <c r="U37" s="46">
        <f>IF(OR($J37="",$F37="不适用"),"",IFERROR(INDEX(_怪物模型!$F$2:$F$4501,(INT($J37)-1)*ROWS(_怪物类型!$A$2:$A$10)+MATCH($F37,_怪物类型!$A$2:$A$10,0))*IF($M37="",1,$M37),""))</f>
        <v>4404</v>
      </c>
      <c r="V37" s="47">
        <f t="shared" si="1"/>
        <v>0.155048584706379</v>
      </c>
      <c r="W37" s="48">
        <f t="shared" si="2"/>
        <v>16230.6104128215</v>
      </c>
      <c r="X37" s="48">
        <f t="shared" si="3"/>
        <v>0.383409375666323</v>
      </c>
      <c r="Y37" s="48">
        <f t="shared" si="4"/>
        <v>40.4989486305438</v>
      </c>
      <c r="Z37" s="49" t="str">
        <f t="shared" si="5"/>
        <v/>
      </c>
      <c r="AA37" s="30" t="str">
        <f t="shared" si="6"/>
        <v>已计算</v>
      </c>
      <c r="AB37" s="30" t="str">
        <f t="shared" si="7"/>
        <v>有效</v>
      </c>
      <c r="AC37" s="30" t="str">
        <f t="shared" si="8"/>
        <v/>
      </c>
      <c r="AD37" s="31" t="s">
        <v>255</v>
      </c>
      <c r="AE37">
        <v>29200</v>
      </c>
      <c r="AF37">
        <f>INDEX(_统一战力!$B$2:$B$501,J37)</f>
        <v>54100</v>
      </c>
    </row>
    <row r="38" ht="25" customHeight="1" spans="1:32">
      <c r="A38" s="30" t="s">
        <v>150</v>
      </c>
      <c r="B38" s="30" t="s">
        <v>51</v>
      </c>
      <c r="C38" s="31" t="s">
        <v>228</v>
      </c>
      <c r="D38" s="31" t="s">
        <v>256</v>
      </c>
      <c r="E38" s="31" t="s">
        <v>257</v>
      </c>
      <c r="F38" s="30" t="s">
        <v>154</v>
      </c>
      <c r="G38" s="40">
        <v>34</v>
      </c>
      <c r="H38" s="41"/>
      <c r="I38" s="42">
        <f t="shared" si="0"/>
        <v>34</v>
      </c>
      <c r="J38" s="43">
        <v>58</v>
      </c>
      <c r="K38" s="44">
        <v>1.01031394247642</v>
      </c>
      <c r="L38" s="44">
        <v>0.943249492157452</v>
      </c>
      <c r="M38" s="44">
        <v>1</v>
      </c>
      <c r="N38" s="45"/>
      <c r="O38" s="45"/>
      <c r="P38" s="45"/>
      <c r="Q38" s="46">
        <f>IF($I38="","",IFERROR(INDEX(_玩家曲线!$H$2:$H$286,MATCH($I38,_玩家曲线!$A$2:$A$286,0)),""))</f>
        <v>44544.2269978621</v>
      </c>
      <c r="R38" s="46">
        <f>IF($I38="","",IFERROR(INDEX(_玩家曲线!$I$2:$I$286,MATCH($I38,_玩家曲线!$A$2:$A$286,0)),""))</f>
        <v>122519.471284752</v>
      </c>
      <c r="S38" s="46">
        <f>IF(OR($J38="",$F38="不适用"),"",IFERROR(INDEX(_怪物模型!$D$2:$D$4501,(INT($J38)-1)*ROWS(_怪物类型!$A$2:$A$10)+MATCH($F38,_怪物类型!$A$2:$A$10,0))*IF($K38="",1,$K38),""))</f>
        <v>14589.943643302</v>
      </c>
      <c r="T38" s="46">
        <f>IF(OR($J38="",$F38="不适用"),"",IFERROR(INDEX(_怪物模型!$E$2:$E$4501,(INT($J38)-1)*ROWS(_怪物类型!$A$2:$A$10)+MATCH($F38,_怪物类型!$A$2:$A$10,0))*IF($L38="",1,$L38),""))</f>
        <v>3064.61760001956</v>
      </c>
      <c r="U38" s="46">
        <f>IF(OR($J38="",$F38="不适用"),"",IFERROR(INDEX(_怪物模型!$F$2:$F$4501,(INT($J38)-1)*ROWS(_怪物类型!$A$2:$A$10)+MATCH($F38,_怪物类型!$A$2:$A$10,0))*IF($M38="",1,$M38),""))</f>
        <v>4664</v>
      </c>
      <c r="V38" s="47">
        <f t="shared" si="1"/>
        <v>0.162712810493999</v>
      </c>
      <c r="W38" s="48">
        <f t="shared" si="2"/>
        <v>17425.2560246503</v>
      </c>
      <c r="X38" s="48">
        <f t="shared" si="3"/>
        <v>0.391189996977311</v>
      </c>
      <c r="Y38" s="48">
        <f t="shared" si="4"/>
        <v>39.9787142395743</v>
      </c>
      <c r="Z38" s="49" t="str">
        <f t="shared" si="5"/>
        <v/>
      </c>
      <c r="AA38" s="30" t="str">
        <f t="shared" si="6"/>
        <v>已计算</v>
      </c>
      <c r="AB38" s="30" t="str">
        <f t="shared" si="7"/>
        <v>有效</v>
      </c>
      <c r="AC38" s="30" t="str">
        <f t="shared" si="8"/>
        <v/>
      </c>
      <c r="AD38" s="31" t="s">
        <v>258</v>
      </c>
      <c r="AE38">
        <v>30300</v>
      </c>
      <c r="AF38">
        <f>INDEX(_统一战力!$B$2:$B$501,J38)</f>
        <v>56700</v>
      </c>
    </row>
    <row r="39" ht="25" customHeight="1" spans="1:32">
      <c r="A39" s="30" t="s">
        <v>150</v>
      </c>
      <c r="B39" s="30" t="s">
        <v>51</v>
      </c>
      <c r="C39" s="31" t="s">
        <v>228</v>
      </c>
      <c r="D39" s="31" t="s">
        <v>259</v>
      </c>
      <c r="E39" s="31" t="s">
        <v>260</v>
      </c>
      <c r="F39" s="30" t="s">
        <v>154</v>
      </c>
      <c r="G39" s="40">
        <v>35</v>
      </c>
      <c r="H39" s="41"/>
      <c r="I39" s="42">
        <f t="shared" si="0"/>
        <v>35</v>
      </c>
      <c r="J39" s="43">
        <v>58</v>
      </c>
      <c r="K39" s="44">
        <v>1.03008918982032</v>
      </c>
      <c r="L39" s="44">
        <v>0.95608688234005</v>
      </c>
      <c r="M39" s="44">
        <v>1</v>
      </c>
      <c r="N39" s="45"/>
      <c r="O39" s="45"/>
      <c r="P39" s="45"/>
      <c r="Q39" s="46">
        <f>IF($I39="","",IFERROR(INDEX(_玩家曲线!$H$2:$H$286,MATCH($I39,_玩家曲线!$A$2:$A$286,0)),""))</f>
        <v>46881.9910589673</v>
      </c>
      <c r="R39" s="46">
        <f>IF($I39="","",IFERROR(INDEX(_玩家曲线!$I$2:$I$286,MATCH($I39,_玩家曲线!$A$2:$A$286,0)),""))</f>
        <v>127632.800244011</v>
      </c>
      <c r="S39" s="46">
        <f>IF(OR($J39="",$F39="不适用"),"",IFERROR(INDEX(_怪物模型!$D$2:$D$4501,(INT($J39)-1)*ROWS(_怪物类型!$A$2:$A$10)+MATCH($F39,_怪物类型!$A$2:$A$10,0))*IF($K39="",1,$K39),""))</f>
        <v>14875.5179901952</v>
      </c>
      <c r="T39" s="46">
        <f>IF(OR($J39="",$F39="不适用"),"",IFERROR(INDEX(_怪物模型!$E$2:$E$4501,(INT($J39)-1)*ROWS(_怪物类型!$A$2:$A$10)+MATCH($F39,_怪物类型!$A$2:$A$10,0))*IF($L39="",1,$L39),""))</f>
        <v>3106.32628072282</v>
      </c>
      <c r="U39" s="46">
        <f>IF(OR($J39="",$F39="不适用"),"",IFERROR(INDEX(_怪物模型!$F$2:$F$4501,(INT($J39)-1)*ROWS(_怪物类型!$A$2:$A$10)+MATCH($F39,_怪物类型!$A$2:$A$10,0))*IF($M39="",1,$M39),""))</f>
        <v>4664</v>
      </c>
      <c r="V39" s="47">
        <f t="shared" si="1"/>
        <v>0.162712810493999</v>
      </c>
      <c r="W39" s="48">
        <f t="shared" si="2"/>
        <v>17766.3269862898</v>
      </c>
      <c r="X39" s="48">
        <f t="shared" si="3"/>
        <v>0.378958456861265</v>
      </c>
      <c r="Y39" s="48">
        <f t="shared" si="4"/>
        <v>41.0880212539398</v>
      </c>
      <c r="Z39" s="49" t="str">
        <f t="shared" si="5"/>
        <v/>
      </c>
      <c r="AA39" s="30" t="str">
        <f t="shared" si="6"/>
        <v>已计算</v>
      </c>
      <c r="AB39" s="30" t="str">
        <f t="shared" si="7"/>
        <v>有效</v>
      </c>
      <c r="AC39" s="30" t="str">
        <f t="shared" si="8"/>
        <v/>
      </c>
      <c r="AD39" s="31" t="s">
        <v>261</v>
      </c>
      <c r="AE39">
        <v>31300</v>
      </c>
      <c r="AF39">
        <f>INDEX(_统一战力!$B$2:$B$501,J39)</f>
        <v>56700</v>
      </c>
    </row>
    <row r="40" ht="25" customHeight="1" spans="1:32">
      <c r="A40" s="30" t="s">
        <v>150</v>
      </c>
      <c r="B40" s="30" t="s">
        <v>51</v>
      </c>
      <c r="C40" s="31" t="s">
        <v>228</v>
      </c>
      <c r="D40" s="31" t="s">
        <v>262</v>
      </c>
      <c r="E40" s="31" t="s">
        <v>263</v>
      </c>
      <c r="F40" s="30" t="s">
        <v>154</v>
      </c>
      <c r="G40" s="40">
        <v>36</v>
      </c>
      <c r="H40" s="41"/>
      <c r="I40" s="42">
        <f t="shared" si="0"/>
        <v>36</v>
      </c>
      <c r="J40" s="43">
        <v>59</v>
      </c>
      <c r="K40" s="44">
        <v>1.0205778647667</v>
      </c>
      <c r="L40" s="44">
        <v>0.950182228975009</v>
      </c>
      <c r="M40" s="44">
        <v>1</v>
      </c>
      <c r="N40" s="45"/>
      <c r="O40" s="45"/>
      <c r="P40" s="45"/>
      <c r="Q40" s="46">
        <f>IF($I40="","",IFERROR(INDEX(_玩家曲线!$H$2:$H$286,MATCH($I40,_玩家曲线!$A$2:$A$286,0)),""))</f>
        <v>49292.692507259</v>
      </c>
      <c r="R40" s="46">
        <f>IF($I40="","",IFERROR(INDEX(_玩家曲线!$I$2:$I$286,MATCH($I40,_玩家曲线!$A$2:$A$286,0)),""))</f>
        <v>132853.171023986</v>
      </c>
      <c r="S40" s="46">
        <f>IF(OR($J40="",$F40="不适用"),"",IFERROR(INDEX(_怪物模型!$D$2:$D$4501,(INT($J40)-1)*ROWS(_怪物类型!$A$2:$A$10)+MATCH($F40,_怪物类型!$A$2:$A$10,0))*IF($K40="",1,$K40),""))</f>
        <v>15154.5607139207</v>
      </c>
      <c r="T40" s="46">
        <f>IF(OR($J40="",$F40="不适用"),"",IFERROR(INDEX(_怪物模型!$E$2:$E$4501,(INT($J40)-1)*ROWS(_怪物类型!$A$2:$A$10)+MATCH($F40,_怪物类型!$A$2:$A$10,0))*IF($L40="",1,$L40),""))</f>
        <v>3153.65481796805</v>
      </c>
      <c r="U40" s="46">
        <f>IF(OR($J40="",$F40="不适用"),"",IFERROR(INDEX(_怪物模型!$F$2:$F$4501,(INT($J40)-1)*ROWS(_怪物类型!$A$2:$A$10)+MATCH($F40,_怪物类型!$A$2:$A$10,0))*IF($M40="",1,$M40),""))</f>
        <v>4751</v>
      </c>
      <c r="V40" s="47">
        <f t="shared" si="1"/>
        <v>0.165246426211262</v>
      </c>
      <c r="W40" s="48">
        <f t="shared" si="2"/>
        <v>18154.5322952473</v>
      </c>
      <c r="X40" s="48">
        <f t="shared" si="3"/>
        <v>0.368300682551958</v>
      </c>
      <c r="Y40" s="48">
        <f t="shared" si="4"/>
        <v>42.1267319007301</v>
      </c>
      <c r="Z40" s="49" t="str">
        <f t="shared" si="5"/>
        <v/>
      </c>
      <c r="AA40" s="30" t="str">
        <f t="shared" si="6"/>
        <v>已计算</v>
      </c>
      <c r="AB40" s="30" t="str">
        <f t="shared" si="7"/>
        <v>有效</v>
      </c>
      <c r="AC40" s="30" t="str">
        <f t="shared" si="8"/>
        <v/>
      </c>
      <c r="AD40" s="31" t="s">
        <v>264</v>
      </c>
      <c r="AE40">
        <v>32400</v>
      </c>
      <c r="AF40">
        <f>INDEX(_统一战力!$B$2:$B$501,J40)</f>
        <v>62400</v>
      </c>
    </row>
    <row r="41" ht="25" customHeight="1" spans="1:32">
      <c r="A41" s="30" t="s">
        <v>150</v>
      </c>
      <c r="B41" s="30" t="s">
        <v>51</v>
      </c>
      <c r="C41" s="31" t="s">
        <v>228</v>
      </c>
      <c r="D41" s="31" t="s">
        <v>265</v>
      </c>
      <c r="E41" s="31" t="s">
        <v>266</v>
      </c>
      <c r="F41" s="30" t="s">
        <v>154</v>
      </c>
      <c r="G41" s="40">
        <v>37</v>
      </c>
      <c r="H41" s="41"/>
      <c r="I41" s="42">
        <f t="shared" si="0"/>
        <v>37</v>
      </c>
      <c r="J41" s="43">
        <v>61</v>
      </c>
      <c r="K41" s="44">
        <v>1.00870656053944</v>
      </c>
      <c r="L41" s="44">
        <v>0.945620056204626</v>
      </c>
      <c r="M41" s="44">
        <v>1</v>
      </c>
      <c r="N41" s="45"/>
      <c r="O41" s="45"/>
      <c r="P41" s="45"/>
      <c r="Q41" s="46">
        <f>IF($I41="","",IFERROR(INDEX(_玩家曲线!$H$2:$H$286,MATCH($I41,_玩家曲线!$A$2:$A$286,0)),""))</f>
        <v>51778.075027361</v>
      </c>
      <c r="R41" s="46">
        <f>IF($I41="","",IFERROR(INDEX(_玩家曲线!$I$2:$I$286,MATCH($I41,_玩家曲线!$A$2:$A$286,0)),""))</f>
        <v>138182.080970152</v>
      </c>
      <c r="S41" s="46">
        <f>IF(OR($J41="",$F41="不适用"),"",IFERROR(INDEX(_怪物模型!$D$2:$D$4501,(INT($J41)-1)*ROWS(_怪物类型!$A$2:$A$10)+MATCH($F41,_怪物类型!$A$2:$A$10,0))*IF($K41="",1,$K41),""))</f>
        <v>15819.54498894</v>
      </c>
      <c r="T41" s="46">
        <f>IF(OR($J41="",$F41="不适用"),"",IFERROR(INDEX(_怪物模型!$E$2:$E$4501,(INT($J41)-1)*ROWS(_怪物类型!$A$2:$A$10)+MATCH($F41,_怪物类型!$A$2:$A$10,0))*IF($L41="",1,$L41),""))</f>
        <v>3269.9541543556</v>
      </c>
      <c r="U41" s="46">
        <f>IF(OR($J41="",$F41="不适用"),"",IFERROR(INDEX(_怪物模型!$F$2:$F$4501,(INT($J41)-1)*ROWS(_怪物类型!$A$2:$A$10)+MATCH($F41,_怪物类型!$A$2:$A$10,0))*IF($M41="",1,$M41),""))</f>
        <v>4926</v>
      </c>
      <c r="V41" s="47">
        <f t="shared" si="1"/>
        <v>0.170296618958722</v>
      </c>
      <c r="W41" s="48">
        <f t="shared" si="2"/>
        <v>19066.50659792</v>
      </c>
      <c r="X41" s="48">
        <f t="shared" si="3"/>
        <v>0.368235137900447</v>
      </c>
      <c r="Y41" s="48">
        <f t="shared" si="4"/>
        <v>42.2581095781091</v>
      </c>
      <c r="Z41" s="49" t="str">
        <f t="shared" si="5"/>
        <v/>
      </c>
      <c r="AA41" s="30" t="str">
        <f t="shared" si="6"/>
        <v>已计算</v>
      </c>
      <c r="AB41" s="30" t="str">
        <f t="shared" si="7"/>
        <v>有效</v>
      </c>
      <c r="AC41" s="30" t="str">
        <f t="shared" si="8"/>
        <v/>
      </c>
      <c r="AD41" s="31" t="s">
        <v>267</v>
      </c>
      <c r="AE41">
        <v>33400</v>
      </c>
      <c r="AF41">
        <f>INDEX(_统一战力!$B$2:$B$501,J41)</f>
        <v>65300</v>
      </c>
    </row>
    <row r="42" ht="25" customHeight="1" spans="1:32">
      <c r="A42" s="30" t="s">
        <v>150</v>
      </c>
      <c r="B42" s="30" t="s">
        <v>51</v>
      </c>
      <c r="C42" s="31" t="s">
        <v>228</v>
      </c>
      <c r="D42" s="31" t="s">
        <v>268</v>
      </c>
      <c r="E42" s="31" t="s">
        <v>269</v>
      </c>
      <c r="F42" s="30" t="s">
        <v>154</v>
      </c>
      <c r="G42" s="40">
        <v>38</v>
      </c>
      <c r="H42" s="41"/>
      <c r="I42" s="42">
        <f t="shared" si="0"/>
        <v>38</v>
      </c>
      <c r="J42" s="43">
        <v>61</v>
      </c>
      <c r="K42" s="44">
        <v>1.03415839674241</v>
      </c>
      <c r="L42" s="44">
        <v>0.962458090679925</v>
      </c>
      <c r="M42" s="44">
        <v>1</v>
      </c>
      <c r="N42" s="45"/>
      <c r="O42" s="45"/>
      <c r="P42" s="45"/>
      <c r="Q42" s="46">
        <f>IF($I42="","",IFERROR(INDEX(_玩家曲线!$H$2:$H$286,MATCH($I42,_玩家曲线!$A$2:$A$286,0)),""))</f>
        <v>54339.9167049591</v>
      </c>
      <c r="R42" s="46">
        <f>IF($I42="","",IFERROR(INDEX(_玩家曲线!$I$2:$I$286,MATCH($I42,_玩家曲线!$A$2:$A$286,0)),""))</f>
        <v>143621.04196543</v>
      </c>
      <c r="S42" s="46">
        <f>IF(OR($J42="",$F42="不适用"),"",IFERROR(INDEX(_怪物模型!$D$2:$D$4501,(INT($J42)-1)*ROWS(_怪物类型!$A$2:$A$10)+MATCH($F42,_怪物类型!$A$2:$A$10,0))*IF($K42="",1,$K42),""))</f>
        <v>16218.7061361112</v>
      </c>
      <c r="T42" s="46">
        <f>IF(OR($J42="",$F42="不适用"),"",IFERROR(INDEX(_怪物模型!$E$2:$E$4501,(INT($J42)-1)*ROWS(_怪物类型!$A$2:$A$10)+MATCH($F42,_怪物类型!$A$2:$A$10,0))*IF($L42="",1,$L42),""))</f>
        <v>3328.18007757118</v>
      </c>
      <c r="U42" s="46">
        <f>IF(OR($J42="",$F42="不适用"),"",IFERROR(INDEX(_怪物模型!$F$2:$F$4501,(INT($J42)-1)*ROWS(_怪物类型!$A$2:$A$10)+MATCH($F42,_怪物类型!$A$2:$A$10,0))*IF($M42="",1,$M42),""))</f>
        <v>4926</v>
      </c>
      <c r="V42" s="47">
        <f t="shared" si="1"/>
        <v>0.170296618958722</v>
      </c>
      <c r="W42" s="48">
        <f t="shared" si="2"/>
        <v>19547.595570548</v>
      </c>
      <c r="X42" s="48">
        <f t="shared" si="3"/>
        <v>0.359728110675667</v>
      </c>
      <c r="Y42" s="48">
        <f t="shared" si="4"/>
        <v>43.1530261638489</v>
      </c>
      <c r="Z42" s="49" t="str">
        <f t="shared" si="5"/>
        <v/>
      </c>
      <c r="AA42" s="30" t="str">
        <f t="shared" si="6"/>
        <v>已计算</v>
      </c>
      <c r="AB42" s="30" t="str">
        <f t="shared" si="7"/>
        <v>有效</v>
      </c>
      <c r="AC42" s="30" t="str">
        <f t="shared" si="8"/>
        <v/>
      </c>
      <c r="AD42" s="31" t="s">
        <v>270</v>
      </c>
      <c r="AE42">
        <v>34400</v>
      </c>
      <c r="AF42">
        <f>INDEX(_统一战力!$B$2:$B$501,J42)</f>
        <v>65300</v>
      </c>
    </row>
    <row r="43" ht="25" customHeight="1" spans="1:32">
      <c r="A43" s="30" t="s">
        <v>150</v>
      </c>
      <c r="B43" s="30" t="s">
        <v>51</v>
      </c>
      <c r="C43" s="31" t="s">
        <v>228</v>
      </c>
      <c r="D43" s="31" t="s">
        <v>271</v>
      </c>
      <c r="E43" s="31" t="s">
        <v>272</v>
      </c>
      <c r="F43" s="30" t="s">
        <v>164</v>
      </c>
      <c r="G43" s="40">
        <v>39</v>
      </c>
      <c r="H43" s="41"/>
      <c r="I43" s="42">
        <f t="shared" si="0"/>
        <v>39</v>
      </c>
      <c r="J43" s="43">
        <v>66</v>
      </c>
      <c r="K43" s="44">
        <v>1.20115586857662</v>
      </c>
      <c r="L43" s="44">
        <v>0.783500558195154</v>
      </c>
      <c r="M43" s="44">
        <v>1</v>
      </c>
      <c r="N43" s="45"/>
      <c r="O43" s="45"/>
      <c r="P43" s="45"/>
      <c r="Q43" s="46">
        <f>IF($I43="","",IFERROR(INDEX(_玩家曲线!$H$2:$H$286,MATCH($I43,_玩家曲线!$A$2:$A$286,0)),""))</f>
        <v>56980.0305564188</v>
      </c>
      <c r="R43" s="46">
        <f>IF($I43="","",IFERROR(INDEX(_玩家曲线!$I$2:$I$286,MATCH($I43,_玩家曲线!$A$2:$A$286,0)),""))</f>
        <v>149171.580490756</v>
      </c>
      <c r="S43" s="46">
        <f>IF(OR($J43="",$F43="不适用"),"",IFERROR(INDEX(_怪物模型!$D$2:$D$4501,(INT($J43)-1)*ROWS(_怪物类型!$A$2:$A$10)+MATCH($F43,_怪物类型!$A$2:$A$10,0))*IF($K43="",1,$K43),""))</f>
        <v>1543653.45294256</v>
      </c>
      <c r="T43" s="46">
        <f>IF(OR($J43="",$F43="不适用"),"",IFERROR(INDEX(_怪物模型!$E$2:$E$4501,(INT($J43)-1)*ROWS(_怪物类型!$A$2:$A$10)+MATCH($F43,_怪物类型!$A$2:$A$10,0))*IF($L43="",1,$L43),""))</f>
        <v>3585.29855430102</v>
      </c>
      <c r="U43" s="46">
        <f>IF(OR($J43="",$F43="不适用"),"",IFERROR(INDEX(_怪物模型!$F$2:$F$4501,(INT($J43)-1)*ROWS(_怪物类型!$A$2:$A$10)+MATCH($F43,_怪物类型!$A$2:$A$10,0))*IF($M43="",1,$M43),""))</f>
        <v>5367</v>
      </c>
      <c r="V43" s="47">
        <f t="shared" si="1"/>
        <v>0.182756154867709</v>
      </c>
      <c r="W43" s="48">
        <f t="shared" si="2"/>
        <v>1888852.95635684</v>
      </c>
      <c r="X43" s="48">
        <f t="shared" si="3"/>
        <v>33.1493847565875</v>
      </c>
      <c r="Y43" s="48">
        <f t="shared" si="4"/>
        <v>41.6064598893182</v>
      </c>
      <c r="Z43" s="49" t="str">
        <f t="shared" si="5"/>
        <v/>
      </c>
      <c r="AA43" s="30" t="str">
        <f t="shared" si="6"/>
        <v>已计算</v>
      </c>
      <c r="AB43" s="30" t="str">
        <f t="shared" si="7"/>
        <v>有效</v>
      </c>
      <c r="AC43" s="30" t="str">
        <f t="shared" si="8"/>
        <v/>
      </c>
      <c r="AD43" s="31" t="s">
        <v>273</v>
      </c>
      <c r="AE43">
        <v>35500</v>
      </c>
      <c r="AF43">
        <f>INDEX(_统一战力!$B$2:$B$501,J43)</f>
        <v>71400</v>
      </c>
    </row>
    <row r="44" ht="25" customHeight="1" spans="1:32">
      <c r="A44" s="30" t="s">
        <v>150</v>
      </c>
      <c r="B44" s="30" t="s">
        <v>51</v>
      </c>
      <c r="C44" s="31" t="s">
        <v>274</v>
      </c>
      <c r="D44" s="31" t="s">
        <v>275</v>
      </c>
      <c r="E44" s="31" t="s">
        <v>276</v>
      </c>
      <c r="F44" s="30" t="s">
        <v>154</v>
      </c>
      <c r="G44" s="40">
        <v>40</v>
      </c>
      <c r="H44" s="41"/>
      <c r="I44" s="42">
        <f t="shared" si="0"/>
        <v>40</v>
      </c>
      <c r="J44" s="43">
        <v>66</v>
      </c>
      <c r="K44" s="44">
        <v>0.966414568673658</v>
      </c>
      <c r="L44" s="44">
        <v>0.923000839932547</v>
      </c>
      <c r="M44" s="44">
        <v>1</v>
      </c>
      <c r="N44" s="45"/>
      <c r="O44" s="45"/>
      <c r="P44" s="45"/>
      <c r="Q44" s="46">
        <f>IF($I44="","",IFERROR(INDEX(_玩家曲线!$H$2:$H$286,MATCH($I44,_玩家曲线!$A$2:$A$286,0)),""))</f>
        <v>59707.7034555283</v>
      </c>
      <c r="R44" s="46">
        <f>IF($I44="","",IFERROR(INDEX(_玩家曲线!$I$2:$I$286,MATCH($I44,_玩家曲线!$A$2:$A$286,0)),""))</f>
        <v>154857.631643349</v>
      </c>
      <c r="S44" s="46">
        <f>IF(OR($J44="",$F44="不适用"),"",IFERROR(INDEX(_怪物模型!$D$2:$D$4501,(INT($J44)-1)*ROWS(_怪物类型!$A$2:$A$10)+MATCH($F44,_怪物类型!$A$2:$A$10,0))*IF($K44="",1,$K44),""))</f>
        <v>17278.5260733163</v>
      </c>
      <c r="T44" s="46">
        <f>IF(OR($J44="",$F44="不适用"),"",IFERROR(INDEX(_怪物模型!$E$2:$E$4501,(INT($J44)-1)*ROWS(_怪物类型!$A$2:$A$10)+MATCH($F44,_怪物类型!$A$2:$A$10,0))*IF($L44="",1,$L44),""))</f>
        <v>3524.01720686246</v>
      </c>
      <c r="U44" s="46">
        <f>IF(OR($J44="",$F44="不适用"),"",IFERROR(INDEX(_怪物模型!$F$2:$F$4501,(INT($J44)-1)*ROWS(_怪物类型!$A$2:$A$10)+MATCH($F44,_怪物类型!$A$2:$A$10,0))*IF($M44="",1,$M44),""))</f>
        <v>5367</v>
      </c>
      <c r="V44" s="47">
        <f t="shared" si="1"/>
        <v>0.182756154867709</v>
      </c>
      <c r="W44" s="48">
        <f t="shared" si="2"/>
        <v>21142.4364664617</v>
      </c>
      <c r="X44" s="48">
        <f t="shared" si="3"/>
        <v>0.354098972877245</v>
      </c>
      <c r="Y44" s="48">
        <f t="shared" si="4"/>
        <v>43.9434947541653</v>
      </c>
      <c r="Z44" s="49" t="str">
        <f t="shared" si="5"/>
        <v/>
      </c>
      <c r="AA44" s="30" t="str">
        <f t="shared" si="6"/>
        <v>已计算</v>
      </c>
      <c r="AB44" s="30" t="str">
        <f t="shared" si="7"/>
        <v>有效</v>
      </c>
      <c r="AC44" s="30" t="str">
        <f t="shared" si="8"/>
        <v/>
      </c>
      <c r="AD44" s="31" t="s">
        <v>277</v>
      </c>
      <c r="AE44">
        <v>37300</v>
      </c>
      <c r="AF44">
        <f>INDEX(_统一战力!$B$2:$B$501,J44)</f>
        <v>71400</v>
      </c>
    </row>
    <row r="45" ht="25" customHeight="1" spans="1:32">
      <c r="A45" s="30" t="s">
        <v>150</v>
      </c>
      <c r="B45" s="30" t="s">
        <v>51</v>
      </c>
      <c r="C45" s="31" t="s">
        <v>274</v>
      </c>
      <c r="D45" s="31" t="s">
        <v>278</v>
      </c>
      <c r="E45" s="31" t="s">
        <v>279</v>
      </c>
      <c r="F45" s="30" t="s">
        <v>154</v>
      </c>
      <c r="G45" s="40">
        <v>41</v>
      </c>
      <c r="H45" s="41"/>
      <c r="I45" s="42">
        <f t="shared" si="0"/>
        <v>41</v>
      </c>
      <c r="J45" s="43">
        <v>66</v>
      </c>
      <c r="K45" s="44">
        <v>1.027997342752</v>
      </c>
      <c r="L45" s="44">
        <v>0.96713492442955</v>
      </c>
      <c r="M45" s="44">
        <v>1</v>
      </c>
      <c r="N45" s="45"/>
      <c r="O45" s="45"/>
      <c r="P45" s="45"/>
      <c r="Q45" s="46">
        <f>IF($I45="","",IFERROR(INDEX(_玩家曲线!$H$2:$H$286,MATCH($I45,_玩家曲线!$A$2:$A$286,0)),""))</f>
        <v>63108.2459551658</v>
      </c>
      <c r="R45" s="46">
        <f>IF($I45="","",IFERROR(INDEX(_玩家曲线!$I$2:$I$286,MATCH($I45,_玩家曲线!$A$2:$A$286,0)),""))</f>
        <v>161940.831805921</v>
      </c>
      <c r="S45" s="46">
        <f>IF(OR($J45="",$F45="不适用"),"",IFERROR(INDEX(_怪物模型!$D$2:$D$4501,(INT($J45)-1)*ROWS(_怪物类型!$A$2:$A$10)+MATCH($F45,_怪物类型!$A$2:$A$10,0))*IF($K45="",1,$K45),""))</f>
        <v>18379.564491063</v>
      </c>
      <c r="T45" s="46">
        <f>IF(OR($J45="",$F45="不适用"),"",IFERROR(INDEX(_怪物模型!$E$2:$E$4501,(INT($J45)-1)*ROWS(_怪物类型!$A$2:$A$10)+MATCH($F45,_怪物类型!$A$2:$A$10,0))*IF($L45="",1,$L45),""))</f>
        <v>3692.52114147202</v>
      </c>
      <c r="U45" s="46">
        <f>IF(OR($J45="",$F45="不适用"),"",IFERROR(INDEX(_怪物模型!$F$2:$F$4501,(INT($J45)-1)*ROWS(_怪物类型!$A$2:$A$10)+MATCH($F45,_怪物类型!$A$2:$A$10,0))*IF($M45="",1,$M45),""))</f>
        <v>5367</v>
      </c>
      <c r="V45" s="47">
        <f t="shared" si="1"/>
        <v>0.182756154867709</v>
      </c>
      <c r="W45" s="48">
        <f t="shared" si="2"/>
        <v>22489.694600377</v>
      </c>
      <c r="X45" s="48">
        <f t="shared" si="3"/>
        <v>0.356366973285146</v>
      </c>
      <c r="Y45" s="48">
        <f t="shared" si="4"/>
        <v>43.8564399773114</v>
      </c>
      <c r="Z45" s="49" t="str">
        <f t="shared" si="5"/>
        <v/>
      </c>
      <c r="AA45" s="30" t="str">
        <f t="shared" si="6"/>
        <v>已计算</v>
      </c>
      <c r="AB45" s="30" t="str">
        <f t="shared" si="7"/>
        <v>有效</v>
      </c>
      <c r="AC45" s="30" t="str">
        <f t="shared" si="8"/>
        <v/>
      </c>
      <c r="AD45" s="31" t="s">
        <v>280</v>
      </c>
      <c r="AE45">
        <v>39100</v>
      </c>
      <c r="AF45">
        <f>INDEX(_统一战力!$B$2:$B$501,J45)</f>
        <v>71400</v>
      </c>
    </row>
    <row r="46" ht="25" customHeight="1" spans="1:32">
      <c r="A46" s="30" t="s">
        <v>150</v>
      </c>
      <c r="B46" s="30" t="s">
        <v>51</v>
      </c>
      <c r="C46" s="31" t="s">
        <v>274</v>
      </c>
      <c r="D46" s="31" t="s">
        <v>281</v>
      </c>
      <c r="E46" s="31" t="s">
        <v>282</v>
      </c>
      <c r="F46" s="30" t="s">
        <v>154</v>
      </c>
      <c r="G46" s="40">
        <v>42</v>
      </c>
      <c r="H46" s="41"/>
      <c r="I46" s="42">
        <f t="shared" si="0"/>
        <v>42</v>
      </c>
      <c r="J46" s="43">
        <v>68</v>
      </c>
      <c r="K46" s="44">
        <v>1.00973869551656</v>
      </c>
      <c r="L46" s="44">
        <v>0.95855742863271</v>
      </c>
      <c r="M46" s="44">
        <v>1</v>
      </c>
      <c r="N46" s="45"/>
      <c r="O46" s="45"/>
      <c r="P46" s="45"/>
      <c r="Q46" s="46">
        <f>IF($I46="","",IFERROR(INDEX(_玩家曲线!$H$2:$H$286,MATCH($I46,_玩家曲线!$A$2:$A$286,0)),""))</f>
        <v>66623.8615756816</v>
      </c>
      <c r="R46" s="46">
        <f>IF($I46="","",IFERROR(INDEX(_玩家曲线!$I$2:$I$286,MATCH($I46,_玩家曲线!$A$2:$A$286,0)),""))</f>
        <v>169193.906792731</v>
      </c>
      <c r="S46" s="46">
        <f>IF(OR($J46="",$F46="不适用"),"",IFERROR(INDEX(_怪物模型!$D$2:$D$4501,(INT($J46)-1)*ROWS(_怪物类型!$A$2:$A$10)+MATCH($F46,_怪物类型!$A$2:$A$10,0))*IF($K46="",1,$K46),""))</f>
        <v>18985.1069531024</v>
      </c>
      <c r="T46" s="46">
        <f>IF(OR($J46="",$F46="不适用"),"",IFERROR(INDEX(_怪物模型!$E$2:$E$4501,(INT($J46)-1)*ROWS(_怪物类型!$A$2:$A$10)+MATCH($F46,_怪物类型!$A$2:$A$10,0))*IF($L46="",1,$L46),""))</f>
        <v>3800.68020452869</v>
      </c>
      <c r="U46" s="46">
        <f>IF(OR($J46="",$F46="不适用"),"",IFERROR(INDEX(_怪物模型!$F$2:$F$4501,(INT($J46)-1)*ROWS(_怪物类型!$A$2:$A$10)+MATCH($F46,_怪物类型!$A$2:$A$10,0))*IF($M46="",1,$M46),""))</f>
        <v>5546</v>
      </c>
      <c r="V46" s="47">
        <f t="shared" si="1"/>
        <v>0.187707303865159</v>
      </c>
      <c r="W46" s="48">
        <f t="shared" si="2"/>
        <v>23372.2487515151</v>
      </c>
      <c r="X46" s="48">
        <f t="shared" si="3"/>
        <v>0.350808977425683</v>
      </c>
      <c r="Y46" s="48">
        <f t="shared" si="4"/>
        <v>44.5167437636895</v>
      </c>
      <c r="Z46" s="49" t="str">
        <f t="shared" si="5"/>
        <v/>
      </c>
      <c r="AA46" s="30" t="str">
        <f t="shared" si="6"/>
        <v>已计算</v>
      </c>
      <c r="AB46" s="30" t="str">
        <f t="shared" si="7"/>
        <v>有效</v>
      </c>
      <c r="AC46" s="30" t="str">
        <f t="shared" si="8"/>
        <v/>
      </c>
      <c r="AD46" s="31" t="s">
        <v>283</v>
      </c>
      <c r="AE46">
        <v>40900</v>
      </c>
      <c r="AF46">
        <f>INDEX(_统一战力!$B$2:$B$501,J46)</f>
        <v>82700</v>
      </c>
    </row>
    <row r="47" ht="25" customHeight="1" spans="1:32">
      <c r="A47" s="30" t="s">
        <v>150</v>
      </c>
      <c r="B47" s="30" t="s">
        <v>51</v>
      </c>
      <c r="C47" s="31" t="s">
        <v>274</v>
      </c>
      <c r="D47" s="31" t="s">
        <v>284</v>
      </c>
      <c r="E47" s="31" t="s">
        <v>285</v>
      </c>
      <c r="F47" s="30" t="s">
        <v>154</v>
      </c>
      <c r="G47" s="40">
        <v>43</v>
      </c>
      <c r="H47" s="41"/>
      <c r="I47" s="42">
        <f t="shared" si="0"/>
        <v>43</v>
      </c>
      <c r="J47" s="43">
        <v>70</v>
      </c>
      <c r="K47" s="44">
        <v>1.01648031153562</v>
      </c>
      <c r="L47" s="44">
        <v>0.967658956158599</v>
      </c>
      <c r="M47" s="44">
        <v>1</v>
      </c>
      <c r="N47" s="45"/>
      <c r="O47" s="45"/>
      <c r="P47" s="45"/>
      <c r="Q47" s="46">
        <f>IF($I47="","",IFERROR(INDEX(_玩家曲线!$H$2:$H$286,MATCH($I47,_玩家曲线!$A$2:$A$286,0)),""))</f>
        <v>70257.6309570927</v>
      </c>
      <c r="R47" s="46">
        <f>IF($I47="","",IFERROR(INDEX(_玩家曲线!$I$2:$I$286,MATCH($I47,_玩家曲线!$A$2:$A$286,0)),""))</f>
        <v>176619.321141999</v>
      </c>
      <c r="S47" s="46">
        <f>IF(OR($J47="",$F47="不适用"),"",IFERROR(INDEX(_怪物模型!$D$2:$D$4501,(INT($J47)-1)*ROWS(_怪物类型!$A$2:$A$10)+MATCH($F47,_怪物类型!$A$2:$A$10,0))*IF($K47="",1,$K47),""))</f>
        <v>20076.50263314</v>
      </c>
      <c r="T47" s="46">
        <f>IF(OR($J47="",$F47="不适用"),"",IFERROR(INDEX(_怪物模型!$E$2:$E$4501,(INT($J47)-1)*ROWS(_怪物类型!$A$2:$A$10)+MATCH($F47,_怪物类型!$A$2:$A$10,0))*IF($L47="",1,$L47),""))</f>
        <v>3981.91660459263</v>
      </c>
      <c r="U47" s="46">
        <f>IF(OR($J47="",$F47="不适用"),"",IFERROR(INDEX(_怪物模型!$F$2:$F$4501,(INT($J47)-1)*ROWS(_怪物类型!$A$2:$A$10)+MATCH($F47,_怪物类型!$A$2:$A$10,0))*IF($M47="",1,$M47),""))</f>
        <v>5725</v>
      </c>
      <c r="V47" s="47">
        <f t="shared" si="1"/>
        <v>0.19259882253995</v>
      </c>
      <c r="W47" s="48">
        <f t="shared" si="2"/>
        <v>24865.585032087</v>
      </c>
      <c r="X47" s="48">
        <f t="shared" si="3"/>
        <v>0.353920060972063</v>
      </c>
      <c r="Y47" s="48">
        <f t="shared" si="4"/>
        <v>44.3553541373245</v>
      </c>
      <c r="Z47" s="49" t="str">
        <f t="shared" si="5"/>
        <v/>
      </c>
      <c r="AA47" s="30" t="str">
        <f t="shared" si="6"/>
        <v>已计算</v>
      </c>
      <c r="AB47" s="30" t="str">
        <f t="shared" si="7"/>
        <v>有效</v>
      </c>
      <c r="AC47" s="30" t="str">
        <f t="shared" si="8"/>
        <v/>
      </c>
      <c r="AD47" s="31" t="s">
        <v>286</v>
      </c>
      <c r="AE47">
        <v>42700</v>
      </c>
      <c r="AF47">
        <f>INDEX(_统一战力!$B$2:$B$501,J47)</f>
        <v>87000</v>
      </c>
    </row>
    <row r="48" ht="25" customHeight="1" spans="1:32">
      <c r="A48" s="30" t="s">
        <v>150</v>
      </c>
      <c r="B48" s="30" t="s">
        <v>51</v>
      </c>
      <c r="C48" s="31" t="s">
        <v>274</v>
      </c>
      <c r="D48" s="31" t="s">
        <v>287</v>
      </c>
      <c r="E48" s="31" t="s">
        <v>288</v>
      </c>
      <c r="F48" s="30" t="s">
        <v>154</v>
      </c>
      <c r="G48" s="40">
        <v>44</v>
      </c>
      <c r="H48" s="41"/>
      <c r="I48" s="42">
        <f t="shared" si="0"/>
        <v>44</v>
      </c>
      <c r="J48" s="43">
        <v>72</v>
      </c>
      <c r="K48" s="44">
        <v>1.00143688848163</v>
      </c>
      <c r="L48" s="44">
        <v>0.961347617462804</v>
      </c>
      <c r="M48" s="44">
        <v>1</v>
      </c>
      <c r="N48" s="45"/>
      <c r="O48" s="45"/>
      <c r="P48" s="45"/>
      <c r="Q48" s="46">
        <f>IF($I48="","",IFERROR(INDEX(_玩家曲线!$H$2:$H$286,MATCH($I48,_玩家曲线!$A$2:$A$286,0)),""))</f>
        <v>74012.703804625</v>
      </c>
      <c r="R48" s="46">
        <f>IF($I48="","",IFERROR(INDEX(_玩家曲线!$I$2:$I$286,MATCH($I48,_玩家曲线!$A$2:$A$286,0)),""))</f>
        <v>184219.561156841</v>
      </c>
      <c r="S48" s="46">
        <f>IF(OR($J48="",$F48="不适用"),"",IFERROR(INDEX(_怪物模型!$D$2:$D$4501,(INT($J48)-1)*ROWS(_怪物类型!$A$2:$A$10)+MATCH($F48,_怪物类型!$A$2:$A$10,0))*IF($K48="",1,$K48),""))</f>
        <v>20756.7823875587</v>
      </c>
      <c r="T48" s="46">
        <f>IF(OR($J48="",$F48="不适用"),"",IFERROR(INDEX(_怪物模型!$E$2:$E$4501,(INT($J48)-1)*ROWS(_怪物类型!$A$2:$A$10)+MATCH($F48,_怪物类型!$A$2:$A$10,0))*IF($L48="",1,$L48),""))</f>
        <v>4101.10893609632</v>
      </c>
      <c r="U48" s="46">
        <f>IF(OR($J48="",$F48="不适用"),"",IFERROR(INDEX(_怪物模型!$F$2:$F$4501,(INT($J48)-1)*ROWS(_怪物类型!$A$2:$A$10)+MATCH($F48,_怪物类型!$A$2:$A$10,0))*IF($M48="",1,$M48),""))</f>
        <v>5905</v>
      </c>
      <c r="V48" s="47">
        <f t="shared" si="1"/>
        <v>0.19745861896004</v>
      </c>
      <c r="W48" s="48">
        <f t="shared" si="2"/>
        <v>25863.815720831</v>
      </c>
      <c r="X48" s="48">
        <f t="shared" si="3"/>
        <v>0.349451031935072</v>
      </c>
      <c r="Y48" s="48">
        <f t="shared" si="4"/>
        <v>44.9194508186345</v>
      </c>
      <c r="Z48" s="49" t="str">
        <f t="shared" si="5"/>
        <v/>
      </c>
      <c r="AA48" s="30" t="str">
        <f t="shared" si="6"/>
        <v>已计算</v>
      </c>
      <c r="AB48" s="30" t="str">
        <f t="shared" si="7"/>
        <v>有效</v>
      </c>
      <c r="AC48" s="30" t="str">
        <f t="shared" si="8"/>
        <v/>
      </c>
      <c r="AD48" s="31" t="s">
        <v>289</v>
      </c>
      <c r="AE48">
        <v>44400</v>
      </c>
      <c r="AF48">
        <f>INDEX(_统一战力!$B$2:$B$501,J48)</f>
        <v>91400</v>
      </c>
    </row>
    <row r="49" ht="25" customHeight="1" spans="1:32">
      <c r="A49" s="30" t="s">
        <v>150</v>
      </c>
      <c r="B49" s="30" t="s">
        <v>51</v>
      </c>
      <c r="C49" s="31" t="s">
        <v>274</v>
      </c>
      <c r="D49" s="31" t="s">
        <v>290</v>
      </c>
      <c r="E49" s="31" t="s">
        <v>291</v>
      </c>
      <c r="F49" s="30" t="s">
        <v>154</v>
      </c>
      <c r="G49" s="40">
        <v>45</v>
      </c>
      <c r="H49" s="41"/>
      <c r="I49" s="42">
        <f t="shared" si="0"/>
        <v>45</v>
      </c>
      <c r="J49" s="43">
        <v>73</v>
      </c>
      <c r="K49" s="44">
        <v>1.01466557751559</v>
      </c>
      <c r="L49" s="44">
        <v>0.973152503103764</v>
      </c>
      <c r="M49" s="44">
        <v>1</v>
      </c>
      <c r="N49" s="45"/>
      <c r="O49" s="45"/>
      <c r="P49" s="45"/>
      <c r="Q49" s="46">
        <f>IF($I49="","",IFERROR(INDEX(_玩家曲线!$H$2:$H$286,MATCH($I49,_玩家曲线!$A$2:$A$286,0)),""))</f>
        <v>77892.3000393442</v>
      </c>
      <c r="R49" s="46">
        <f>IF($I49="","",IFERROR(INDEX(_玩家曲线!$I$2:$I$286,MATCH($I49,_玩家曲线!$A$2:$A$286,0)),""))</f>
        <v>191997.134968003</v>
      </c>
      <c r="S49" s="46">
        <f>IF(OR($J49="",$F49="不适用"),"",IFERROR(INDEX(_怪物模型!$D$2:$D$4501,(INT($J49)-1)*ROWS(_怪物类型!$A$2:$A$10)+MATCH($F49,_怪物类型!$A$2:$A$10,0))*IF($K49="",1,$K49),""))</f>
        <v>21536.2768827684</v>
      </c>
      <c r="T49" s="46">
        <f>IF(OR($J49="",$F49="不适用"),"",IFERROR(INDEX(_怪物模型!$E$2:$E$4501,(INT($J49)-1)*ROWS(_怪物类型!$A$2:$A$10)+MATCH($F49,_怪物类型!$A$2:$A$10,0))*IF($L49="",1,$L49),""))</f>
        <v>4226.40132097965</v>
      </c>
      <c r="U49" s="46">
        <f>IF(OR($J49="",$F49="不适用"),"",IFERROR(INDEX(_怪物模型!$F$2:$F$4501,(INT($J49)-1)*ROWS(_怪物类型!$A$2:$A$10)+MATCH($F49,_怪物类型!$A$2:$A$10,0))*IF($M49="",1,$M49),""))</f>
        <v>5995</v>
      </c>
      <c r="V49" s="47">
        <f t="shared" si="1"/>
        <v>0.19986664444074</v>
      </c>
      <c r="W49" s="48">
        <f t="shared" si="2"/>
        <v>26915.8593791099</v>
      </c>
      <c r="X49" s="48">
        <f t="shared" si="3"/>
        <v>0.345552247982335</v>
      </c>
      <c r="Y49" s="48">
        <f t="shared" si="4"/>
        <v>45.4280415858614</v>
      </c>
      <c r="Z49" s="49" t="str">
        <f t="shared" si="5"/>
        <v/>
      </c>
      <c r="AA49" s="30" t="str">
        <f t="shared" si="6"/>
        <v>已计算</v>
      </c>
      <c r="AB49" s="30" t="str">
        <f t="shared" si="7"/>
        <v>有效</v>
      </c>
      <c r="AC49" s="30" t="str">
        <f t="shared" si="8"/>
        <v/>
      </c>
      <c r="AD49" s="31" t="s">
        <v>292</v>
      </c>
      <c r="AE49">
        <v>46200</v>
      </c>
      <c r="AF49">
        <f>INDEX(_统一战力!$B$2:$B$501,J49)</f>
        <v>95900</v>
      </c>
    </row>
    <row r="50" ht="25" customHeight="1" spans="1:32">
      <c r="A50" s="30" t="s">
        <v>150</v>
      </c>
      <c r="B50" s="30" t="s">
        <v>51</v>
      </c>
      <c r="C50" s="31" t="s">
        <v>274</v>
      </c>
      <c r="D50" s="31" t="s">
        <v>293</v>
      </c>
      <c r="E50" s="31" t="s">
        <v>294</v>
      </c>
      <c r="F50" s="30" t="s">
        <v>154</v>
      </c>
      <c r="G50" s="40">
        <v>46</v>
      </c>
      <c r="H50" s="41"/>
      <c r="I50" s="42">
        <f t="shared" si="0"/>
        <v>46</v>
      </c>
      <c r="J50" s="43">
        <v>75</v>
      </c>
      <c r="K50" s="44">
        <v>1.00209151416643</v>
      </c>
      <c r="L50" s="44">
        <v>0.968759000830661</v>
      </c>
      <c r="M50" s="44">
        <v>1</v>
      </c>
      <c r="N50" s="45"/>
      <c r="O50" s="45"/>
      <c r="P50" s="45"/>
      <c r="Q50" s="46">
        <f>IF($I50="","",IFERROR(INDEX(_玩家曲线!$H$2:$H$286,MATCH($I50,_玩家曲线!$A$2:$A$286,0)),""))</f>
        <v>81899.7109607037</v>
      </c>
      <c r="R50" s="46">
        <f>IF($I50="","",IFERROR(INDEX(_玩家曲线!$I$2:$I$286,MATCH($I50,_玩家曲线!$A$2:$A$286,0)),""))</f>
        <v>199954.572596594</v>
      </c>
      <c r="S50" s="46">
        <f>IF(OR($J50="",$F50="不适用"),"",IFERROR(INDEX(_怪物模型!$D$2:$D$4501,(INT($J50)-1)*ROWS(_怪物类型!$A$2:$A$10)+MATCH($F50,_怪物类型!$A$2:$A$10,0))*IF($K50="",1,$K50),""))</f>
        <v>22288.5194580897</v>
      </c>
      <c r="T50" s="46">
        <f>IF(OR($J50="",$F50="不适用"),"",IFERROR(INDEX(_怪物模型!$E$2:$E$4501,(INT($J50)-1)*ROWS(_怪物类型!$A$2:$A$10)+MATCH($F50,_怪物类型!$A$2:$A$10,0))*IF($L50="",1,$L50),""))</f>
        <v>4356.50922673548</v>
      </c>
      <c r="U50" s="46">
        <f>IF(OR($J50="",$F50="不适用"),"",IFERROR(INDEX(_怪物模型!$F$2:$F$4501,(INT($J50)-1)*ROWS(_怪物类型!$A$2:$A$10)+MATCH($F50,_怪物类型!$A$2:$A$10,0))*IF($M50="",1,$M50),""))</f>
        <v>6176</v>
      </c>
      <c r="V50" s="47">
        <f t="shared" si="1"/>
        <v>0.204665959703075</v>
      </c>
      <c r="W50" s="48">
        <f t="shared" si="2"/>
        <v>28024.0984653048</v>
      </c>
      <c r="X50" s="48">
        <f t="shared" si="3"/>
        <v>0.342175792033638</v>
      </c>
      <c r="Y50" s="48">
        <f t="shared" si="4"/>
        <v>45.8978880084752</v>
      </c>
      <c r="Z50" s="49" t="str">
        <f t="shared" si="5"/>
        <v/>
      </c>
      <c r="AA50" s="30" t="str">
        <f t="shared" si="6"/>
        <v>已计算</v>
      </c>
      <c r="AB50" s="30" t="str">
        <f t="shared" si="7"/>
        <v>有效</v>
      </c>
      <c r="AC50" s="30" t="str">
        <f t="shared" si="8"/>
        <v/>
      </c>
      <c r="AD50" s="31" t="s">
        <v>295</v>
      </c>
      <c r="AE50">
        <v>48000</v>
      </c>
      <c r="AF50">
        <f>INDEX(_统一战力!$B$2:$B$501,J50)</f>
        <v>101000</v>
      </c>
    </row>
    <row r="51" ht="25" customHeight="1" spans="1:32">
      <c r="A51" s="30" t="s">
        <v>150</v>
      </c>
      <c r="B51" s="30" t="s">
        <v>51</v>
      </c>
      <c r="C51" s="31" t="s">
        <v>274</v>
      </c>
      <c r="D51" s="31" t="s">
        <v>296</v>
      </c>
      <c r="E51" s="31" t="s">
        <v>297</v>
      </c>
      <c r="F51" s="30" t="s">
        <v>154</v>
      </c>
      <c r="G51" s="40">
        <v>47</v>
      </c>
      <c r="H51" s="41"/>
      <c r="I51" s="42">
        <f t="shared" si="0"/>
        <v>47</v>
      </c>
      <c r="J51" s="43">
        <v>76</v>
      </c>
      <c r="K51" s="44">
        <v>1.01688047334457</v>
      </c>
      <c r="L51" s="44">
        <v>0.98167914664588</v>
      </c>
      <c r="M51" s="44">
        <v>1</v>
      </c>
      <c r="N51" s="45"/>
      <c r="O51" s="45"/>
      <c r="P51" s="45"/>
      <c r="Q51" s="46">
        <f>IF($I51="","",IFERROR(INDEX(_玩家曲线!$H$2:$H$286,MATCH($I51,_玩家曲线!$A$2:$A$286,0)),""))</f>
        <v>86038.300421064</v>
      </c>
      <c r="R51" s="46">
        <f>IF($I51="","",IFERROR(INDEX(_玩家曲线!$I$2:$I$286,MATCH($I51,_玩家曲线!$A$2:$A$286,0)),""))</f>
        <v>208094.426016822</v>
      </c>
      <c r="S51" s="46">
        <f>IF(OR($J51="",$F51="不适用"),"",IFERROR(INDEX(_怪物模型!$D$2:$D$4501,(INT($J51)-1)*ROWS(_怪物类型!$A$2:$A$10)+MATCH($F51,_怪物类型!$A$2:$A$10,0))*IF($K51="",1,$K51),""))</f>
        <v>23146.2333342691</v>
      </c>
      <c r="T51" s="46">
        <f>IF(OR($J51="",$F51="不适用"),"",IFERROR(INDEX(_怪物模型!$E$2:$E$4501,(INT($J51)-1)*ROWS(_怪物类型!$A$2:$A$10)+MATCH($F51,_怪物类型!$A$2:$A$10,0))*IF($L51="",1,$L51),""))</f>
        <v>4492.16377505155</v>
      </c>
      <c r="U51" s="46">
        <f>IF(OR($J51="",$F51="不适用"),"",IFERROR(INDEX(_怪物模型!$F$2:$F$4501,(INT($J51)-1)*ROWS(_怪物类型!$A$2:$A$10)+MATCH($F51,_怪物类型!$A$2:$A$10,0))*IF($M51="",1,$M51),""))</f>
        <v>6267</v>
      </c>
      <c r="V51" s="47">
        <f t="shared" si="1"/>
        <v>0.207057191000099</v>
      </c>
      <c r="W51" s="48">
        <f t="shared" si="2"/>
        <v>29190.2935136801</v>
      </c>
      <c r="X51" s="48">
        <f t="shared" si="3"/>
        <v>0.339270922029205</v>
      </c>
      <c r="Y51" s="48">
        <f t="shared" si="4"/>
        <v>46.3238734020632</v>
      </c>
      <c r="Z51" s="49" t="str">
        <f t="shared" si="5"/>
        <v/>
      </c>
      <c r="AA51" s="30" t="str">
        <f t="shared" si="6"/>
        <v>已计算</v>
      </c>
      <c r="AB51" s="30" t="str">
        <f t="shared" si="7"/>
        <v>有效</v>
      </c>
      <c r="AC51" s="30" t="str">
        <f t="shared" si="8"/>
        <v/>
      </c>
      <c r="AD51" s="31" t="s">
        <v>298</v>
      </c>
      <c r="AE51">
        <v>49800</v>
      </c>
      <c r="AF51">
        <f>INDEX(_统一战力!$B$2:$B$501,J51)</f>
        <v>105000</v>
      </c>
    </row>
    <row r="52" ht="25" customHeight="1" spans="1:32">
      <c r="A52" s="30" t="s">
        <v>150</v>
      </c>
      <c r="B52" s="30" t="s">
        <v>51</v>
      </c>
      <c r="C52" s="31" t="s">
        <v>274</v>
      </c>
      <c r="D52" s="31" t="s">
        <v>299</v>
      </c>
      <c r="E52" s="31" t="s">
        <v>300</v>
      </c>
      <c r="F52" s="30" t="s">
        <v>154</v>
      </c>
      <c r="G52" s="40">
        <v>48</v>
      </c>
      <c r="H52" s="41"/>
      <c r="I52" s="42">
        <f t="shared" si="0"/>
        <v>48</v>
      </c>
      <c r="J52" s="43">
        <v>78</v>
      </c>
      <c r="K52" s="44">
        <v>1.00639702733761</v>
      </c>
      <c r="L52" s="44">
        <v>0.978758285734352</v>
      </c>
      <c r="M52" s="44">
        <v>1</v>
      </c>
      <c r="N52" s="45"/>
      <c r="O52" s="45"/>
      <c r="P52" s="45"/>
      <c r="Q52" s="46">
        <f>IF($I52="","",IFERROR(INDEX(_玩家曲线!$H$2:$H$286,MATCH($I52,_玩家曲线!$A$2:$A$286,0)),""))</f>
        <v>90311.5060122421</v>
      </c>
      <c r="R52" s="46">
        <f>IF($I52="","",IFERROR(INDEX(_玩家曲线!$I$2:$I$286,MATCH($I52,_玩家曲线!$A$2:$A$286,0)),""))</f>
        <v>216419.269218726</v>
      </c>
      <c r="S52" s="46">
        <f>IF(OR($J52="",$F52="不适用"),"",IFERROR(INDEX(_怪物模型!$D$2:$D$4501,(INT($J52)-1)*ROWS(_怪物类型!$A$2:$A$10)+MATCH($F52,_怪物类型!$A$2:$A$10,0))*IF($K52="",1,$K52),""))</f>
        <v>23973.3835882092</v>
      </c>
      <c r="T52" s="46">
        <f>IF(OR($J52="",$F52="不适用"),"",IFERROR(INDEX(_怪物模型!$E$2:$E$4501,(INT($J52)-1)*ROWS(_怪物类型!$A$2:$A$10)+MATCH($F52,_怪物类型!$A$2:$A$10,0))*IF($L52="",1,$L52),""))</f>
        <v>4633.44172466642</v>
      </c>
      <c r="U52" s="46">
        <f>IF(OR($J52="",$F52="不适用"),"",IFERROR(INDEX(_怪物模型!$F$2:$F$4501,(INT($J52)-1)*ROWS(_怪物类型!$A$2:$A$10)+MATCH($F52,_怪物类型!$A$2:$A$10,0))*IF($M52="",1,$M52),""))</f>
        <v>6450</v>
      </c>
      <c r="V52" s="47">
        <f t="shared" si="1"/>
        <v>0.211822660098522</v>
      </c>
      <c r="W52" s="48">
        <f t="shared" si="2"/>
        <v>30416.2304275404</v>
      </c>
      <c r="X52" s="48">
        <f t="shared" si="3"/>
        <v>0.336792417384972</v>
      </c>
      <c r="Y52" s="48">
        <f t="shared" si="4"/>
        <v>46.7081021148068</v>
      </c>
      <c r="Z52" s="49" t="str">
        <f t="shared" si="5"/>
        <v/>
      </c>
      <c r="AA52" s="30" t="str">
        <f t="shared" si="6"/>
        <v>已计算</v>
      </c>
      <c r="AB52" s="30" t="str">
        <f t="shared" si="7"/>
        <v>有效</v>
      </c>
      <c r="AC52" s="30" t="str">
        <f t="shared" si="8"/>
        <v/>
      </c>
      <c r="AD52" s="31" t="s">
        <v>301</v>
      </c>
      <c r="AE52">
        <v>51600</v>
      </c>
      <c r="AF52">
        <f>INDEX(_统一战力!$B$2:$B$501,J52)</f>
        <v>110000</v>
      </c>
    </row>
    <row r="53" ht="25" customHeight="1" spans="1:32">
      <c r="A53" s="30" t="s">
        <v>150</v>
      </c>
      <c r="B53" s="30" t="s">
        <v>51</v>
      </c>
      <c r="C53" s="31" t="s">
        <v>274</v>
      </c>
      <c r="D53" s="31" t="s">
        <v>302</v>
      </c>
      <c r="E53" s="31" t="s">
        <v>303</v>
      </c>
      <c r="F53" s="30" t="s">
        <v>154</v>
      </c>
      <c r="G53" s="40">
        <v>49</v>
      </c>
      <c r="H53" s="41"/>
      <c r="I53" s="42">
        <f t="shared" si="0"/>
        <v>49</v>
      </c>
      <c r="J53" s="43">
        <v>80</v>
      </c>
      <c r="K53" s="44">
        <v>0.997206516604958</v>
      </c>
      <c r="L53" s="44">
        <v>0.97712924235548</v>
      </c>
      <c r="M53" s="44">
        <v>1</v>
      </c>
      <c r="N53" s="45"/>
      <c r="O53" s="45"/>
      <c r="P53" s="45"/>
      <c r="Q53" s="46">
        <f>IF($I53="","",IFERROR(INDEX(_玩家曲线!$H$2:$H$286,MATCH($I53,_玩家曲线!$A$2:$A$286,0)),""))</f>
        <v>94722.8402641455</v>
      </c>
      <c r="R53" s="46">
        <f>IF($I53="","",IFERROR(INDEX(_玩家曲线!$I$2:$I$286,MATCH($I53,_玩家曲线!$A$2:$A$286,0)),""))</f>
        <v>224931.698270911</v>
      </c>
      <c r="S53" s="46">
        <f>IF(OR($J53="",$F53="不适用"),"",IFERROR(INDEX(_怪物模型!$D$2:$D$4501,(INT($J53)-1)*ROWS(_怪物类型!$A$2:$A$10)+MATCH($F53,_怪物类型!$A$2:$A$10,0))*IF($K53="",1,$K53),""))</f>
        <v>24840.4143286295</v>
      </c>
      <c r="T53" s="46">
        <f>IF(OR($J53="",$F53="不适用"),"",IFERROR(INDEX(_怪物模型!$E$2:$E$4501,(INT($J53)-1)*ROWS(_怪物类型!$A$2:$A$10)+MATCH($F53,_怪物类型!$A$2:$A$10,0))*IF($L53="",1,$L53),""))</f>
        <v>4781.09338284536</v>
      </c>
      <c r="U53" s="46">
        <f>IF(OR($J53="",$F53="不适用"),"",IFERROR(INDEX(_怪物模型!$F$2:$F$4501,(INT($J53)-1)*ROWS(_怪物类型!$A$2:$A$10)+MATCH($F53,_怪物类型!$A$2:$A$10,0))*IF($M53="",1,$M53),""))</f>
        <v>6633</v>
      </c>
      <c r="V53" s="47">
        <f t="shared" si="1"/>
        <v>0.216531191851924</v>
      </c>
      <c r="W53" s="48">
        <f t="shared" si="2"/>
        <v>31705.6838387045</v>
      </c>
      <c r="X53" s="48">
        <f t="shared" si="3"/>
        <v>0.334720577954478</v>
      </c>
      <c r="Y53" s="48">
        <f t="shared" si="4"/>
        <v>47.0460792667153</v>
      </c>
      <c r="Z53" s="49" t="str">
        <f t="shared" si="5"/>
        <v/>
      </c>
      <c r="AA53" s="30" t="str">
        <f t="shared" si="6"/>
        <v>已计算</v>
      </c>
      <c r="AB53" s="30" t="str">
        <f t="shared" si="7"/>
        <v>有效</v>
      </c>
      <c r="AC53" s="30" t="str">
        <f t="shared" si="8"/>
        <v/>
      </c>
      <c r="AD53" s="31" t="s">
        <v>304</v>
      </c>
      <c r="AE53">
        <v>53400</v>
      </c>
      <c r="AF53">
        <f>INDEX(_统一战力!$B$2:$B$501,J53)</f>
        <v>115000</v>
      </c>
    </row>
    <row r="54" ht="25" customHeight="1" spans="1:32">
      <c r="A54" s="30" t="s">
        <v>150</v>
      </c>
      <c r="B54" s="30" t="s">
        <v>51</v>
      </c>
      <c r="C54" s="31" t="s">
        <v>274</v>
      </c>
      <c r="D54" s="31" t="s">
        <v>305</v>
      </c>
      <c r="E54" s="31" t="s">
        <v>306</v>
      </c>
      <c r="F54" s="30" t="s">
        <v>154</v>
      </c>
      <c r="G54" s="40">
        <v>50</v>
      </c>
      <c r="H54" s="41"/>
      <c r="I54" s="42">
        <f t="shared" si="0"/>
        <v>50</v>
      </c>
      <c r="J54" s="43">
        <v>81</v>
      </c>
      <c r="K54" s="44">
        <v>1.01403379544631</v>
      </c>
      <c r="L54" s="44">
        <v>0.991937230662311</v>
      </c>
      <c r="M54" s="44">
        <v>1</v>
      </c>
      <c r="N54" s="45"/>
      <c r="O54" s="45"/>
      <c r="P54" s="45"/>
      <c r="Q54" s="46">
        <f>IF($I54="","",IFERROR(INDEX(_玩家曲线!$H$2:$H$286,MATCH($I54,_玩家曲线!$A$2:$A$286,0)),""))</f>
        <v>99275.8918555477</v>
      </c>
      <c r="R54" s="46">
        <f>IF($I54="","",IFERROR(INDEX(_玩家曲线!$I$2:$I$286,MATCH($I54,_玩家曲线!$A$2:$A$286,0)),""))</f>
        <v>233634.331383281</v>
      </c>
      <c r="S54" s="46">
        <f>IF(OR($J54="",$F54="不适用"),"",IFERROR(INDEX(_怪物模型!$D$2:$D$4501,(INT($J54)-1)*ROWS(_怪物类型!$A$2:$A$10)+MATCH($F54,_怪物类型!$A$2:$A$10,0))*IF($K54="",1,$K54),""))</f>
        <v>25822.3706010403</v>
      </c>
      <c r="T54" s="46">
        <f>IF(OR($J54="",$F54="不适用"),"",IFERROR(INDEX(_怪物模型!$E$2:$E$4501,(INT($J54)-1)*ROWS(_怪物类型!$A$2:$A$10)+MATCH($F54,_怪物类型!$A$2:$A$10,0))*IF($L54="",1,$L54),""))</f>
        <v>4933.89578531433</v>
      </c>
      <c r="U54" s="46">
        <f>IF(OR($J54="",$F54="不适用"),"",IFERROR(INDEX(_怪物模型!$F$2:$F$4501,(INT($J54)-1)*ROWS(_怪物类型!$A$2:$A$10)+MATCH($F54,_怪物类型!$A$2:$A$10,0))*IF($M54="",1,$M54),""))</f>
        <v>6726</v>
      </c>
      <c r="V54" s="47">
        <f t="shared" si="1"/>
        <v>0.218902558094122</v>
      </c>
      <c r="W54" s="48">
        <f t="shared" si="2"/>
        <v>33059.0899619818</v>
      </c>
      <c r="X54" s="48">
        <f t="shared" si="3"/>
        <v>0.33300219563965</v>
      </c>
      <c r="Y54" s="48">
        <f t="shared" si="4"/>
        <v>47.352911684655</v>
      </c>
      <c r="Z54" s="49" t="str">
        <f t="shared" si="5"/>
        <v/>
      </c>
      <c r="AA54" s="30" t="str">
        <f t="shared" si="6"/>
        <v>已计算</v>
      </c>
      <c r="AB54" s="30" t="str">
        <f t="shared" si="7"/>
        <v>有效</v>
      </c>
      <c r="AC54" s="30" t="str">
        <f t="shared" si="8"/>
        <v/>
      </c>
      <c r="AD54" s="31" t="s">
        <v>307</v>
      </c>
      <c r="AE54">
        <v>55200</v>
      </c>
      <c r="AF54">
        <f>INDEX(_统一战力!$B$2:$B$501,J54)</f>
        <v>120000</v>
      </c>
    </row>
    <row r="55" ht="25" customHeight="1" spans="1:32">
      <c r="A55" s="30" t="s">
        <v>150</v>
      </c>
      <c r="B55" s="30" t="s">
        <v>51</v>
      </c>
      <c r="C55" s="31" t="s">
        <v>274</v>
      </c>
      <c r="D55" s="31" t="s">
        <v>308</v>
      </c>
      <c r="E55" s="31" t="s">
        <v>309</v>
      </c>
      <c r="F55" s="30" t="s">
        <v>154</v>
      </c>
      <c r="G55" s="40">
        <v>51</v>
      </c>
      <c r="H55" s="41"/>
      <c r="I55" s="42">
        <f t="shared" si="0"/>
        <v>51</v>
      </c>
      <c r="J55" s="43">
        <v>83</v>
      </c>
      <c r="K55" s="44">
        <v>1.00660220959022</v>
      </c>
      <c r="L55" s="44">
        <v>0.991167860984212</v>
      </c>
      <c r="M55" s="44">
        <v>1</v>
      </c>
      <c r="N55" s="45"/>
      <c r="O55" s="45"/>
      <c r="P55" s="45"/>
      <c r="Q55" s="46">
        <f>IF($I55="","",IFERROR(INDEX(_玩家曲线!$H$2:$H$286,MATCH($I55,_玩家曲线!$A$2:$A$286,0)),""))</f>
        <v>103974.326837061</v>
      </c>
      <c r="R55" s="46">
        <f>IF($I55="","",IFERROR(INDEX(_玩家曲线!$I$2:$I$286,MATCH($I55,_玩家曲线!$A$2:$A$286,0)),""))</f>
        <v>242529.808969776</v>
      </c>
      <c r="S55" s="46">
        <f>IF(OR($J55="",$F55="不适用"),"",IFERROR(INDEX(_怪物模型!$D$2:$D$4501,(INT($J55)-1)*ROWS(_怪物类型!$A$2:$A$10)+MATCH($F55,_怪物类型!$A$2:$A$10,0))*IF($K55="",1,$K55),""))</f>
        <v>26773.6055706807</v>
      </c>
      <c r="T55" s="46">
        <f>IF(OR($J55="",$F55="不适用"),"",IFERROR(INDEX(_怪物模型!$E$2:$E$4501,(INT($J55)-1)*ROWS(_怪物类型!$A$2:$A$10)+MATCH($F55,_怪物类型!$A$2:$A$10,0))*IF($L55="",1,$L55),""))</f>
        <v>5092.62046973688</v>
      </c>
      <c r="U55" s="46">
        <f>IF(OR($J55="",$F55="不适用"),"",IFERROR(INDEX(_怪物模型!$F$2:$F$4501,(INT($J55)-1)*ROWS(_怪物类型!$A$2:$A$10)+MATCH($F55,_怪物类型!$A$2:$A$10,0))*IF($M55="",1,$M55),""))</f>
        <v>6911</v>
      </c>
      <c r="V55" s="47">
        <f t="shared" si="1"/>
        <v>0.223577367280256</v>
      </c>
      <c r="W55" s="48">
        <f t="shared" si="2"/>
        <v>34483.2884081379</v>
      </c>
      <c r="X55" s="48">
        <f t="shared" si="3"/>
        <v>0.331651951564707</v>
      </c>
      <c r="Y55" s="48">
        <f t="shared" si="4"/>
        <v>47.6237745206068</v>
      </c>
      <c r="Z55" s="49" t="str">
        <f t="shared" si="5"/>
        <v/>
      </c>
      <c r="AA55" s="30" t="str">
        <f t="shared" si="6"/>
        <v>已计算</v>
      </c>
      <c r="AB55" s="30" t="str">
        <f t="shared" si="7"/>
        <v>有效</v>
      </c>
      <c r="AC55" s="30" t="str">
        <f t="shared" si="8"/>
        <v/>
      </c>
      <c r="AD55" s="31" t="s">
        <v>310</v>
      </c>
      <c r="AE55">
        <v>57000</v>
      </c>
      <c r="AF55">
        <f>INDEX(_统一战力!$B$2:$B$501,J55)</f>
        <v>125000</v>
      </c>
    </row>
    <row r="56" ht="25" customHeight="1" spans="1:32">
      <c r="A56" s="30" t="s">
        <v>150</v>
      </c>
      <c r="B56" s="30" t="s">
        <v>51</v>
      </c>
      <c r="C56" s="31" t="s">
        <v>274</v>
      </c>
      <c r="D56" s="31" t="s">
        <v>311</v>
      </c>
      <c r="E56" s="31" t="s">
        <v>312</v>
      </c>
      <c r="F56" s="30" t="s">
        <v>154</v>
      </c>
      <c r="G56" s="40">
        <v>52</v>
      </c>
      <c r="H56" s="41"/>
      <c r="I56" s="42">
        <f t="shared" si="0"/>
        <v>52</v>
      </c>
      <c r="J56" s="43">
        <v>85</v>
      </c>
      <c r="K56" s="44">
        <v>1.00026325484935</v>
      </c>
      <c r="L56" s="44">
        <v>0.991211638477307</v>
      </c>
      <c r="M56" s="44">
        <v>1</v>
      </c>
      <c r="N56" s="45"/>
      <c r="O56" s="45"/>
      <c r="P56" s="45"/>
      <c r="Q56" s="46">
        <f>IF($I56="","",IFERROR(INDEX(_玩家曲线!$H$2:$H$286,MATCH($I56,_玩家曲线!$A$2:$A$286,0)),""))</f>
        <v>108821.889866361</v>
      </c>
      <c r="R56" s="46">
        <f>IF($I56="","",IFERROR(INDEX(_玩家曲线!$I$2:$I$286,MATCH($I56,_玩家曲线!$A$2:$A$286,0)),""))</f>
        <v>251620.793711101</v>
      </c>
      <c r="S56" s="46">
        <f>IF(OR($J56="",$F56="不适用"),"",IFERROR(INDEX(_怪物模型!$D$2:$D$4501,(INT($J56)-1)*ROWS(_怪物类型!$A$2:$A$10)+MATCH($F56,_怪物类型!$A$2:$A$10,0))*IF($K56="",1,$K56),""))</f>
        <v>27767.307954618</v>
      </c>
      <c r="T56" s="46">
        <f>IF(OR($J56="",$F56="不适用"),"",IFERROR(INDEX(_怪物模型!$E$2:$E$4501,(INT($J56)-1)*ROWS(_怪物类型!$A$2:$A$10)+MATCH($F56,_怪物类型!$A$2:$A$10,0))*IF($L56="",1,$L56),""))</f>
        <v>5257.38653048364</v>
      </c>
      <c r="U56" s="46">
        <f>IF(OR($J56="",$F56="不适用"),"",IFERROR(INDEX(_怪物模型!$F$2:$F$4501,(INT($J56)-1)*ROWS(_怪物类型!$A$2:$A$10)+MATCH($F56,_怪物类型!$A$2:$A$10,0))*IF($M56="",1,$M56),""))</f>
        <v>7096</v>
      </c>
      <c r="V56" s="47">
        <f t="shared" si="1"/>
        <v>0.228196552611268</v>
      </c>
      <c r="W56" s="48">
        <f t="shared" si="2"/>
        <v>35977.1753398667</v>
      </c>
      <c r="X56" s="48">
        <f t="shared" si="3"/>
        <v>0.330606051632153</v>
      </c>
      <c r="Y56" s="48">
        <f t="shared" si="4"/>
        <v>47.8604326031843</v>
      </c>
      <c r="Z56" s="49" t="str">
        <f t="shared" si="5"/>
        <v/>
      </c>
      <c r="AA56" s="30" t="str">
        <f t="shared" si="6"/>
        <v>已计算</v>
      </c>
      <c r="AB56" s="30" t="str">
        <f t="shared" si="7"/>
        <v>有效</v>
      </c>
      <c r="AC56" s="30" t="str">
        <f t="shared" si="8"/>
        <v/>
      </c>
      <c r="AD56" s="31" t="s">
        <v>313</v>
      </c>
      <c r="AE56">
        <v>58800</v>
      </c>
      <c r="AF56">
        <f>INDEX(_统一战力!$B$2:$B$501,J56)</f>
        <v>131000</v>
      </c>
    </row>
    <row r="57" ht="25" customHeight="1" spans="1:32">
      <c r="A57" s="30" t="s">
        <v>150</v>
      </c>
      <c r="B57" s="30" t="s">
        <v>51</v>
      </c>
      <c r="C57" s="31" t="s">
        <v>274</v>
      </c>
      <c r="D57" s="31" t="s">
        <v>314</v>
      </c>
      <c r="E57" s="31" t="s">
        <v>315</v>
      </c>
      <c r="F57" s="30" t="s">
        <v>154</v>
      </c>
      <c r="G57" s="40">
        <v>53</v>
      </c>
      <c r="H57" s="41"/>
      <c r="I57" s="42">
        <f t="shared" si="0"/>
        <v>53</v>
      </c>
      <c r="J57" s="43">
        <v>87</v>
      </c>
      <c r="K57" s="44">
        <v>0.994876590867858</v>
      </c>
      <c r="L57" s="44">
        <v>0.99232065736176</v>
      </c>
      <c r="M57" s="44">
        <v>1</v>
      </c>
      <c r="N57" s="45"/>
      <c r="O57" s="45"/>
      <c r="P57" s="45"/>
      <c r="Q57" s="46">
        <f>IF($I57="","",IFERROR(INDEX(_玩家曲线!$H$2:$H$286,MATCH($I57,_玩家曲线!$A$2:$A$286,0)),""))</f>
        <v>113822.405455727</v>
      </c>
      <c r="R57" s="46">
        <f>IF($I57="","",IFERROR(INDEX(_玩家曲线!$I$2:$I$286,MATCH($I57,_玩家曲线!$A$2:$A$286,0)),""))</f>
        <v>260909.970617466</v>
      </c>
      <c r="S57" s="46">
        <f>IF(OR($J57="",$F57="不适用"),"",IFERROR(INDEX(_怪物模型!$D$2:$D$4501,(INT($J57)-1)*ROWS(_怪物类型!$A$2:$A$10)+MATCH($F57,_怪物类型!$A$2:$A$10,0))*IF($K57="",1,$K57),""))</f>
        <v>28805.656811988</v>
      </c>
      <c r="T57" s="46">
        <f>IF(OR($J57="",$F57="不适用"),"",IFERROR(INDEX(_怪物模型!$E$2:$E$4501,(INT($J57)-1)*ROWS(_怪物类型!$A$2:$A$10)+MATCH($F57,_怪物类型!$A$2:$A$10,0))*IF($L57="",1,$L57),""))</f>
        <v>5428.98631642619</v>
      </c>
      <c r="U57" s="46">
        <f>IF(OR($J57="",$F57="不适用"),"",IFERROR(INDEX(_怪物模型!$F$2:$F$4501,(INT($J57)-1)*ROWS(_怪物类型!$A$2:$A$10)+MATCH($F57,_怪物类型!$A$2:$A$10,0))*IF($M57="",1,$M57),""))</f>
        <v>7283</v>
      </c>
      <c r="V57" s="47">
        <f t="shared" si="1"/>
        <v>0.232810152478982</v>
      </c>
      <c r="W57" s="48">
        <f t="shared" si="2"/>
        <v>37546.9734187258</v>
      </c>
      <c r="X57" s="48">
        <f t="shared" si="3"/>
        <v>0.329873308057352</v>
      </c>
      <c r="Y57" s="48">
        <f t="shared" si="4"/>
        <v>48.0586900409096</v>
      </c>
      <c r="Z57" s="49" t="str">
        <f t="shared" si="5"/>
        <v/>
      </c>
      <c r="AA57" s="30" t="str">
        <f t="shared" si="6"/>
        <v>已计算</v>
      </c>
      <c r="AB57" s="30" t="str">
        <f t="shared" si="7"/>
        <v>有效</v>
      </c>
      <c r="AC57" s="30" t="str">
        <f t="shared" si="8"/>
        <v/>
      </c>
      <c r="AD57" s="31" t="s">
        <v>316</v>
      </c>
      <c r="AE57">
        <v>60600</v>
      </c>
      <c r="AF57">
        <f>INDEX(_统一战力!$B$2:$B$501,J57)</f>
        <v>136000</v>
      </c>
    </row>
    <row r="58" ht="25" customHeight="1" spans="1:32">
      <c r="A58" s="30" t="s">
        <v>150</v>
      </c>
      <c r="B58" s="30" t="s">
        <v>51</v>
      </c>
      <c r="C58" s="31" t="s">
        <v>274</v>
      </c>
      <c r="D58" s="31" t="s">
        <v>317</v>
      </c>
      <c r="E58" s="31" t="s">
        <v>318</v>
      </c>
      <c r="F58" s="30" t="s">
        <v>164</v>
      </c>
      <c r="G58" s="40">
        <v>54</v>
      </c>
      <c r="H58" s="41"/>
      <c r="I58" s="42">
        <f t="shared" si="0"/>
        <v>54</v>
      </c>
      <c r="J58" s="43">
        <v>93</v>
      </c>
      <c r="K58" s="44">
        <v>1.16195319678902</v>
      </c>
      <c r="L58" s="44">
        <v>0.815943846076271</v>
      </c>
      <c r="M58" s="44">
        <v>1</v>
      </c>
      <c r="N58" s="45"/>
      <c r="O58" s="45"/>
      <c r="P58" s="45"/>
      <c r="Q58" s="46">
        <f>IF($I58="","",IFERROR(INDEX(_玩家曲线!$H$2:$H$286,MATCH($I58,_玩家曲线!$A$2:$A$286,0)),""))</f>
        <v>118979.779231941</v>
      </c>
      <c r="R58" s="46">
        <f>IF($I58="","",IFERROR(INDEX(_玩家曲线!$I$2:$I$286,MATCH($I58,_玩家曲线!$A$2:$A$286,0)),""))</f>
        <v>270400.047091314</v>
      </c>
      <c r="S58" s="46">
        <f>IF(OR($J58="",$F58="不适用"),"",IFERROR(INDEX(_怪物模型!$D$2:$D$4501,(INT($J58)-1)*ROWS(_怪物类型!$A$2:$A$10)+MATCH($F58,_怪物类型!$A$2:$A$10,0))*IF($K58="",1,$K58),""))</f>
        <v>2894457.94789096</v>
      </c>
      <c r="T58" s="46">
        <f>IF(OR($J58="",$F58="不适用"),"",IFERROR(INDEX(_怪物模型!$E$2:$E$4501,(INT($J58)-1)*ROWS(_怪物类型!$A$2:$A$10)+MATCH($F58,_怪物类型!$A$2:$A$10,0))*IF($L58="",1,$L58),""))</f>
        <v>5772.80271098962</v>
      </c>
      <c r="U58" s="46">
        <f>IF(OR($J58="",$F58="不适用"),"",IFERROR(INDEX(_怪物模型!$F$2:$F$4501,(INT($J58)-1)*ROWS(_怪物类型!$A$2:$A$10)+MATCH($F58,_怪物类型!$A$2:$A$10,0))*IF($M58="",1,$M58),""))</f>
        <v>7849</v>
      </c>
      <c r="V58" s="47">
        <f t="shared" si="1"/>
        <v>0.246444158372319</v>
      </c>
      <c r="W58" s="48">
        <f t="shared" si="2"/>
        <v>3841066.2992658</v>
      </c>
      <c r="X58" s="48">
        <f t="shared" si="3"/>
        <v>32.2833537266695</v>
      </c>
      <c r="Y58" s="48">
        <f t="shared" si="4"/>
        <v>46.8403409277363</v>
      </c>
      <c r="Z58" s="49" t="str">
        <f t="shared" si="5"/>
        <v/>
      </c>
      <c r="AA58" s="30" t="str">
        <f t="shared" si="6"/>
        <v>已计算</v>
      </c>
      <c r="AB58" s="30" t="str">
        <f t="shared" si="7"/>
        <v>有效</v>
      </c>
      <c r="AC58" s="30" t="str">
        <f t="shared" si="8"/>
        <v/>
      </c>
      <c r="AD58" s="31" t="s">
        <v>319</v>
      </c>
      <c r="AE58">
        <v>62400</v>
      </c>
      <c r="AF58">
        <f>INDEX(_统一战力!$B$2:$B$501,J58)</f>
        <v>142000</v>
      </c>
    </row>
    <row r="59" ht="25" customHeight="1" spans="1:32">
      <c r="A59" s="30" t="s">
        <v>150</v>
      </c>
      <c r="B59" s="30" t="s">
        <v>51</v>
      </c>
      <c r="C59" s="31" t="s">
        <v>320</v>
      </c>
      <c r="D59" s="31" t="s">
        <v>321</v>
      </c>
      <c r="E59" s="31" t="s">
        <v>322</v>
      </c>
      <c r="F59" s="30" t="s">
        <v>154</v>
      </c>
      <c r="G59" s="40">
        <v>55</v>
      </c>
      <c r="H59" s="41"/>
      <c r="I59" s="42">
        <f t="shared" si="0"/>
        <v>55</v>
      </c>
      <c r="J59" s="43">
        <v>93</v>
      </c>
      <c r="K59" s="44">
        <v>0.936658371360033</v>
      </c>
      <c r="L59" s="44">
        <v>0.962059581842655</v>
      </c>
      <c r="M59" s="44">
        <v>1</v>
      </c>
      <c r="N59" s="45"/>
      <c r="O59" s="45"/>
      <c r="P59" s="45"/>
      <c r="Q59" s="46">
        <f>IF($I59="","",IFERROR(INDEX(_玩家曲线!$H$2:$H$286,MATCH($I59,_玩家曲线!$A$2:$A$286,0)),""))</f>
        <v>123546.244245202</v>
      </c>
      <c r="R59" s="46">
        <f>IF($I59="","",IFERROR(INDEX(_玩家曲线!$I$2:$I$286,MATCH($I59,_玩家曲线!$A$2:$A$286,0)),""))</f>
        <v>278746.593810699</v>
      </c>
      <c r="S59" s="46">
        <f>IF(OR($J59="",$F59="不适用"),"",IFERROR(INDEX(_怪物模型!$D$2:$D$4501,(INT($J59)-1)*ROWS(_怪物类型!$A$2:$A$10)+MATCH($F59,_怪物类型!$A$2:$A$10,0))*IF($K59="",1,$K59),""))</f>
        <v>30652.1452027571</v>
      </c>
      <c r="T59" s="46">
        <f>IF(OR($J59="",$F59="不适用"),"",IFERROR(INDEX(_怪物模型!$E$2:$E$4501,(INT($J59)-1)*ROWS(_怪物类型!$A$2:$A$10)+MATCH($F59,_怪物类型!$A$2:$A$10,0))*IF($L59="",1,$L59),""))</f>
        <v>5762.7368952375</v>
      </c>
      <c r="U59" s="46">
        <f>IF(OR($J59="",$F59="不适用"),"",IFERROR(INDEX(_怪物模型!$F$2:$F$4501,(INT($J59)-1)*ROWS(_怪物类型!$A$2:$A$10)+MATCH($F59,_怪物类型!$A$2:$A$10,0))*IF($M59="",1,$M59),""))</f>
        <v>7849</v>
      </c>
      <c r="V59" s="47">
        <f t="shared" si="1"/>
        <v>0.246444158372319</v>
      </c>
      <c r="W59" s="48">
        <f t="shared" si="2"/>
        <v>40676.6738567754</v>
      </c>
      <c r="X59" s="48">
        <f t="shared" si="3"/>
        <v>0.329242496243306</v>
      </c>
      <c r="Y59" s="48">
        <f t="shared" si="4"/>
        <v>48.3705223538946</v>
      </c>
      <c r="Z59" s="49" t="str">
        <f t="shared" si="5"/>
        <v/>
      </c>
      <c r="AA59" s="30" t="str">
        <f t="shared" si="6"/>
        <v>已计算</v>
      </c>
      <c r="AB59" s="30" t="str">
        <f t="shared" si="7"/>
        <v>有效</v>
      </c>
      <c r="AC59" s="30" t="str">
        <f t="shared" si="8"/>
        <v/>
      </c>
      <c r="AD59" s="31" t="s">
        <v>323</v>
      </c>
      <c r="AE59">
        <v>64600</v>
      </c>
      <c r="AF59">
        <f>INDEX(_统一战力!$B$2:$B$501,J59)</f>
        <v>142000</v>
      </c>
    </row>
    <row r="60" ht="25" customHeight="1" spans="1:32">
      <c r="A60" s="30" t="s">
        <v>150</v>
      </c>
      <c r="B60" s="30" t="s">
        <v>51</v>
      </c>
      <c r="C60" s="31" t="s">
        <v>320</v>
      </c>
      <c r="D60" s="31" t="s">
        <v>324</v>
      </c>
      <c r="E60" s="31" t="s">
        <v>325</v>
      </c>
      <c r="F60" s="30" t="s">
        <v>154</v>
      </c>
      <c r="G60" s="40">
        <v>56</v>
      </c>
      <c r="H60" s="41"/>
      <c r="I60" s="42">
        <f t="shared" si="0"/>
        <v>56</v>
      </c>
      <c r="J60" s="43">
        <v>93</v>
      </c>
      <c r="K60" s="44">
        <v>0.969095971372215</v>
      </c>
      <c r="L60" s="44">
        <v>0.986555548364361</v>
      </c>
      <c r="M60" s="44">
        <v>1</v>
      </c>
      <c r="N60" s="45"/>
      <c r="O60" s="45"/>
      <c r="P60" s="45"/>
      <c r="Q60" s="46">
        <f>IF($I60="","",IFERROR(INDEX(_玩家曲线!$H$2:$H$286,MATCH($I60,_玩家曲线!$A$2:$A$286,0)),""))</f>
        <v>127797.09981723</v>
      </c>
      <c r="R60" s="46">
        <f>IF($I60="","",IFERROR(INDEX(_玩家曲线!$I$2:$I$286,MATCH($I60,_玩家曲线!$A$2:$A$286,0)),""))</f>
        <v>286466.971429899</v>
      </c>
      <c r="S60" s="46">
        <f>IF(OR($J60="",$F60="不适用"),"",IFERROR(INDEX(_怪物模型!$D$2:$D$4501,(INT($J60)-1)*ROWS(_怪物类型!$A$2:$A$10)+MATCH($F60,_怪物类型!$A$2:$A$10,0))*IF($K60="",1,$K60),""))</f>
        <v>31713.6656631557</v>
      </c>
      <c r="T60" s="46">
        <f>IF(OR($J60="",$F60="不适用"),"",IFERROR(INDEX(_怪物模型!$E$2:$E$4501,(INT($J60)-1)*ROWS(_怪物类型!$A$2:$A$10)+MATCH($F60,_怪物类型!$A$2:$A$10,0))*IF($L60="",1,$L60),""))</f>
        <v>5909.46773470252</v>
      </c>
      <c r="U60" s="46">
        <f>IF(OR($J60="",$F60="不适用"),"",IFERROR(INDEX(_怪物模型!$F$2:$F$4501,(INT($J60)-1)*ROWS(_怪物类型!$A$2:$A$10)+MATCH($F60,_怪物类型!$A$2:$A$10,0))*IF($M60="",1,$M60),""))</f>
        <v>7849</v>
      </c>
      <c r="V60" s="47">
        <f t="shared" si="1"/>
        <v>0.246444158372319</v>
      </c>
      <c r="W60" s="48">
        <f t="shared" si="2"/>
        <v>42085.3557377436</v>
      </c>
      <c r="X60" s="48">
        <f t="shared" si="3"/>
        <v>0.329313856088537</v>
      </c>
      <c r="Y60" s="48">
        <f t="shared" si="4"/>
        <v>48.4759346002791</v>
      </c>
      <c r="Z60" s="49" t="str">
        <f t="shared" si="5"/>
        <v/>
      </c>
      <c r="AA60" s="30" t="str">
        <f t="shared" si="6"/>
        <v>已计算</v>
      </c>
      <c r="AB60" s="30" t="str">
        <f t="shared" si="7"/>
        <v>有效</v>
      </c>
      <c r="AC60" s="30" t="str">
        <f t="shared" si="8"/>
        <v/>
      </c>
      <c r="AD60" s="31" t="s">
        <v>326</v>
      </c>
      <c r="AE60">
        <v>66800</v>
      </c>
      <c r="AF60">
        <f>INDEX(_统一战力!$B$2:$B$501,J60)</f>
        <v>142000</v>
      </c>
    </row>
    <row r="61" ht="25" customHeight="1" spans="1:32">
      <c r="A61" s="30" t="s">
        <v>150</v>
      </c>
      <c r="B61" s="30" t="s">
        <v>51</v>
      </c>
      <c r="C61" s="31" t="s">
        <v>320</v>
      </c>
      <c r="D61" s="31" t="s">
        <v>327</v>
      </c>
      <c r="E61" s="31" t="s">
        <v>328</v>
      </c>
      <c r="F61" s="30" t="s">
        <v>154</v>
      </c>
      <c r="G61" s="40">
        <v>57</v>
      </c>
      <c r="H61" s="41"/>
      <c r="I61" s="42">
        <f t="shared" si="0"/>
        <v>57</v>
      </c>
      <c r="J61" s="43">
        <v>93</v>
      </c>
      <c r="K61" s="44">
        <v>0.983631847188018</v>
      </c>
      <c r="L61" s="44">
        <v>0.997481495768458</v>
      </c>
      <c r="M61" s="44">
        <v>1</v>
      </c>
      <c r="N61" s="45"/>
      <c r="O61" s="45"/>
      <c r="P61" s="45"/>
      <c r="Q61" s="46">
        <f>IF($I61="","",IFERROR(INDEX(_玩家曲线!$H$2:$H$286,MATCH($I61,_玩家曲线!$A$2:$A$286,0)),""))</f>
        <v>132150.182793862</v>
      </c>
      <c r="R61" s="46">
        <f>IF($I61="","",IFERROR(INDEX(_玩家曲线!$I$2:$I$286,MATCH($I61,_玩家曲线!$A$2:$A$286,0)),""))</f>
        <v>294315.434812568</v>
      </c>
      <c r="S61" s="46">
        <f>IF(OR($J61="",$F61="不适用"),"",IFERROR(INDEX(_怪物模型!$D$2:$D$4501,(INT($J61)-1)*ROWS(_怪物类型!$A$2:$A$10)+MATCH($F61,_怪物类型!$A$2:$A$10,0))*IF($K61="",1,$K61),""))</f>
        <v>32189.3521992279</v>
      </c>
      <c r="T61" s="46">
        <f>IF(OR($J61="",$F61="不适用"),"",IFERROR(INDEX(_怪物模型!$E$2:$E$4501,(INT($J61)-1)*ROWS(_怪物类型!$A$2:$A$10)+MATCH($F61,_怪物类型!$A$2:$A$10,0))*IF($L61="",1,$L61),""))</f>
        <v>5974.91415965306</v>
      </c>
      <c r="U61" s="46">
        <f>IF(OR($J61="",$F61="不适用"),"",IFERROR(INDEX(_怪物模型!$F$2:$F$4501,(INT($J61)-1)*ROWS(_怪物类型!$A$2:$A$10)+MATCH($F61,_怪物类型!$A$2:$A$10,0))*IF($M61="",1,$M61),""))</f>
        <v>7849</v>
      </c>
      <c r="V61" s="47">
        <f t="shared" si="1"/>
        <v>0.246444158372319</v>
      </c>
      <c r="W61" s="48">
        <f t="shared" si="2"/>
        <v>42716.6115913837</v>
      </c>
      <c r="X61" s="48">
        <f t="shared" si="3"/>
        <v>0.323242924741287</v>
      </c>
      <c r="Y61" s="48">
        <f t="shared" si="4"/>
        <v>49.2585210344943</v>
      </c>
      <c r="Z61" s="49" t="str">
        <f t="shared" si="5"/>
        <v/>
      </c>
      <c r="AA61" s="30" t="str">
        <f t="shared" si="6"/>
        <v>已计算</v>
      </c>
      <c r="AB61" s="30" t="str">
        <f t="shared" si="7"/>
        <v>有效</v>
      </c>
      <c r="AC61" s="30" t="str">
        <f t="shared" si="8"/>
        <v/>
      </c>
      <c r="AD61" s="31" t="s">
        <v>329</v>
      </c>
      <c r="AE61">
        <v>69100</v>
      </c>
      <c r="AF61">
        <f>INDEX(_统一战力!$B$2:$B$501,J61)</f>
        <v>142000</v>
      </c>
    </row>
    <row r="62" ht="25" customHeight="1" spans="1:32">
      <c r="A62" s="30" t="s">
        <v>150</v>
      </c>
      <c r="B62" s="30" t="s">
        <v>51</v>
      </c>
      <c r="C62" s="31" t="s">
        <v>320</v>
      </c>
      <c r="D62" s="31" t="s">
        <v>330</v>
      </c>
      <c r="E62" s="31" t="s">
        <v>331</v>
      </c>
      <c r="F62" s="30" t="s">
        <v>154</v>
      </c>
      <c r="G62" s="40">
        <v>58</v>
      </c>
      <c r="H62" s="41"/>
      <c r="I62" s="42">
        <f t="shared" si="0"/>
        <v>58</v>
      </c>
      <c r="J62" s="43">
        <v>94</v>
      </c>
      <c r="K62" s="44">
        <v>0.99564345599446</v>
      </c>
      <c r="L62" s="44">
        <v>1.00856960862941</v>
      </c>
      <c r="M62" s="44">
        <v>1</v>
      </c>
      <c r="N62" s="45"/>
      <c r="O62" s="45"/>
      <c r="P62" s="45"/>
      <c r="Q62" s="46">
        <f>IF($I62="","",IFERROR(INDEX(_玩家曲线!$H$2:$H$286,MATCH($I62,_玩家曲线!$A$2:$A$286,0)),""))</f>
        <v>136607.494103308</v>
      </c>
      <c r="R62" s="46">
        <f>IF($I62="","",IFERROR(INDEX(_玩家曲线!$I$2:$I$286,MATCH($I62,_玩家曲线!$A$2:$A$286,0)),""))</f>
        <v>302293.344300543</v>
      </c>
      <c r="S62" s="46">
        <f>IF(OR($J62="",$F62="不适用"),"",IFERROR(INDEX(_怪物模型!$D$2:$D$4501,(INT($J62)-1)*ROWS(_怪物类型!$A$2:$A$10)+MATCH($F62,_怪物类型!$A$2:$A$10,0))*IF($K62="",1,$K62),""))</f>
        <v>33237.5654914631</v>
      </c>
      <c r="T62" s="46">
        <f>IF(OR($J62="",$F62="不适用"),"",IFERROR(INDEX(_怪物模型!$E$2:$E$4501,(INT($J62)-1)*ROWS(_怪物类型!$A$2:$A$10)+MATCH($F62,_怪物类型!$A$2:$A$10,0))*IF($L62="",1,$L62),""))</f>
        <v>6131.09465085818</v>
      </c>
      <c r="U62" s="46">
        <f>IF(OR($J62="",$F62="不适用"),"",IFERROR(INDEX(_怪物模型!$F$2:$F$4501,(INT($J62)-1)*ROWS(_怪物类型!$A$2:$A$10)+MATCH($F62,_怪物类型!$A$2:$A$10,0))*IF($M62="",1,$M62),""))</f>
        <v>7944</v>
      </c>
      <c r="V62" s="47">
        <f t="shared" si="1"/>
        <v>0.248685199098422</v>
      </c>
      <c r="W62" s="48">
        <f t="shared" si="2"/>
        <v>44239.1996691373</v>
      </c>
      <c r="X62" s="48">
        <f t="shared" si="3"/>
        <v>0.323841674715751</v>
      </c>
      <c r="Y62" s="48">
        <f t="shared" si="4"/>
        <v>49.3049547454353</v>
      </c>
      <c r="Z62" s="49" t="str">
        <f t="shared" si="5"/>
        <v/>
      </c>
      <c r="AA62" s="30" t="str">
        <f t="shared" si="6"/>
        <v>已计算</v>
      </c>
      <c r="AB62" s="30" t="str">
        <f t="shared" si="7"/>
        <v>有效</v>
      </c>
      <c r="AC62" s="30" t="str">
        <f t="shared" si="8"/>
        <v/>
      </c>
      <c r="AD62" s="31" t="s">
        <v>332</v>
      </c>
      <c r="AE62">
        <v>71300</v>
      </c>
      <c r="AF62">
        <f>INDEX(_统一战力!$B$2:$B$501,J62)</f>
        <v>161000</v>
      </c>
    </row>
    <row r="63" ht="25" customHeight="1" spans="1:32">
      <c r="A63" s="30" t="s">
        <v>150</v>
      </c>
      <c r="B63" s="30" t="s">
        <v>51</v>
      </c>
      <c r="C63" s="31" t="s">
        <v>320</v>
      </c>
      <c r="D63" s="31" t="s">
        <v>333</v>
      </c>
      <c r="E63" s="31" t="s">
        <v>334</v>
      </c>
      <c r="F63" s="30" t="s">
        <v>154</v>
      </c>
      <c r="G63" s="40">
        <v>59</v>
      </c>
      <c r="H63" s="41"/>
      <c r="I63" s="42">
        <f t="shared" si="0"/>
        <v>59</v>
      </c>
      <c r="J63" s="43">
        <v>96</v>
      </c>
      <c r="K63" s="44">
        <v>0.985825707965177</v>
      </c>
      <c r="L63" s="44">
        <v>1.00569285499113</v>
      </c>
      <c r="M63" s="44">
        <v>1</v>
      </c>
      <c r="N63" s="45"/>
      <c r="O63" s="45"/>
      <c r="P63" s="45"/>
      <c r="Q63" s="46">
        <f>IF($I63="","",IFERROR(INDEX(_玩家曲线!$H$2:$H$286,MATCH($I63,_玩家曲线!$A$2:$A$286,0)),""))</f>
        <v>141171.066951545</v>
      </c>
      <c r="R63" s="46">
        <f>IF($I63="","",IFERROR(INDEX(_玩家曲线!$I$2:$I$286,MATCH($I63,_玩家曲线!$A$2:$A$286,0)),""))</f>
        <v>310402.069130767</v>
      </c>
      <c r="S63" s="46">
        <f>IF(OR($J63="",$F63="不适用"),"",IFERROR(INDEX(_怪物模型!$D$2:$D$4501,(INT($J63)-1)*ROWS(_怪物类型!$A$2:$A$10)+MATCH($F63,_怪物类型!$A$2:$A$10,0))*IF($K63="",1,$K63),""))</f>
        <v>34229.8402319669</v>
      </c>
      <c r="T63" s="46">
        <f>IF(OR($J63="",$F63="不适用"),"",IFERROR(INDEX(_怪物模型!$E$2:$E$4501,(INT($J63)-1)*ROWS(_怪物类型!$A$2:$A$10)+MATCH($F63,_怪物类型!$A$2:$A$10,0))*IF($L63="",1,$L63),""))</f>
        <v>6292.6201936795</v>
      </c>
      <c r="U63" s="46">
        <f>IF(OR($J63="",$F63="不适用"),"",IFERROR(INDEX(_怪物模型!$F$2:$F$4501,(INT($J63)-1)*ROWS(_怪物类型!$A$2:$A$10)+MATCH($F63,_怪物类型!$A$2:$A$10,0))*IF($M63="",1,$M63),""))</f>
        <v>8135</v>
      </c>
      <c r="V63" s="47">
        <f t="shared" si="1"/>
        <v>0.253150770188268</v>
      </c>
      <c r="W63" s="48">
        <f t="shared" si="2"/>
        <v>45832.3298272606</v>
      </c>
      <c r="X63" s="48">
        <f t="shared" si="3"/>
        <v>0.324658096145097</v>
      </c>
      <c r="Y63" s="48">
        <f t="shared" si="4"/>
        <v>49.3279523595822</v>
      </c>
      <c r="Z63" s="49" t="str">
        <f t="shared" si="5"/>
        <v/>
      </c>
      <c r="AA63" s="30" t="str">
        <f t="shared" si="6"/>
        <v>已计算</v>
      </c>
      <c r="AB63" s="30" t="str">
        <f t="shared" si="7"/>
        <v>有效</v>
      </c>
      <c r="AC63" s="30" t="str">
        <f t="shared" si="8"/>
        <v/>
      </c>
      <c r="AD63" s="31" t="s">
        <v>335</v>
      </c>
      <c r="AE63">
        <v>73500</v>
      </c>
      <c r="AF63">
        <f>INDEX(_统一战力!$B$2:$B$501,J63)</f>
        <v>166000</v>
      </c>
    </row>
    <row r="64" ht="25" customHeight="1" spans="1:32">
      <c r="A64" s="30" t="s">
        <v>150</v>
      </c>
      <c r="B64" s="30" t="s">
        <v>51</v>
      </c>
      <c r="C64" s="31" t="s">
        <v>320</v>
      </c>
      <c r="D64" s="31" t="s">
        <v>336</v>
      </c>
      <c r="E64" s="31" t="s">
        <v>337</v>
      </c>
      <c r="F64" s="30" t="s">
        <v>154</v>
      </c>
      <c r="G64" s="40">
        <v>60</v>
      </c>
      <c r="H64" s="41"/>
      <c r="I64" s="42">
        <f t="shared" si="0"/>
        <v>60</v>
      </c>
      <c r="J64" s="43">
        <v>97</v>
      </c>
      <c r="K64" s="44">
        <v>0.999010565688931</v>
      </c>
      <c r="L64" s="44">
        <v>1.01784087196355</v>
      </c>
      <c r="M64" s="44">
        <v>1</v>
      </c>
      <c r="N64" s="45"/>
      <c r="O64" s="45"/>
      <c r="P64" s="45"/>
      <c r="Q64" s="46">
        <f>IF($I64="","",IFERROR(INDEX(_玩家曲线!$H$2:$H$286,MATCH($I64,_玩家曲线!$A$2:$A$286,0)),""))</f>
        <v>145842.967208347</v>
      </c>
      <c r="R64" s="46">
        <f>IF($I64="","",IFERROR(INDEX(_玩家曲线!$I$2:$I$286,MATCH($I64,_玩家曲线!$A$2:$A$286,0)),""))</f>
        <v>318642.987455275</v>
      </c>
      <c r="S64" s="46">
        <f>IF(OR($J64="",$F64="不适用"),"",IFERROR(INDEX(_怪物模型!$D$2:$D$4501,(INT($J64)-1)*ROWS(_怪物类型!$A$2:$A$10)+MATCH($F64,_怪物类型!$A$2:$A$10,0))*IF($K64="",1,$K64),""))</f>
        <v>35368.9700676509</v>
      </c>
      <c r="T64" s="46">
        <f>IF(OR($J64="",$F64="不适用"),"",IFERROR(INDEX(_怪物模型!$E$2:$E$4501,(INT($J64)-1)*ROWS(_怪物类型!$A$2:$A$10)+MATCH($F64,_怪物类型!$A$2:$A$10,0))*IF($L64="",1,$L64),""))</f>
        <v>6460.23601435265</v>
      </c>
      <c r="U64" s="46">
        <f>IF(OR($J64="",$F64="不适用"),"",IFERROR(INDEX(_怪物模型!$F$2:$F$4501,(INT($J64)-1)*ROWS(_怪物类型!$A$2:$A$10)+MATCH($F64,_怪物类型!$A$2:$A$10,0))*IF($M64="",1,$M64),""))</f>
        <v>8231</v>
      </c>
      <c r="V64" s="47">
        <f t="shared" si="1"/>
        <v>0.255375259843008</v>
      </c>
      <c r="W64" s="48">
        <f t="shared" si="2"/>
        <v>47499.053093769</v>
      </c>
      <c r="X64" s="48">
        <f t="shared" si="3"/>
        <v>0.325686277528304</v>
      </c>
      <c r="Y64" s="48">
        <f t="shared" si="4"/>
        <v>49.3237378243378</v>
      </c>
      <c r="Z64" s="49" t="str">
        <f t="shared" si="5"/>
        <v/>
      </c>
      <c r="AA64" s="30" t="str">
        <f t="shared" si="6"/>
        <v>已计算</v>
      </c>
      <c r="AB64" s="30" t="str">
        <f t="shared" si="7"/>
        <v>有效</v>
      </c>
      <c r="AC64" s="30" t="str">
        <f t="shared" si="8"/>
        <v/>
      </c>
      <c r="AD64" s="31" t="s">
        <v>338</v>
      </c>
      <c r="AE64">
        <v>75800</v>
      </c>
      <c r="AF64">
        <f>INDEX(_统一战力!$B$2:$B$501,J64)</f>
        <v>170000</v>
      </c>
    </row>
    <row r="65" ht="25" customHeight="1" spans="1:32">
      <c r="A65" s="30" t="s">
        <v>150</v>
      </c>
      <c r="B65" s="30" t="s">
        <v>51</v>
      </c>
      <c r="C65" s="31" t="s">
        <v>320</v>
      </c>
      <c r="D65" s="31" t="s">
        <v>339</v>
      </c>
      <c r="E65" s="31" t="s">
        <v>340</v>
      </c>
      <c r="F65" s="30" t="s">
        <v>154</v>
      </c>
      <c r="G65" s="40">
        <v>61</v>
      </c>
      <c r="H65" s="41"/>
      <c r="I65" s="42">
        <f t="shared" si="0"/>
        <v>61</v>
      </c>
      <c r="J65" s="43">
        <v>99</v>
      </c>
      <c r="K65" s="44">
        <v>0.990624652227943</v>
      </c>
      <c r="L65" s="44">
        <v>1.01588660377241</v>
      </c>
      <c r="M65" s="44">
        <v>1</v>
      </c>
      <c r="N65" s="45"/>
      <c r="O65" s="45"/>
      <c r="P65" s="45"/>
      <c r="Q65" s="46">
        <f>IF($I65="","",IFERROR(INDEX(_玩家曲线!$H$2:$H$286,MATCH($I65,_玩家曲线!$A$2:$A$286,0)),""))</f>
        <v>150625.293796219</v>
      </c>
      <c r="R65" s="46">
        <f>IF($I65="","",IFERROR(INDEX(_玩家曲线!$I$2:$I$286,MATCH($I65,_玩家曲线!$A$2:$A$286,0)),""))</f>
        <v>327017.486361194</v>
      </c>
      <c r="S65" s="46">
        <f>IF(OR($J65="",$F65="不适用"),"",IFERROR(INDEX(_怪物模型!$D$2:$D$4501,(INT($J65)-1)*ROWS(_怪物类型!$A$2:$A$10)+MATCH($F65,_怪物类型!$A$2:$A$10,0))*IF($K65="",1,$K65),""))</f>
        <v>36449.0434540749</v>
      </c>
      <c r="T65" s="46">
        <f>IF(OR($J65="",$F65="不适用"),"",IFERROR(INDEX(_怪物模型!$E$2:$E$4501,(INT($J65)-1)*ROWS(_怪物类型!$A$2:$A$10)+MATCH($F65,_怪物类型!$A$2:$A$10,0))*IF($L65="",1,$L65),""))</f>
        <v>6632.72363603006</v>
      </c>
      <c r="U65" s="46">
        <f>IF(OR($J65="",$F65="不适用"),"",IFERROR(INDEX(_怪物模型!$F$2:$F$4501,(INT($J65)-1)*ROWS(_怪物类型!$A$2:$A$10)+MATCH($F65,_怪物类型!$A$2:$A$10,0))*IF($M65="",1,$M65),""))</f>
        <v>8423</v>
      </c>
      <c r="V65" s="47">
        <f t="shared" si="1"/>
        <v>0.259784720722944</v>
      </c>
      <c r="W65" s="48">
        <f t="shared" si="2"/>
        <v>49241.1389963113</v>
      </c>
      <c r="X65" s="48">
        <f t="shared" si="3"/>
        <v>0.326911488471051</v>
      </c>
      <c r="Y65" s="48">
        <f t="shared" si="4"/>
        <v>49.3036502508231</v>
      </c>
      <c r="Z65" s="49" t="str">
        <f t="shared" si="5"/>
        <v/>
      </c>
      <c r="AA65" s="30" t="str">
        <f t="shared" si="6"/>
        <v>已计算</v>
      </c>
      <c r="AB65" s="30" t="str">
        <f t="shared" si="7"/>
        <v>有效</v>
      </c>
      <c r="AC65" s="30" t="str">
        <f t="shared" si="8"/>
        <v/>
      </c>
      <c r="AD65" s="31" t="s">
        <v>341</v>
      </c>
      <c r="AE65">
        <v>78000</v>
      </c>
      <c r="AF65">
        <f>INDEX(_统一战力!$B$2:$B$501,J65)</f>
        <v>175000</v>
      </c>
    </row>
    <row r="66" ht="25" customHeight="1" spans="1:32">
      <c r="A66" s="30" t="s">
        <v>150</v>
      </c>
      <c r="B66" s="30" t="s">
        <v>51</v>
      </c>
      <c r="C66" s="31" t="s">
        <v>320</v>
      </c>
      <c r="D66" s="31" t="s">
        <v>342</v>
      </c>
      <c r="E66" s="31" t="s">
        <v>343</v>
      </c>
      <c r="F66" s="30" t="s">
        <v>154</v>
      </c>
      <c r="G66" s="40">
        <v>62</v>
      </c>
      <c r="H66" s="41"/>
      <c r="I66" s="42">
        <f t="shared" si="0"/>
        <v>62</v>
      </c>
      <c r="J66" s="43">
        <v>100</v>
      </c>
      <c r="K66" s="44">
        <v>0.986213384704065</v>
      </c>
      <c r="L66" s="44">
        <v>1.01486036890052</v>
      </c>
      <c r="M66" s="44">
        <v>1</v>
      </c>
      <c r="N66" s="45"/>
      <c r="O66" s="45"/>
      <c r="P66" s="45"/>
      <c r="Q66" s="46">
        <f>IF($I66="","",IFERROR(INDEX(_玩家曲线!$H$2:$H$286,MATCH($I66,_玩家曲线!$A$2:$A$286,0)),""))</f>
        <v>155520.17908224</v>
      </c>
      <c r="R66" s="46">
        <f>IF($I66="","",IFERROR(INDEX(_玩家曲线!$I$2:$I$286,MATCH($I66,_玩家曲线!$A$2:$A$286,0)),""))</f>
        <v>335526.961890732</v>
      </c>
      <c r="S66" s="46">
        <f>IF(OR($J66="",$F66="不适用"),"",IFERROR(INDEX(_怪物模型!$D$2:$D$4501,(INT($J66)-1)*ROWS(_怪物类型!$A$2:$A$10)+MATCH($F66,_怪物类型!$A$2:$A$10,0))*IF($K66="",1,$K66),""))</f>
        <v>36984.9743531718</v>
      </c>
      <c r="T66" s="46">
        <f>IF(OR($J66="",$F66="不适用"),"",IFERROR(INDEX(_怪物模型!$E$2:$E$4501,(INT($J66)-1)*ROWS(_怪物类型!$A$2:$A$10)+MATCH($F66,_怪物类型!$A$2:$A$10,0))*IF($L66="",1,$L66),""))</f>
        <v>6720.40536285924</v>
      </c>
      <c r="U66" s="46">
        <f>IF(OR($J66="",$F66="不适用"),"",IFERROR(INDEX(_怪物模型!$F$2:$F$4501,(INT($J66)-1)*ROWS(_怪物类型!$A$2:$A$10)+MATCH($F66,_怪物类型!$A$2:$A$10,0))*IF($M66="",1,$M66),""))</f>
        <v>8519</v>
      </c>
      <c r="V66" s="47">
        <f t="shared" si="1"/>
        <v>0.261969925274455</v>
      </c>
      <c r="W66" s="48">
        <f t="shared" si="2"/>
        <v>50113.0992079498</v>
      </c>
      <c r="X66" s="48">
        <f t="shared" si="3"/>
        <v>0.322228919125985</v>
      </c>
      <c r="Y66" s="48">
        <f t="shared" si="4"/>
        <v>49.9265957593933</v>
      </c>
      <c r="Z66" s="49" t="str">
        <f t="shared" si="5"/>
        <v/>
      </c>
      <c r="AA66" s="30" t="str">
        <f t="shared" si="6"/>
        <v>已计算</v>
      </c>
      <c r="AB66" s="30" t="str">
        <f t="shared" si="7"/>
        <v>有效</v>
      </c>
      <c r="AC66" s="30" t="str">
        <f t="shared" si="8"/>
        <v/>
      </c>
      <c r="AD66" s="31" t="s">
        <v>344</v>
      </c>
      <c r="AE66">
        <v>80300</v>
      </c>
      <c r="AF66">
        <f>INDEX(_统一战力!$B$2:$B$501,J66)</f>
        <v>180000</v>
      </c>
    </row>
    <row r="67" ht="25" customHeight="1" spans="1:32">
      <c r="A67" s="30" t="s">
        <v>150</v>
      </c>
      <c r="B67" s="30" t="s">
        <v>51</v>
      </c>
      <c r="C67" s="31" t="s">
        <v>320</v>
      </c>
      <c r="D67" s="31" t="s">
        <v>345</v>
      </c>
      <c r="E67" s="31" t="s">
        <v>346</v>
      </c>
      <c r="F67" s="30" t="s">
        <v>154</v>
      </c>
      <c r="G67" s="40">
        <v>63</v>
      </c>
      <c r="H67" s="41"/>
      <c r="I67" s="42">
        <f t="shared" si="0"/>
        <v>63</v>
      </c>
      <c r="J67" s="43">
        <v>101</v>
      </c>
      <c r="K67" s="44">
        <v>1.00094452750324</v>
      </c>
      <c r="L67" s="44">
        <v>1.02833807451501</v>
      </c>
      <c r="M67" s="44">
        <v>1</v>
      </c>
      <c r="N67" s="45"/>
      <c r="O67" s="45"/>
      <c r="P67" s="45"/>
      <c r="Q67" s="46">
        <f>IF($I67="","",IFERROR(INDEX(_玩家曲线!$H$2:$H$286,MATCH($I67,_玩家曲线!$A$2:$A$286,0)),""))</f>
        <v>160529.789272844</v>
      </c>
      <c r="R67" s="46">
        <f>IF($I67="","",IFERROR(INDEX(_玩家曲线!$I$2:$I$286,MATCH($I67,_玩家曲线!$A$2:$A$286,0)),""))</f>
        <v>344172.819061175</v>
      </c>
      <c r="S67" s="46">
        <f>IF(OR($J67="",$F67="不适用"),"",IFERROR(INDEX(_怪物模型!$D$2:$D$4501,(INT($J67)-1)*ROWS(_怪物类型!$A$2:$A$10)+MATCH($F67,_怪物类型!$A$2:$A$10,0))*IF($K67="",1,$K67),""))</f>
        <v>38255.0988966463</v>
      </c>
      <c r="T67" s="46">
        <f>IF(OR($J67="",$F67="不适用"),"",IFERROR(INDEX(_怪物模型!$E$2:$E$4501,(INT($J67)-1)*ROWS(_怪物类型!$A$2:$A$10)+MATCH($F67,_怪物类型!$A$2:$A$10,0))*IF($L67="",1,$L67),""))</f>
        <v>6904.26183229378</v>
      </c>
      <c r="U67" s="46">
        <f>IF(OR($J67="",$F67="不适用"),"",IFERROR(INDEX(_怪物模型!$F$2:$F$4501,(INT($J67)-1)*ROWS(_怪物类型!$A$2:$A$10)+MATCH($F67,_怪物类型!$A$2:$A$10,0))*IF($M67="",1,$M67),""))</f>
        <v>8616</v>
      </c>
      <c r="V67" s="47">
        <f t="shared" si="1"/>
        <v>0.264164827078734</v>
      </c>
      <c r="W67" s="48">
        <f t="shared" si="2"/>
        <v>51988.6794005424</v>
      </c>
      <c r="X67" s="48">
        <f t="shared" si="3"/>
        <v>0.323856896816702</v>
      </c>
      <c r="Y67" s="48">
        <f t="shared" si="4"/>
        <v>49.8493289248319</v>
      </c>
      <c r="Z67" s="49" t="str">
        <f t="shared" si="5"/>
        <v/>
      </c>
      <c r="AA67" s="30" t="str">
        <f t="shared" si="6"/>
        <v>已计算</v>
      </c>
      <c r="AB67" s="30" t="str">
        <f t="shared" si="7"/>
        <v>有效</v>
      </c>
      <c r="AC67" s="30" t="str">
        <f t="shared" si="8"/>
        <v/>
      </c>
      <c r="AD67" s="31" t="s">
        <v>347</v>
      </c>
      <c r="AE67">
        <v>82500</v>
      </c>
      <c r="AF67">
        <f>INDEX(_统一战力!$B$2:$B$501,J67)</f>
        <v>185000</v>
      </c>
    </row>
    <row r="68" ht="25" customHeight="1" spans="1:32">
      <c r="A68" s="30" t="s">
        <v>150</v>
      </c>
      <c r="B68" s="30" t="s">
        <v>51</v>
      </c>
      <c r="C68" s="31" t="s">
        <v>320</v>
      </c>
      <c r="D68" s="31" t="s">
        <v>348</v>
      </c>
      <c r="E68" s="31" t="s">
        <v>349</v>
      </c>
      <c r="F68" s="30" t="s">
        <v>154</v>
      </c>
      <c r="G68" s="40">
        <v>64</v>
      </c>
      <c r="H68" s="41"/>
      <c r="I68" s="42">
        <f t="shared" si="0"/>
        <v>64</v>
      </c>
      <c r="J68" s="43">
        <v>102</v>
      </c>
      <c r="K68" s="44">
        <v>0.997635415447049</v>
      </c>
      <c r="L68" s="44">
        <v>1.02837922978113</v>
      </c>
      <c r="M68" s="44">
        <v>1</v>
      </c>
      <c r="N68" s="45"/>
      <c r="O68" s="45"/>
      <c r="P68" s="45"/>
      <c r="Q68" s="46">
        <f>IF($I68="","",IFERROR(INDEX(_玩家曲线!$H$2:$H$286,MATCH($I68,_玩家曲线!$A$2:$A$286,0)),""))</f>
        <v>165656.324811522</v>
      </c>
      <c r="R68" s="46">
        <f>IF($I68="","",IFERROR(INDEX(_玩家曲线!$I$2:$I$286,MATCH($I68,_玩家曲线!$A$2:$A$286,0)),""))</f>
        <v>352956.471884879</v>
      </c>
      <c r="S68" s="46">
        <f>IF(OR($J68="",$F68="不适用"),"",IFERROR(INDEX(_怪物模型!$D$2:$D$4501,(INT($J68)-1)*ROWS(_怪物类型!$A$2:$A$10)+MATCH($F68,_怪物类型!$A$2:$A$10,0))*IF($K68="",1,$K68),""))</f>
        <v>38852.9112545853</v>
      </c>
      <c r="T68" s="46">
        <f>IF(OR($J68="",$F68="不适用"),"",IFERROR(INDEX(_怪物模型!$E$2:$E$4501,(INT($J68)-1)*ROWS(_怪物类型!$A$2:$A$10)+MATCH($F68,_怪物类型!$A$2:$A$10,0))*IF($L68="",1,$L68),""))</f>
        <v>7000.17741712015</v>
      </c>
      <c r="U68" s="46">
        <f>IF(OR($J68="",$F68="不适用"),"",IFERROR(INDEX(_怪物模型!$F$2:$F$4501,(INT($J68)-1)*ROWS(_怪物类型!$A$2:$A$10)+MATCH($F68,_怪物类型!$A$2:$A$10,0))*IF($M68="",1,$M68),""))</f>
        <v>8713</v>
      </c>
      <c r="V68" s="47">
        <f t="shared" si="1"/>
        <v>0.266346712316205</v>
      </c>
      <c r="W68" s="48">
        <f t="shared" si="2"/>
        <v>52958.1369113021</v>
      </c>
      <c r="X68" s="48">
        <f t="shared" si="3"/>
        <v>0.319686779068387</v>
      </c>
      <c r="Y68" s="48">
        <f t="shared" si="4"/>
        <v>50.4210751889891</v>
      </c>
      <c r="Z68" s="49" t="str">
        <f t="shared" si="5"/>
        <v/>
      </c>
      <c r="AA68" s="30" t="str">
        <f t="shared" si="6"/>
        <v>已计算</v>
      </c>
      <c r="AB68" s="30" t="str">
        <f t="shared" si="7"/>
        <v>有效</v>
      </c>
      <c r="AC68" s="30" t="str">
        <f t="shared" si="8"/>
        <v/>
      </c>
      <c r="AD68" s="31" t="s">
        <v>350</v>
      </c>
      <c r="AE68">
        <v>84700</v>
      </c>
      <c r="AF68">
        <f>INDEX(_统一战力!$B$2:$B$501,J68)</f>
        <v>191000</v>
      </c>
    </row>
    <row r="69" ht="25" customHeight="1" spans="1:32">
      <c r="A69" s="30" t="s">
        <v>150</v>
      </c>
      <c r="B69" s="30" t="s">
        <v>51</v>
      </c>
      <c r="C69" s="31" t="s">
        <v>320</v>
      </c>
      <c r="D69" s="31" t="s">
        <v>351</v>
      </c>
      <c r="E69" s="31" t="s">
        <v>352</v>
      </c>
      <c r="F69" s="30" t="s">
        <v>154</v>
      </c>
      <c r="G69" s="40">
        <v>65</v>
      </c>
      <c r="H69" s="41"/>
      <c r="I69" s="42">
        <f t="shared" ref="I69:I103" si="9">IF($H69="",$G69,$H69)</f>
        <v>65</v>
      </c>
      <c r="J69" s="43">
        <v>104</v>
      </c>
      <c r="K69" s="44">
        <v>0.987040511775901</v>
      </c>
      <c r="L69" s="44">
        <v>1.02360876153592</v>
      </c>
      <c r="M69" s="44">
        <v>1</v>
      </c>
      <c r="N69" s="45"/>
      <c r="O69" s="45"/>
      <c r="P69" s="45"/>
      <c r="Q69" s="46">
        <f>IF($I69="","",IFERROR(INDEX(_玩家曲线!$H$2:$H$286,MATCH($I69,_玩家曲线!$A$2:$A$286,0)),""))</f>
        <v>171927.518056297</v>
      </c>
      <c r="R69" s="46">
        <f>IF($I69="","",IFERROR(INDEX(_玩家曲线!$I$2:$I$286,MATCH($I69,_玩家曲线!$A$2:$A$286,0)),""))</f>
        <v>364957.353601822</v>
      </c>
      <c r="S69" s="46">
        <f>IF(OR($J69="",$F69="不适用"),"",IFERROR(INDEX(_怪物模型!$D$2:$D$4501,(INT($J69)-1)*ROWS(_怪物类型!$A$2:$A$10)+MATCH($F69,_怪物类型!$A$2:$A$10,0))*IF($K69="",1,$K69),""))</f>
        <v>39900.125648029</v>
      </c>
      <c r="T69" s="46">
        <f>IF(OR($J69="",$F69="不适用"),"",IFERROR(INDEX(_怪物模型!$E$2:$E$4501,(INT($J69)-1)*ROWS(_怪物类型!$A$2:$A$10)+MATCH($F69,_怪物类型!$A$2:$A$10,0))*IF($L69="",1,$L69),""))</f>
        <v>7161.1668957053</v>
      </c>
      <c r="U69" s="46">
        <f>IF(OR($J69="",$F69="不适用"),"",IFERROR(INDEX(_怪物模型!$F$2:$F$4501,(INT($J69)-1)*ROWS(_怪物类型!$A$2:$A$10)+MATCH($F69,_怪物类型!$A$2:$A$10,0))*IF($M69="",1,$M69),""))</f>
        <v>8907</v>
      </c>
      <c r="V69" s="47">
        <f t="shared" ref="V69:V103" si="10">IF($U69="","",MIN(0.75,$U69/($U69+24000)))</f>
        <v>0.270671893518096</v>
      </c>
      <c r="W69" s="48">
        <f t="shared" ref="W69:W103" si="11">IF($S69="","",$S69/(1-$V69)*IF($N69="",1,$N69))</f>
        <v>54708.0597791538</v>
      </c>
      <c r="X69" s="48">
        <f t="shared" ref="X69:X103" si="12">IF(OR($W69="",$Q69="",$Q69=0),"",$W69/$Q69)</f>
        <v>0.318204208364364</v>
      </c>
      <c r="Y69" s="48">
        <f t="shared" ref="Y69:Y103" si="13">IF(OR($R69="",$T69="",$T69=0),"",$R69/($T69*IF($O69="",1,$O69)))</f>
        <v>50.9633917093448</v>
      </c>
      <c r="Z69" s="49" t="str">
        <f t="shared" ref="Z69:Z103" si="14">IF(OR($X69="",$P69="",$P69=0),"",$X69/$P69)</f>
        <v/>
      </c>
      <c r="AA69" s="30" t="str">
        <f t="shared" ref="AA69:AA103" si="15">IF($J69="","待填怪物等级",IF(OR($I69="",$Q69=""),"待填对照关卡",IF($P69="","已计算",IF(AND($Y69&lt;&gt;"",$Y69&lt;$X69),"生存不成立",IF($Z69&lt;0.5,"碾压",IF($Z69&lt;0.8,"偏简单",IF($Z69&lt;=1.2,"适中",IF($Z69&lt;=1.5,"偏难","过难"))))))))</f>
        <v>已计算</v>
      </c>
      <c r="AB69" s="30" t="str">
        <f t="shared" ref="AB69:AB103" si="16">IF($J69="","待填",IF(AND(ISNUMBER($J69),$J69&gt;=1,$J69&lt;=500,MOD($J69,1)=0),"有效","超范围"))</f>
        <v>有效</v>
      </c>
      <c r="AC69" s="30" t="str">
        <f t="shared" ref="AC69:AC103" si="17">IF(OR($J69="",ROW()=5,$B69&lt;&gt;$B68,$J68=""),"",IF($J69&lt;$J68,"下降",""))</f>
        <v/>
      </c>
      <c r="AD69" s="31" t="s">
        <v>353</v>
      </c>
      <c r="AE69">
        <v>87000</v>
      </c>
      <c r="AF69">
        <f>INDEX(_统一战力!$B$2:$B$501,J69)</f>
        <v>197000</v>
      </c>
    </row>
    <row r="70" ht="25" customHeight="1" spans="1:32">
      <c r="A70" s="30" t="s">
        <v>150</v>
      </c>
      <c r="B70" s="30" t="s">
        <v>51</v>
      </c>
      <c r="C70" s="31" t="s">
        <v>320</v>
      </c>
      <c r="D70" s="31" t="s">
        <v>354</v>
      </c>
      <c r="E70" s="31" t="s">
        <v>355</v>
      </c>
      <c r="F70" s="30" t="s">
        <v>154</v>
      </c>
      <c r="G70" s="40">
        <v>66</v>
      </c>
      <c r="H70" s="41"/>
      <c r="I70" s="42">
        <f t="shared" si="9"/>
        <v>66</v>
      </c>
      <c r="J70" s="43">
        <v>105</v>
      </c>
      <c r="K70" s="44">
        <v>0.998550138916637</v>
      </c>
      <c r="L70" s="44">
        <v>1.03376514973803</v>
      </c>
      <c r="M70" s="44">
        <v>1</v>
      </c>
      <c r="N70" s="45"/>
      <c r="O70" s="45"/>
      <c r="P70" s="45"/>
      <c r="Q70" s="46">
        <f>IF($I70="","",IFERROR(INDEX(_玩家曲线!$H$2:$H$286,MATCH($I70,_玩家曲线!$A$2:$A$286,0)),""))</f>
        <v>178344.228129454</v>
      </c>
      <c r="R70" s="46">
        <f>IF($I70="","",IFERROR(INDEX(_玩家曲线!$I$2:$I$286,MATCH($I70,_玩家曲线!$A$2:$A$286,0)),""))</f>
        <v>377173.040240432</v>
      </c>
      <c r="S70" s="46">
        <f>IF(OR($J70="",$F70="不适用"),"",IFERROR(INDEX(_怪物模型!$D$2:$D$4501,(INT($J70)-1)*ROWS(_怪物类型!$A$2:$A$10)+MATCH($F70,_怪物类型!$A$2:$A$10,0))*IF($K70="",1,$K70),""))</f>
        <v>41117.2990701704</v>
      </c>
      <c r="T70" s="46">
        <f>IF(OR($J70="",$F70="不适用"),"",IFERROR(INDEX(_怪物模型!$E$2:$E$4501,(INT($J70)-1)*ROWS(_怪物类型!$A$2:$A$10)+MATCH($F70,_怪物类型!$A$2:$A$10,0))*IF($L70="",1,$L70),""))</f>
        <v>7330.42867679237</v>
      </c>
      <c r="U70" s="46">
        <f>IF(OR($J70="",$F70="不适用"),"",IFERROR(INDEX(_怪物模型!$F$2:$F$4501,(INT($J70)-1)*ROWS(_怪物类型!$A$2:$A$10)+MATCH($F70,_怪物类型!$A$2:$A$10,0))*IF($M70="",1,$M70),""))</f>
        <v>9005</v>
      </c>
      <c r="V70" s="47">
        <f t="shared" si="10"/>
        <v>0.272837448871383</v>
      </c>
      <c r="W70" s="48">
        <f t="shared" si="11"/>
        <v>56544.8523254572</v>
      </c>
      <c r="X70" s="48">
        <f t="shared" si="12"/>
        <v>0.317054568676107</v>
      </c>
      <c r="Y70" s="48">
        <f t="shared" si="13"/>
        <v>51.4530673266811</v>
      </c>
      <c r="Z70" s="49" t="str">
        <f t="shared" si="14"/>
        <v/>
      </c>
      <c r="AA70" s="30" t="str">
        <f t="shared" si="15"/>
        <v>已计算</v>
      </c>
      <c r="AB70" s="30" t="str">
        <f t="shared" si="16"/>
        <v>有效</v>
      </c>
      <c r="AC70" s="30" t="str">
        <f t="shared" si="17"/>
        <v/>
      </c>
      <c r="AD70" s="31" t="s">
        <v>356</v>
      </c>
      <c r="AE70">
        <v>89200</v>
      </c>
      <c r="AF70">
        <f>INDEX(_统一战力!$B$2:$B$501,J70)</f>
        <v>204000</v>
      </c>
    </row>
    <row r="71" ht="25" customHeight="1" spans="1:32">
      <c r="A71" s="30" t="s">
        <v>150</v>
      </c>
      <c r="B71" s="30" t="s">
        <v>51</v>
      </c>
      <c r="C71" s="31" t="s">
        <v>320</v>
      </c>
      <c r="D71" s="31" t="s">
        <v>357</v>
      </c>
      <c r="E71" s="31" t="s">
        <v>358</v>
      </c>
      <c r="F71" s="30" t="s">
        <v>154</v>
      </c>
      <c r="G71" s="40">
        <v>67</v>
      </c>
      <c r="H71" s="41"/>
      <c r="I71" s="42">
        <f t="shared" si="9"/>
        <v>67</v>
      </c>
      <c r="J71" s="43">
        <v>107</v>
      </c>
      <c r="K71" s="44">
        <v>0.98965806705272</v>
      </c>
      <c r="L71" s="44">
        <v>1.03062118712493</v>
      </c>
      <c r="M71" s="44">
        <v>1</v>
      </c>
      <c r="N71" s="45"/>
      <c r="O71" s="45"/>
      <c r="P71" s="45"/>
      <c r="Q71" s="46">
        <f>IF($I71="","",IFERROR(INDEX(_玩家曲线!$H$2:$H$286,MATCH($I71,_玩家曲线!$A$2:$A$286,0)),""))</f>
        <v>184909.132903604</v>
      </c>
      <c r="R71" s="46">
        <f>IF($I71="","",IFERROR(INDEX(_玩家曲线!$I$2:$I$286,MATCH($I71,_玩家曲线!$A$2:$A$286,0)),""))</f>
        <v>389605.676229176</v>
      </c>
      <c r="S71" s="46">
        <f>IF(OR($J71="",$F71="不适用"),"",IFERROR(INDEX(_怪物模型!$D$2:$D$4501,(INT($J71)-1)*ROWS(_怪物类型!$A$2:$A$10)+MATCH($F71,_怪物类型!$A$2:$A$10,0))*IF($K71="",1,$K71),""))</f>
        <v>42268.2960438217</v>
      </c>
      <c r="T71" s="46">
        <f>IF(OR($J71="",$F71="不适用"),"",IFERROR(INDEX(_怪物模型!$E$2:$E$4501,(INT($J71)-1)*ROWS(_怪物类型!$A$2:$A$10)+MATCH($F71,_怪物类型!$A$2:$A$10,0))*IF($L71="",1,$L71),""))</f>
        <v>7506.01410583087</v>
      </c>
      <c r="U71" s="46">
        <f>IF(OR($J71="",$F71="不适用"),"",IFERROR(INDEX(_怪物模型!$F$2:$F$4501,(INT($J71)-1)*ROWS(_怪物类型!$A$2:$A$10)+MATCH($F71,_怪物类型!$A$2:$A$10,0))*IF($M71="",1,$M71),""))</f>
        <v>9201</v>
      </c>
      <c r="V71" s="47">
        <f t="shared" si="10"/>
        <v>0.277130206921478</v>
      </c>
      <c r="W71" s="48">
        <f t="shared" si="11"/>
        <v>58472.9040396218</v>
      </c>
      <c r="X71" s="48">
        <f t="shared" si="12"/>
        <v>0.3162250729395</v>
      </c>
      <c r="Y71" s="48">
        <f t="shared" si="13"/>
        <v>51.9058012329767</v>
      </c>
      <c r="Z71" s="49" t="str">
        <f t="shared" si="14"/>
        <v/>
      </c>
      <c r="AA71" s="30" t="str">
        <f t="shared" si="15"/>
        <v>已计算</v>
      </c>
      <c r="AB71" s="30" t="str">
        <f t="shared" si="16"/>
        <v>有效</v>
      </c>
      <c r="AC71" s="30" t="str">
        <f t="shared" si="17"/>
        <v/>
      </c>
      <c r="AD71" s="31" t="s">
        <v>359</v>
      </c>
      <c r="AE71">
        <v>91400</v>
      </c>
      <c r="AF71">
        <f>INDEX(_统一战力!$B$2:$B$501,J71)</f>
        <v>211000</v>
      </c>
    </row>
    <row r="72" ht="25" customHeight="1" spans="1:32">
      <c r="A72" s="30" t="s">
        <v>150</v>
      </c>
      <c r="B72" s="30" t="s">
        <v>51</v>
      </c>
      <c r="C72" s="31" t="s">
        <v>320</v>
      </c>
      <c r="D72" s="31" t="s">
        <v>360</v>
      </c>
      <c r="E72" s="31" t="s">
        <v>361</v>
      </c>
      <c r="F72" s="30" t="s">
        <v>154</v>
      </c>
      <c r="G72" s="40">
        <v>68</v>
      </c>
      <c r="H72" s="41"/>
      <c r="I72" s="42">
        <f t="shared" si="9"/>
        <v>68</v>
      </c>
      <c r="J72" s="43">
        <v>108</v>
      </c>
      <c r="K72" s="44">
        <v>0.984610536180902</v>
      </c>
      <c r="L72" s="44">
        <v>1.02872117476586</v>
      </c>
      <c r="M72" s="44">
        <v>1</v>
      </c>
      <c r="N72" s="45"/>
      <c r="O72" s="45"/>
      <c r="P72" s="45"/>
      <c r="Q72" s="46">
        <f>IF($I72="","",IFERROR(INDEX(_玩家曲线!$H$2:$H$286,MATCH($I72,_玩家曲线!$A$2:$A$286,0)),""))</f>
        <v>191624.950037364</v>
      </c>
      <c r="R72" s="46">
        <f>IF($I72="","",IFERROR(INDEX(_玩家曲线!$I$2:$I$286,MATCH($I72,_玩家曲线!$A$2:$A$286,0)),""))</f>
        <v>402257.4157323</v>
      </c>
      <c r="S72" s="46">
        <f>IF(OR($J72="",$F72="不适用"),"",IFERROR(INDEX(_怪物模型!$D$2:$D$4501,(INT($J72)-1)*ROWS(_怪物类型!$A$2:$A$10)+MATCH($F72,_怪物类型!$A$2:$A$10,0))*IF($K72="",1,$K72),""))</f>
        <v>42820.7122185074</v>
      </c>
      <c r="T72" s="46">
        <f>IF(OR($J72="",$F72="不适用"),"",IFERROR(INDEX(_怪物模型!$E$2:$E$4501,(INT($J72)-1)*ROWS(_怪物类型!$A$2:$A$10)+MATCH($F72,_怪物类型!$A$2:$A$10,0))*IF($L72="",1,$L72),""))</f>
        <v>7591.96226977205</v>
      </c>
      <c r="U72" s="46">
        <f>IF(OR($J72="",$F72="不适用"),"",IFERROR(INDEX(_怪物模型!$F$2:$F$4501,(INT($J72)-1)*ROWS(_怪物类型!$A$2:$A$10)+MATCH($F72,_怪物类型!$A$2:$A$10,0))*IF($M72="",1,$M72),""))</f>
        <v>9299</v>
      </c>
      <c r="V72" s="47">
        <f t="shared" si="10"/>
        <v>0.279257635364425</v>
      </c>
      <c r="W72" s="48">
        <f t="shared" si="11"/>
        <v>59411.9540068366</v>
      </c>
      <c r="X72" s="48">
        <f t="shared" si="12"/>
        <v>0.310042893658953</v>
      </c>
      <c r="Y72" s="48">
        <f t="shared" si="13"/>
        <v>52.9846436847977</v>
      </c>
      <c r="Z72" s="49" t="str">
        <f t="shared" si="14"/>
        <v/>
      </c>
      <c r="AA72" s="30" t="str">
        <f t="shared" si="15"/>
        <v>已计算</v>
      </c>
      <c r="AB72" s="30" t="str">
        <f t="shared" si="16"/>
        <v>有效</v>
      </c>
      <c r="AC72" s="30" t="str">
        <f t="shared" si="17"/>
        <v/>
      </c>
      <c r="AD72" s="31" t="s">
        <v>362</v>
      </c>
      <c r="AE72">
        <v>93700</v>
      </c>
      <c r="AF72">
        <f>INDEX(_统一战力!$B$2:$B$501,J72)</f>
        <v>218000</v>
      </c>
    </row>
    <row r="73" ht="25" customHeight="1" spans="1:32">
      <c r="A73" s="30" t="s">
        <v>150</v>
      </c>
      <c r="B73" s="30" t="s">
        <v>51</v>
      </c>
      <c r="C73" s="31" t="s">
        <v>320</v>
      </c>
      <c r="D73" s="31" t="s">
        <v>363</v>
      </c>
      <c r="E73" s="31" t="s">
        <v>364</v>
      </c>
      <c r="F73" s="30" t="s">
        <v>164</v>
      </c>
      <c r="G73" s="40">
        <v>69</v>
      </c>
      <c r="H73" s="41"/>
      <c r="I73" s="42">
        <f t="shared" si="9"/>
        <v>69</v>
      </c>
      <c r="J73" s="43">
        <v>114</v>
      </c>
      <c r="K73" s="44">
        <v>1.1772020151162</v>
      </c>
      <c r="L73" s="44">
        <v>0.867020194582327</v>
      </c>
      <c r="M73" s="44">
        <v>1</v>
      </c>
      <c r="N73" s="45"/>
      <c r="O73" s="45"/>
      <c r="P73" s="45"/>
      <c r="Q73" s="46">
        <f>IF($I73="","",IFERROR(INDEX(_玩家曲线!$H$2:$H$286,MATCH($I73,_玩家曲线!$A$2:$A$286,0)),""))</f>
        <v>198494.437394498</v>
      </c>
      <c r="R73" s="46">
        <f>IF($I73="","",IFERROR(INDEX(_玩家曲线!$I$2:$I$286,MATCH($I73,_玩家曲线!$A$2:$A$286,0)),""))</f>
        <v>415130.422661991</v>
      </c>
      <c r="S73" s="46">
        <f>IF(OR($J73="",$F73="不适用"),"",IFERROR(INDEX(_怪物模型!$D$2:$D$4501,(INT($J73)-1)*ROWS(_怪物类型!$A$2:$A$10)+MATCH($F73,_怪物类型!$A$2:$A$10,0))*IF($K73="",1,$K73),""))</f>
        <v>4535188.42126539</v>
      </c>
      <c r="T73" s="46">
        <f>IF(OR($J73="",$F73="不适用"),"",IFERROR(INDEX(_怪物模型!$E$2:$E$4501,(INT($J73)-1)*ROWS(_怪物类型!$A$2:$A$10)+MATCH($F73,_怪物类型!$A$2:$A$10,0))*IF($L73="",1,$L73),""))</f>
        <v>8082.36225389645</v>
      </c>
      <c r="U73" s="46">
        <f>IF(OR($J73="",$F73="不适用"),"",IFERROR(INDEX(_怪物模型!$F$2:$F$4501,(INT($J73)-1)*ROWS(_怪物类型!$A$2:$A$10)+MATCH($F73,_怪物类型!$A$2:$A$10,0))*IF($M73="",1,$M73),""))</f>
        <v>9894</v>
      </c>
      <c r="V73" s="47">
        <f t="shared" si="10"/>
        <v>0.291910072579218</v>
      </c>
      <c r="W73" s="48">
        <f t="shared" si="11"/>
        <v>6404819.84793204</v>
      </c>
      <c r="X73" s="48">
        <f t="shared" si="12"/>
        <v>32.2669991764191</v>
      </c>
      <c r="Y73" s="48">
        <f t="shared" si="13"/>
        <v>51.3625113081091</v>
      </c>
      <c r="Z73" s="49" t="str">
        <f t="shared" si="14"/>
        <v/>
      </c>
      <c r="AA73" s="30" t="str">
        <f t="shared" si="15"/>
        <v>已计算</v>
      </c>
      <c r="AB73" s="30" t="str">
        <f t="shared" si="16"/>
        <v>有效</v>
      </c>
      <c r="AC73" s="30" t="str">
        <f t="shared" si="17"/>
        <v/>
      </c>
      <c r="AD73" s="31" t="s">
        <v>365</v>
      </c>
      <c r="AE73">
        <v>95900</v>
      </c>
      <c r="AF73">
        <f>INDEX(_统一战力!$B$2:$B$501,J73)</f>
        <v>225000</v>
      </c>
    </row>
    <row r="74" ht="25" customHeight="1" spans="1:32">
      <c r="A74" s="30" t="s">
        <v>150</v>
      </c>
      <c r="B74" s="30" t="s">
        <v>51</v>
      </c>
      <c r="C74" s="31" t="s">
        <v>366</v>
      </c>
      <c r="D74" s="31" t="s">
        <v>367</v>
      </c>
      <c r="E74" s="31" t="s">
        <v>368</v>
      </c>
      <c r="F74" s="30" t="s">
        <v>154</v>
      </c>
      <c r="G74" s="40">
        <v>70</v>
      </c>
      <c r="H74" s="41"/>
      <c r="I74" s="42">
        <f t="shared" si="9"/>
        <v>70</v>
      </c>
      <c r="J74" s="43">
        <v>114</v>
      </c>
      <c r="K74" s="44">
        <v>0.946973186351584</v>
      </c>
      <c r="L74" s="44">
        <v>1.01118595207737</v>
      </c>
      <c r="M74" s="44">
        <v>1</v>
      </c>
      <c r="N74" s="45"/>
      <c r="O74" s="45"/>
      <c r="P74" s="45"/>
      <c r="Q74" s="46">
        <f>IF($I74="","",IFERROR(INDEX(_玩家曲线!$H$2:$H$286,MATCH($I74,_玩家曲线!$A$2:$A$286,0)),""))</f>
        <v>205109.400628112</v>
      </c>
      <c r="R74" s="46">
        <f>IF($I74="","",IFERROR(INDEX(_玩家曲线!$I$2:$I$286,MATCH($I74,_玩家曲线!$A$2:$A$286,0)),""))</f>
        <v>427468.367251895</v>
      </c>
      <c r="S74" s="46">
        <f>IF(OR($J74="",$F74="不适用"),"",IFERROR(INDEX(_怪物模型!$D$2:$D$4501,(INT($J74)-1)*ROWS(_怪物类型!$A$2:$A$10)+MATCH($F74,_怪物类型!$A$2:$A$10,0))*IF($K74="",1,$K74),""))</f>
        <v>45808.8809165715</v>
      </c>
      <c r="T74" s="46">
        <f>IF(OR($J74="",$F74="不适用"),"",IFERROR(INDEX(_怪物模型!$E$2:$E$4501,(INT($J74)-1)*ROWS(_怪物类型!$A$2:$A$10)+MATCH($F74,_怪物类型!$A$2:$A$10,0))*IF($L74="",1,$L74),""))</f>
        <v>8065.2191537691</v>
      </c>
      <c r="U74" s="46">
        <f>IF(OR($J74="",$F74="不适用"),"",IFERROR(INDEX(_怪物模型!$F$2:$F$4501,(INT($J74)-1)*ROWS(_怪物类型!$A$2:$A$10)+MATCH($F74,_怪物类型!$A$2:$A$10,0))*IF($M74="",1,$M74),""))</f>
        <v>9894</v>
      </c>
      <c r="V74" s="47">
        <f t="shared" si="10"/>
        <v>0.291910072579218</v>
      </c>
      <c r="W74" s="48">
        <f t="shared" si="11"/>
        <v>64693.5920744281</v>
      </c>
      <c r="X74" s="48">
        <f t="shared" si="12"/>
        <v>0.315410175624887</v>
      </c>
      <c r="Y74" s="48">
        <f t="shared" si="13"/>
        <v>53.0014571336387</v>
      </c>
      <c r="Z74" s="49" t="str">
        <f t="shared" si="14"/>
        <v/>
      </c>
      <c r="AA74" s="30" t="str">
        <f t="shared" si="15"/>
        <v>已计算</v>
      </c>
      <c r="AB74" s="30" t="str">
        <f t="shared" si="16"/>
        <v>有效</v>
      </c>
      <c r="AC74" s="30" t="str">
        <f t="shared" si="17"/>
        <v/>
      </c>
      <c r="AD74" s="31" t="s">
        <v>369</v>
      </c>
      <c r="AE74">
        <v>98200</v>
      </c>
      <c r="AF74">
        <f>INDEX(_统一战力!$B$2:$B$501,J74)</f>
        <v>225000</v>
      </c>
    </row>
    <row r="75" ht="25" customHeight="1" spans="1:32">
      <c r="A75" s="30" t="s">
        <v>150</v>
      </c>
      <c r="B75" s="30" t="s">
        <v>51</v>
      </c>
      <c r="C75" s="31" t="s">
        <v>366</v>
      </c>
      <c r="D75" s="31" t="s">
        <v>370</v>
      </c>
      <c r="E75" s="31" t="s">
        <v>371</v>
      </c>
      <c r="F75" s="30" t="s">
        <v>154</v>
      </c>
      <c r="G75" s="40">
        <v>71</v>
      </c>
      <c r="H75" s="41"/>
      <c r="I75" s="42">
        <f t="shared" si="9"/>
        <v>71</v>
      </c>
      <c r="J75" s="43">
        <v>114</v>
      </c>
      <c r="K75" s="44">
        <v>0.957673556884445</v>
      </c>
      <c r="L75" s="44">
        <v>1.01852776467842</v>
      </c>
      <c r="M75" s="44">
        <v>1</v>
      </c>
      <c r="N75" s="45"/>
      <c r="O75" s="45"/>
      <c r="P75" s="45"/>
      <c r="Q75" s="46">
        <f>IF($I75="","",IFERROR(INDEX(_玩家曲线!$H$2:$H$286,MATCH($I75,_玩家曲线!$A$2:$A$286,0)),""))</f>
        <v>210946.374313077</v>
      </c>
      <c r="R75" s="46">
        <f>IF($I75="","",IFERROR(INDEX(_玩家曲线!$I$2:$I$286,MATCH($I75,_玩家曲线!$A$2:$A$286,0)),""))</f>
        <v>438316.654491512</v>
      </c>
      <c r="S75" s="46">
        <f>IF(OR($J75="",$F75="不适用"),"",IFERROR(INDEX(_怪物模型!$D$2:$D$4501,(INT($J75)-1)*ROWS(_怪物类型!$A$2:$A$10)+MATCH($F75,_怪物类型!$A$2:$A$10,0))*IF($K75="",1,$K75),""))</f>
        <v>46326.5006407281</v>
      </c>
      <c r="T75" s="46">
        <f>IF(OR($J75="",$F75="不适用"),"",IFERROR(INDEX(_怪物模型!$E$2:$E$4501,(INT($J75)-1)*ROWS(_怪物类型!$A$2:$A$10)+MATCH($F75,_怪物类型!$A$2:$A$10,0))*IF($L75="",1,$L75),""))</f>
        <v>8123.77745107508</v>
      </c>
      <c r="U75" s="46">
        <f>IF(OR($J75="",$F75="不适用"),"",IFERROR(INDEX(_怪物模型!$F$2:$F$4501,(INT($J75)-1)*ROWS(_怪物类型!$A$2:$A$10)+MATCH($F75,_怪物类型!$A$2:$A$10,0))*IF($M75="",1,$M75),""))</f>
        <v>9894</v>
      </c>
      <c r="V75" s="47">
        <f t="shared" si="10"/>
        <v>0.291910072579218</v>
      </c>
      <c r="W75" s="48">
        <f t="shared" si="11"/>
        <v>65424.6005298683</v>
      </c>
      <c r="X75" s="48">
        <f t="shared" si="12"/>
        <v>0.31014802099783</v>
      </c>
      <c r="Y75" s="48">
        <f t="shared" si="13"/>
        <v>53.9547836128261</v>
      </c>
      <c r="Z75" s="49" t="str">
        <f t="shared" si="14"/>
        <v/>
      </c>
      <c r="AA75" s="30" t="str">
        <f t="shared" si="15"/>
        <v>已计算</v>
      </c>
      <c r="AB75" s="30" t="str">
        <f t="shared" si="16"/>
        <v>有效</v>
      </c>
      <c r="AC75" s="30" t="str">
        <f t="shared" si="17"/>
        <v/>
      </c>
      <c r="AD75" s="31" t="s">
        <v>372</v>
      </c>
      <c r="AE75">
        <v>101000</v>
      </c>
      <c r="AF75">
        <f>INDEX(_统一战力!$B$2:$B$501,J75)</f>
        <v>225000</v>
      </c>
    </row>
    <row r="76" ht="25" customHeight="1" spans="1:32">
      <c r="A76" s="30" t="s">
        <v>150</v>
      </c>
      <c r="B76" s="30" t="s">
        <v>51</v>
      </c>
      <c r="C76" s="31" t="s">
        <v>366</v>
      </c>
      <c r="D76" s="31" t="s">
        <v>373</v>
      </c>
      <c r="E76" s="31" t="s">
        <v>374</v>
      </c>
      <c r="F76" s="30" t="s">
        <v>154</v>
      </c>
      <c r="G76" s="40">
        <v>72</v>
      </c>
      <c r="H76" s="41"/>
      <c r="I76" s="42">
        <f t="shared" si="9"/>
        <v>72</v>
      </c>
      <c r="J76" s="43">
        <v>114</v>
      </c>
      <c r="K76" s="44">
        <v>0.986274409053558</v>
      </c>
      <c r="L76" s="44">
        <v>1.03929643780796</v>
      </c>
      <c r="M76" s="44">
        <v>1</v>
      </c>
      <c r="N76" s="45"/>
      <c r="O76" s="45"/>
      <c r="P76" s="45"/>
      <c r="Q76" s="46">
        <f>IF($I76="","",IFERROR(INDEX(_玩家曲线!$H$2:$H$286,MATCH($I76,_玩家曲线!$A$2:$A$286,0)),""))</f>
        <v>216890.590855432</v>
      </c>
      <c r="R76" s="46">
        <f>IF($I76="","",IFERROR(INDEX(_玩家曲线!$I$2:$I$286,MATCH($I76,_玩家曲线!$A$2:$A$286,0)),""))</f>
        <v>449316.591842609</v>
      </c>
      <c r="S76" s="46">
        <f>IF(OR($J76="",$F76="不适用"),"",IFERROR(INDEX(_怪物模型!$D$2:$D$4501,(INT($J76)-1)*ROWS(_怪物类型!$A$2:$A$10)+MATCH($F76,_怪物类型!$A$2:$A$10,0))*IF($K76="",1,$K76),""))</f>
        <v>47710.0382635568</v>
      </c>
      <c r="T76" s="46">
        <f>IF(OR($J76="",$F76="不适用"),"",IFERROR(INDEX(_怪物模型!$E$2:$E$4501,(INT($J76)-1)*ROWS(_怪物类型!$A$2:$A$10)+MATCH($F76,_怪物类型!$A$2:$A$10,0))*IF($L76="",1,$L76),""))</f>
        <v>8289.42838795629</v>
      </c>
      <c r="U76" s="46">
        <f>IF(OR($J76="",$F76="不适用"),"",IFERROR(INDEX(_怪物模型!$F$2:$F$4501,(INT($J76)-1)*ROWS(_怪物类型!$A$2:$A$10)+MATCH($F76,_怪物类型!$A$2:$A$10,0))*IF($M76="",1,$M76),""))</f>
        <v>9894</v>
      </c>
      <c r="V76" s="47">
        <f t="shared" si="10"/>
        <v>0.291910072579218</v>
      </c>
      <c r="W76" s="48">
        <f t="shared" si="11"/>
        <v>67378.5015377081</v>
      </c>
      <c r="X76" s="48">
        <f t="shared" si="12"/>
        <v>0.310656636933684</v>
      </c>
      <c r="Y76" s="48">
        <f t="shared" si="13"/>
        <v>54.2035675819844</v>
      </c>
      <c r="Z76" s="49" t="str">
        <f t="shared" si="14"/>
        <v/>
      </c>
      <c r="AA76" s="30" t="str">
        <f t="shared" si="15"/>
        <v>已计算</v>
      </c>
      <c r="AB76" s="30" t="str">
        <f t="shared" si="16"/>
        <v>有效</v>
      </c>
      <c r="AC76" s="30" t="str">
        <f t="shared" si="17"/>
        <v/>
      </c>
      <c r="AD76" s="31" t="s">
        <v>375</v>
      </c>
      <c r="AE76">
        <v>103000</v>
      </c>
      <c r="AF76">
        <f>INDEX(_统一战力!$B$2:$B$501,J76)</f>
        <v>225000</v>
      </c>
    </row>
    <row r="77" ht="25" customHeight="1" spans="1:32">
      <c r="A77" s="30" t="s">
        <v>150</v>
      </c>
      <c r="B77" s="30" t="s">
        <v>51</v>
      </c>
      <c r="C77" s="31" t="s">
        <v>366</v>
      </c>
      <c r="D77" s="31" t="s">
        <v>376</v>
      </c>
      <c r="E77" s="31" t="s">
        <v>377</v>
      </c>
      <c r="F77" s="30" t="s">
        <v>154</v>
      </c>
      <c r="G77" s="40">
        <v>73</v>
      </c>
      <c r="H77" s="41"/>
      <c r="I77" s="42">
        <f t="shared" si="9"/>
        <v>73</v>
      </c>
      <c r="J77" s="43">
        <v>115</v>
      </c>
      <c r="K77" s="44">
        <v>0.978576143487475</v>
      </c>
      <c r="L77" s="44">
        <v>1.03487220189035</v>
      </c>
      <c r="M77" s="44">
        <v>1</v>
      </c>
      <c r="N77" s="45"/>
      <c r="O77" s="45"/>
      <c r="P77" s="45"/>
      <c r="Q77" s="46">
        <f>IF($I77="","",IFERROR(INDEX(_玩家曲线!$H$2:$H$286,MATCH($I77,_玩家曲线!$A$2:$A$286,0)),""))</f>
        <v>222943.62405799</v>
      </c>
      <c r="R77" s="46">
        <f>IF($I77="","",IFERROR(INDEX(_玩家曲线!$I$2:$I$286,MATCH($I77,_玩家曲线!$A$2:$A$286,0)),""))</f>
        <v>460469.387865687</v>
      </c>
      <c r="S77" s="46">
        <f>IF(OR($J77="",$F77="不适用"),"",IFERROR(INDEX(_怪物模型!$D$2:$D$4501,(INT($J77)-1)*ROWS(_怪物类型!$A$2:$A$10)+MATCH($F77,_怪物类型!$A$2:$A$10,0))*IF($K77="",1,$K77),""))</f>
        <v>48167.4749347405</v>
      </c>
      <c r="T77" s="46">
        <f>IF(OR($J77="",$F77="不适用"),"",IFERROR(INDEX(_怪物模型!$E$2:$E$4501,(INT($J77)-1)*ROWS(_怪物类型!$A$2:$A$10)+MATCH($F77,_怪物类型!$A$2:$A$10,0))*IF($L77="",1,$L77),""))</f>
        <v>8358.66277466836</v>
      </c>
      <c r="U77" s="46">
        <f>IF(OR($J77="",$F77="不适用"),"",IFERROR(INDEX(_怪物模型!$F$2:$F$4501,(INT($J77)-1)*ROWS(_怪物类型!$A$2:$A$10)+MATCH($F77,_怪物类型!$A$2:$A$10,0))*IF($M77="",1,$M77),""))</f>
        <v>9993</v>
      </c>
      <c r="V77" s="47">
        <f t="shared" si="10"/>
        <v>0.29397228841232</v>
      </c>
      <c r="W77" s="48">
        <f t="shared" si="11"/>
        <v>68223.2073106931</v>
      </c>
      <c r="X77" s="48">
        <f t="shared" si="12"/>
        <v>0.306011026773959</v>
      </c>
      <c r="Y77" s="48">
        <f t="shared" si="13"/>
        <v>55.0888820710866</v>
      </c>
      <c r="Z77" s="49" t="str">
        <f t="shared" si="14"/>
        <v/>
      </c>
      <c r="AA77" s="30" t="str">
        <f t="shared" si="15"/>
        <v>已计算</v>
      </c>
      <c r="AB77" s="30" t="str">
        <f t="shared" si="16"/>
        <v>有效</v>
      </c>
      <c r="AC77" s="30" t="str">
        <f t="shared" si="17"/>
        <v/>
      </c>
      <c r="AD77" s="31" t="s">
        <v>378</v>
      </c>
      <c r="AE77">
        <v>105000</v>
      </c>
      <c r="AF77">
        <f>INDEX(_统一战力!$B$2:$B$501,J77)</f>
        <v>249000</v>
      </c>
    </row>
    <row r="78" ht="25" customHeight="1" spans="1:32">
      <c r="A78" s="30" t="s">
        <v>150</v>
      </c>
      <c r="B78" s="30" t="s">
        <v>51</v>
      </c>
      <c r="C78" s="31" t="s">
        <v>366</v>
      </c>
      <c r="D78" s="31" t="s">
        <v>379</v>
      </c>
      <c r="E78" s="31" t="s">
        <v>380</v>
      </c>
      <c r="F78" s="30" t="s">
        <v>154</v>
      </c>
      <c r="G78" s="40">
        <v>74</v>
      </c>
      <c r="H78" s="41"/>
      <c r="I78" s="42">
        <f t="shared" si="9"/>
        <v>74</v>
      </c>
      <c r="J78" s="43">
        <v>116</v>
      </c>
      <c r="K78" s="44">
        <v>0.988628986659005</v>
      </c>
      <c r="L78" s="44">
        <v>1.04366231164812</v>
      </c>
      <c r="M78" s="44">
        <v>1</v>
      </c>
      <c r="N78" s="45"/>
      <c r="O78" s="45"/>
      <c r="P78" s="45"/>
      <c r="Q78" s="46">
        <f>IF($I78="","",IFERROR(INDEX(_玩家曲线!$H$2:$H$286,MATCH($I78,_玩家曲线!$A$2:$A$286,0)),""))</f>
        <v>229107.066317105</v>
      </c>
      <c r="R78" s="46">
        <f>IF($I78="","",IFERROR(INDEX(_玩家曲线!$I$2:$I$286,MATCH($I78,_玩家曲线!$A$2:$A$286,0)),""))</f>
        <v>471776.255639066</v>
      </c>
      <c r="S78" s="46">
        <f>IF(OR($J78="",$F78="不适用"),"",IFERROR(INDEX(_怪物模型!$D$2:$D$4501,(INT($J78)-1)*ROWS(_怪物类型!$A$2:$A$10)+MATCH($F78,_怪物类型!$A$2:$A$10,0))*IF($K78="",1,$K78),""))</f>
        <v>49510.539651883</v>
      </c>
      <c r="T78" s="46">
        <f>IF(OR($J78="",$F78="不适用"),"",IFERROR(INDEX(_怪物模型!$E$2:$E$4501,(INT($J78)-1)*ROWS(_怪物类型!$A$2:$A$10)+MATCH($F78,_怪物类型!$A$2:$A$10,0))*IF($L78="",1,$L78),""))</f>
        <v>8537.15770928162</v>
      </c>
      <c r="U78" s="46">
        <f>IF(OR($J78="",$F78="不适用"),"",IFERROR(INDEX(_怪物模型!$F$2:$F$4501,(INT($J78)-1)*ROWS(_怪物类型!$A$2:$A$10)+MATCH($F78,_怪物类型!$A$2:$A$10,0))*IF($M78="",1,$M78),""))</f>
        <v>10093</v>
      </c>
      <c r="V78" s="47">
        <f t="shared" si="10"/>
        <v>0.296043176018538</v>
      </c>
      <c r="W78" s="48">
        <f t="shared" si="11"/>
        <v>70331.7845146519</v>
      </c>
      <c r="X78" s="48">
        <f t="shared" si="12"/>
        <v>0.306982170586159</v>
      </c>
      <c r="Y78" s="48">
        <f t="shared" si="13"/>
        <v>55.2615134573594</v>
      </c>
      <c r="Z78" s="49" t="str">
        <f t="shared" si="14"/>
        <v/>
      </c>
      <c r="AA78" s="30" t="str">
        <f t="shared" si="15"/>
        <v>已计算</v>
      </c>
      <c r="AB78" s="30" t="str">
        <f t="shared" si="16"/>
        <v>有效</v>
      </c>
      <c r="AC78" s="30" t="str">
        <f t="shared" si="17"/>
        <v/>
      </c>
      <c r="AD78" s="31" t="s">
        <v>381</v>
      </c>
      <c r="AE78">
        <v>108000</v>
      </c>
      <c r="AF78">
        <f>INDEX(_统一战力!$B$2:$B$501,J78)</f>
        <v>255000</v>
      </c>
    </row>
    <row r="79" ht="25" customHeight="1" spans="1:32">
      <c r="A79" s="30" t="s">
        <v>150</v>
      </c>
      <c r="B79" s="30" t="s">
        <v>51</v>
      </c>
      <c r="C79" s="31" t="s">
        <v>366</v>
      </c>
      <c r="D79" s="31" t="s">
        <v>382</v>
      </c>
      <c r="E79" s="31" t="s">
        <v>383</v>
      </c>
      <c r="F79" s="30" t="s">
        <v>154</v>
      </c>
      <c r="G79" s="40">
        <v>75</v>
      </c>
      <c r="H79" s="41"/>
      <c r="I79" s="42">
        <f t="shared" si="9"/>
        <v>75</v>
      </c>
      <c r="J79" s="43">
        <v>119</v>
      </c>
      <c r="K79" s="44">
        <v>0.9767031930946</v>
      </c>
      <c r="L79" s="44">
        <v>1.03985025416137</v>
      </c>
      <c r="M79" s="44">
        <v>1</v>
      </c>
      <c r="N79" s="45"/>
      <c r="O79" s="45"/>
      <c r="P79" s="45"/>
      <c r="Q79" s="46">
        <f>IF($I79="","",IFERROR(INDEX(_玩家曲线!$H$2:$H$286,MATCH($I79,_玩家曲线!$A$2:$A$286,0)),""))</f>
        <v>235382.528779146</v>
      </c>
      <c r="R79" s="46">
        <f>IF($I79="","",IFERROR(INDEX(_玩家曲线!$I$2:$I$286,MATCH($I79,_玩家曲线!$A$2:$A$286,0)),""))</f>
        <v>483238.412763624</v>
      </c>
      <c r="S79" s="46">
        <f>IF(OR($J79="",$F79="不适用"),"",IFERROR(INDEX(_怪物模型!$D$2:$D$4501,(INT($J79)-1)*ROWS(_怪物类型!$A$2:$A$10)+MATCH($F79,_怪物类型!$A$2:$A$10,0))*IF($K79="",1,$K79),""))</f>
        <v>51486.9088239818</v>
      </c>
      <c r="T79" s="46">
        <f>IF(OR($J79="",$F79="不适用"),"",IFERROR(INDEX(_怪物模型!$E$2:$E$4501,(INT($J79)-1)*ROWS(_怪物类型!$A$2:$A$10)+MATCH($F79,_怪物类型!$A$2:$A$10,0))*IF($L79="",1,$L79),""))</f>
        <v>8828.32865783003</v>
      </c>
      <c r="U79" s="46">
        <f>IF(OR($J79="",$F79="不适用"),"",IFERROR(INDEX(_怪物模型!$F$2:$F$4501,(INT($J79)-1)*ROWS(_怪物类型!$A$2:$A$10)+MATCH($F79,_怪物类型!$A$2:$A$10,0))*IF($M79="",1,$M79),""))</f>
        <v>10395</v>
      </c>
      <c r="V79" s="47">
        <f t="shared" si="10"/>
        <v>0.302224160488443</v>
      </c>
      <c r="W79" s="48">
        <f t="shared" si="11"/>
        <v>73787.176208369</v>
      </c>
      <c r="X79" s="48">
        <f t="shared" si="12"/>
        <v>0.313477710478681</v>
      </c>
      <c r="Y79" s="48">
        <f t="shared" si="13"/>
        <v>54.737247727522</v>
      </c>
      <c r="Z79" s="49" t="str">
        <f t="shared" si="14"/>
        <v/>
      </c>
      <c r="AA79" s="30" t="str">
        <f t="shared" si="15"/>
        <v>已计算</v>
      </c>
      <c r="AB79" s="30" t="str">
        <f t="shared" si="16"/>
        <v>有效</v>
      </c>
      <c r="AC79" s="30" t="str">
        <f t="shared" si="17"/>
        <v/>
      </c>
      <c r="AD79" s="31" t="s">
        <v>384</v>
      </c>
      <c r="AE79">
        <v>110000</v>
      </c>
      <c r="AF79">
        <f>INDEX(_统一战力!$B$2:$B$501,J79)</f>
        <v>261000</v>
      </c>
    </row>
    <row r="80" ht="25" customHeight="1" spans="1:32">
      <c r="A80" s="30" t="s">
        <v>150</v>
      </c>
      <c r="B80" s="30" t="s">
        <v>51</v>
      </c>
      <c r="C80" s="31" t="s">
        <v>366</v>
      </c>
      <c r="D80" s="31" t="s">
        <v>385</v>
      </c>
      <c r="E80" s="31" t="s">
        <v>386</v>
      </c>
      <c r="F80" s="30" t="s">
        <v>154</v>
      </c>
      <c r="G80" s="40">
        <v>76</v>
      </c>
      <c r="H80" s="41"/>
      <c r="I80" s="42">
        <f t="shared" si="9"/>
        <v>76</v>
      </c>
      <c r="J80" s="43">
        <v>119</v>
      </c>
      <c r="K80" s="44">
        <v>0.990472025846035</v>
      </c>
      <c r="L80" s="44">
        <v>1.04996037606877</v>
      </c>
      <c r="M80" s="44">
        <v>1</v>
      </c>
      <c r="N80" s="45"/>
      <c r="O80" s="45"/>
      <c r="P80" s="45"/>
      <c r="Q80" s="46">
        <f>IF($I80="","",IFERROR(INDEX(_玩家曲线!$H$2:$H$286,MATCH($I80,_玩家曲线!$A$2:$A$286,0)),""))</f>
        <v>241771.641497773</v>
      </c>
      <c r="R80" s="46">
        <f>IF($I80="","",IFERROR(INDEX(_玩家曲线!$I$2:$I$286,MATCH($I80,_玩家曲线!$A$2:$A$286,0)),""))</f>
        <v>494857.08136754</v>
      </c>
      <c r="S80" s="46">
        <f>IF(OR($J80="",$F80="不适用"),"",IFERROR(INDEX(_怪物模型!$D$2:$D$4501,(INT($J80)-1)*ROWS(_怪物类型!$A$2:$A$10)+MATCH($F80,_怪物类型!$A$2:$A$10,0))*IF($K80="",1,$K80),""))</f>
        <v>52212.7328424737</v>
      </c>
      <c r="T80" s="46">
        <f>IF(OR($J80="",$F80="不适用"),"",IFERROR(INDEX(_怪物模型!$E$2:$E$4501,(INT($J80)-1)*ROWS(_怪物类型!$A$2:$A$10)+MATCH($F80,_怪物类型!$A$2:$A$10,0))*IF($L80="",1,$L80),""))</f>
        <v>8914.16359282386</v>
      </c>
      <c r="U80" s="46">
        <f>IF(OR($J80="",$F80="不适用"),"",IFERROR(INDEX(_怪物模型!$F$2:$F$4501,(INT($J80)-1)*ROWS(_怪物类型!$A$2:$A$10)+MATCH($F80,_怪物类型!$A$2:$A$10,0))*IF($M80="",1,$M80),""))</f>
        <v>10395</v>
      </c>
      <c r="V80" s="47">
        <f t="shared" si="10"/>
        <v>0.302224160488443</v>
      </c>
      <c r="W80" s="48">
        <f t="shared" si="11"/>
        <v>74827.3727548702</v>
      </c>
      <c r="X80" s="48">
        <f t="shared" si="12"/>
        <v>0.30949606947827</v>
      </c>
      <c r="Y80" s="48">
        <f t="shared" si="13"/>
        <v>55.513574124432</v>
      </c>
      <c r="Z80" s="49" t="str">
        <f t="shared" si="14"/>
        <v/>
      </c>
      <c r="AA80" s="30" t="str">
        <f t="shared" si="15"/>
        <v>已计算</v>
      </c>
      <c r="AB80" s="30" t="str">
        <f t="shared" si="16"/>
        <v>有效</v>
      </c>
      <c r="AC80" s="30" t="str">
        <f t="shared" si="17"/>
        <v/>
      </c>
      <c r="AD80" s="31" t="s">
        <v>387</v>
      </c>
      <c r="AE80">
        <v>112000</v>
      </c>
      <c r="AF80">
        <f>INDEX(_统一战力!$B$2:$B$501,J80)</f>
        <v>261000</v>
      </c>
    </row>
    <row r="81" ht="25" customHeight="1" spans="1:32">
      <c r="A81" s="30" t="s">
        <v>150</v>
      </c>
      <c r="B81" s="30" t="s">
        <v>51</v>
      </c>
      <c r="C81" s="31" t="s">
        <v>366</v>
      </c>
      <c r="D81" s="31" t="s">
        <v>388</v>
      </c>
      <c r="E81" s="31" t="s">
        <v>389</v>
      </c>
      <c r="F81" s="30" t="s">
        <v>154</v>
      </c>
      <c r="G81" s="40">
        <v>77</v>
      </c>
      <c r="H81" s="41"/>
      <c r="I81" s="42">
        <f t="shared" si="9"/>
        <v>77</v>
      </c>
      <c r="J81" s="43">
        <v>120</v>
      </c>
      <c r="K81" s="44">
        <v>0.985226928267657</v>
      </c>
      <c r="L81" s="44">
        <v>1.04776127087879</v>
      </c>
      <c r="M81" s="44">
        <v>1</v>
      </c>
      <c r="N81" s="45"/>
      <c r="O81" s="45"/>
      <c r="P81" s="45"/>
      <c r="Q81" s="46">
        <f>IF($I81="","",IFERROR(INDEX(_玩家曲线!$H$2:$H$286,MATCH($I81,_玩家曲线!$A$2:$A$286,0)),""))</f>
        <v>248276.053592022</v>
      </c>
      <c r="R81" s="46">
        <f>IF($I81="","",IFERROR(INDEX(_玩家曲线!$I$2:$I$286,MATCH($I81,_玩家曲线!$A$2:$A$286,0)),""))</f>
        <v>506633.48811103</v>
      </c>
      <c r="S81" s="46">
        <f>IF(OR($J81="",$F81="不适用"),"",IFERROR(INDEX(_怪物模型!$D$2:$D$4501,(INT($J81)-1)*ROWS(_怪物类型!$A$2:$A$10)+MATCH($F81,_怪物类型!$A$2:$A$10,0))*IF($K81="",1,$K81),""))</f>
        <v>52821.9565321422</v>
      </c>
      <c r="T81" s="46">
        <f>IF(OR($J81="",$F81="不适用"),"",IFERROR(INDEX(_怪物模型!$E$2:$E$4501,(INT($J81)-1)*ROWS(_怪物类型!$A$2:$A$10)+MATCH($F81,_怪物类型!$A$2:$A$10,0))*IF($L81="",1,$L81),""))</f>
        <v>9005.5081232032</v>
      </c>
      <c r="U81" s="46">
        <f>IF(OR($J81="",$F81="不适用"),"",IFERROR(INDEX(_怪物模型!$F$2:$F$4501,(INT($J81)-1)*ROWS(_怪物类型!$A$2:$A$10)+MATCH($F81,_怪物类型!$A$2:$A$10,0))*IF($M81="",1,$M81),""))</f>
        <v>10496</v>
      </c>
      <c r="V81" s="47">
        <f t="shared" si="10"/>
        <v>0.304267161410019</v>
      </c>
      <c r="W81" s="48">
        <f t="shared" si="11"/>
        <v>75922.7588555323</v>
      </c>
      <c r="X81" s="48">
        <f t="shared" si="12"/>
        <v>0.305799765048191</v>
      </c>
      <c r="Y81" s="48">
        <f t="shared" si="13"/>
        <v>56.2581790144257</v>
      </c>
      <c r="Z81" s="49" t="str">
        <f t="shared" si="14"/>
        <v/>
      </c>
      <c r="AA81" s="30" t="str">
        <f t="shared" si="15"/>
        <v>已计算</v>
      </c>
      <c r="AB81" s="30" t="str">
        <f t="shared" si="16"/>
        <v>有效</v>
      </c>
      <c r="AC81" s="30" t="str">
        <f t="shared" si="17"/>
        <v/>
      </c>
      <c r="AD81" s="31" t="s">
        <v>390</v>
      </c>
      <c r="AE81">
        <v>115000</v>
      </c>
      <c r="AF81">
        <f>INDEX(_统一战力!$B$2:$B$501,J81)</f>
        <v>274000</v>
      </c>
    </row>
    <row r="82" ht="25" customHeight="1" spans="1:32">
      <c r="A82" s="30" t="s">
        <v>150</v>
      </c>
      <c r="B82" s="30" t="s">
        <v>51</v>
      </c>
      <c r="C82" s="31" t="s">
        <v>366</v>
      </c>
      <c r="D82" s="31" t="s">
        <v>391</v>
      </c>
      <c r="E82" s="31" t="s">
        <v>392</v>
      </c>
      <c r="F82" s="30" t="s">
        <v>154</v>
      </c>
      <c r="G82" s="40">
        <v>78</v>
      </c>
      <c r="H82" s="41"/>
      <c r="I82" s="42">
        <f t="shared" si="9"/>
        <v>78</v>
      </c>
      <c r="J82" s="43">
        <v>122</v>
      </c>
      <c r="K82" s="44">
        <v>0.977938453546373</v>
      </c>
      <c r="L82" s="44">
        <v>1.04583440656595</v>
      </c>
      <c r="M82" s="44">
        <v>1</v>
      </c>
      <c r="N82" s="45"/>
      <c r="O82" s="45"/>
      <c r="P82" s="45"/>
      <c r="Q82" s="46">
        <f>IF($I82="","",IFERROR(INDEX(_玩家曲线!$H$2:$H$286,MATCH($I82,_玩家曲线!$A$2:$A$286,0)),""))</f>
        <v>254897.433405208</v>
      </c>
      <c r="R82" s="46">
        <f>IF($I82="","",IFERROR(INDEX(_玩家曲线!$I$2:$I$286,MATCH($I82,_玩家曲线!$A$2:$A$286,0)),""))</f>
        <v>518568.864191088</v>
      </c>
      <c r="S82" s="46">
        <f>IF(OR($J82="",$F82="不适用"),"",IFERROR(INDEX(_怪物模型!$D$2:$D$4501,(INT($J82)-1)*ROWS(_怪物类型!$A$2:$A$10)+MATCH($F82,_怪物类型!$A$2:$A$10,0))*IF($K82="",1,$K82),""))</f>
        <v>54218.863741518</v>
      </c>
      <c r="T82" s="46">
        <f>IF(OR($J82="",$F82="不适用"),"",IFERROR(INDEX(_怪物模型!$E$2:$E$4501,(INT($J82)-1)*ROWS(_怪物类型!$A$2:$A$10)+MATCH($F82,_怪物类型!$A$2:$A$10,0))*IF($L82="",1,$L82),""))</f>
        <v>9210.66361862632</v>
      </c>
      <c r="U82" s="46">
        <f>IF(OR($J82="",$F82="不适用"),"",IFERROR(INDEX(_怪物模型!$F$2:$F$4501,(INT($J82)-1)*ROWS(_怪物类型!$A$2:$A$10)+MATCH($F82,_怪物类型!$A$2:$A$10,0))*IF($M82="",1,$M82),""))</f>
        <v>10699</v>
      </c>
      <c r="V82" s="47">
        <f t="shared" si="10"/>
        <v>0.308337416063864</v>
      </c>
      <c r="W82" s="48">
        <f t="shared" si="11"/>
        <v>78389.1813736222</v>
      </c>
      <c r="X82" s="48">
        <f t="shared" si="12"/>
        <v>0.307532250624932</v>
      </c>
      <c r="Y82" s="48">
        <f t="shared" si="13"/>
        <v>56.300923110731</v>
      </c>
      <c r="Z82" s="49" t="str">
        <f t="shared" si="14"/>
        <v/>
      </c>
      <c r="AA82" s="30" t="str">
        <f t="shared" si="15"/>
        <v>已计算</v>
      </c>
      <c r="AB82" s="30" t="str">
        <f t="shared" si="16"/>
        <v>有效</v>
      </c>
      <c r="AC82" s="30" t="str">
        <f t="shared" si="17"/>
        <v/>
      </c>
      <c r="AD82" s="31" t="s">
        <v>393</v>
      </c>
      <c r="AE82">
        <v>117000</v>
      </c>
      <c r="AF82">
        <f>INDEX(_统一战力!$B$2:$B$501,J82)</f>
        <v>280000</v>
      </c>
    </row>
    <row r="83" ht="25" customHeight="1" spans="1:32">
      <c r="A83" s="30" t="s">
        <v>150</v>
      </c>
      <c r="B83" s="30" t="s">
        <v>51</v>
      </c>
      <c r="C83" s="31" t="s">
        <v>366</v>
      </c>
      <c r="D83" s="31" t="s">
        <v>394</v>
      </c>
      <c r="E83" s="31" t="s">
        <v>395</v>
      </c>
      <c r="F83" s="30" t="s">
        <v>154</v>
      </c>
      <c r="G83" s="40">
        <v>79</v>
      </c>
      <c r="H83" s="41"/>
      <c r="I83" s="42">
        <f t="shared" si="9"/>
        <v>79</v>
      </c>
      <c r="J83" s="43">
        <v>122</v>
      </c>
      <c r="K83" s="44">
        <v>0.97656530637776</v>
      </c>
      <c r="L83" s="44">
        <v>1.04497844412362</v>
      </c>
      <c r="M83" s="44">
        <v>1</v>
      </c>
      <c r="N83" s="45"/>
      <c r="O83" s="45"/>
      <c r="P83" s="45"/>
      <c r="Q83" s="46">
        <f>IF($I83="","",IFERROR(INDEX(_玩家曲线!$H$2:$H$286,MATCH($I83,_玩家曲线!$A$2:$A$286,0)),""))</f>
        <v>261637.468664634</v>
      </c>
      <c r="R83" s="46">
        <f>IF($I83="","",IFERROR(INDEX(_玩家曲线!$I$2:$I$286,MATCH($I83,_玩家曲线!$A$2:$A$286,0)),""))</f>
        <v>530664.445346229</v>
      </c>
      <c r="S83" s="46">
        <f>IF(OR($J83="",$F83="不适用"),"",IFERROR(INDEX(_怪物模型!$D$2:$D$4501,(INT($J83)-1)*ROWS(_怪物类型!$A$2:$A$10)+MATCH($F83,_怪物类型!$A$2:$A$10,0))*IF($K83="",1,$K83),""))</f>
        <v>54142.7337161958</v>
      </c>
      <c r="T83" s="46">
        <f>IF(OR($J83="",$F83="不适用"),"",IFERROR(INDEX(_怪物模型!$E$2:$E$4501,(INT($J83)-1)*ROWS(_怪物类型!$A$2:$A$10)+MATCH($F83,_怪物类型!$A$2:$A$10,0))*IF($L83="",1,$L83),""))</f>
        <v>9203.12515739672</v>
      </c>
      <c r="U83" s="46">
        <f>IF(OR($J83="",$F83="不适用"),"",IFERROR(INDEX(_怪物模型!$F$2:$F$4501,(INT($J83)-1)*ROWS(_怪物类型!$A$2:$A$10)+MATCH($F83,_怪物类型!$A$2:$A$10,0))*IF($M83="",1,$M83),""))</f>
        <v>10699</v>
      </c>
      <c r="V83" s="47">
        <f t="shared" si="10"/>
        <v>0.308337416063864</v>
      </c>
      <c r="W83" s="48">
        <f t="shared" si="11"/>
        <v>78279.1132174282</v>
      </c>
      <c r="X83" s="48">
        <f t="shared" si="12"/>
        <v>0.29918923163779</v>
      </c>
      <c r="Y83" s="48">
        <f t="shared" si="13"/>
        <v>57.6613309360162</v>
      </c>
      <c r="Z83" s="49" t="str">
        <f t="shared" si="14"/>
        <v/>
      </c>
      <c r="AA83" s="30" t="str">
        <f t="shared" si="15"/>
        <v>已计算</v>
      </c>
      <c r="AB83" s="30" t="str">
        <f t="shared" si="16"/>
        <v>有效</v>
      </c>
      <c r="AC83" s="30" t="str">
        <f t="shared" si="17"/>
        <v/>
      </c>
      <c r="AD83" s="31" t="s">
        <v>396</v>
      </c>
      <c r="AE83">
        <v>119000</v>
      </c>
      <c r="AF83">
        <f>INDEX(_统一战力!$B$2:$B$501,J83)</f>
        <v>280000</v>
      </c>
    </row>
    <row r="84" ht="25" customHeight="1" spans="1:32">
      <c r="A84" s="30" t="s">
        <v>150</v>
      </c>
      <c r="B84" s="30" t="s">
        <v>51</v>
      </c>
      <c r="C84" s="31" t="s">
        <v>366</v>
      </c>
      <c r="D84" s="31" t="s">
        <v>397</v>
      </c>
      <c r="E84" s="31" t="s">
        <v>398</v>
      </c>
      <c r="F84" s="30" t="s">
        <v>154</v>
      </c>
      <c r="G84" s="40">
        <v>80</v>
      </c>
      <c r="H84" s="41"/>
      <c r="I84" s="42">
        <f t="shared" si="9"/>
        <v>80</v>
      </c>
      <c r="J84" s="43">
        <v>123</v>
      </c>
      <c r="K84" s="44">
        <v>0.98955674988599</v>
      </c>
      <c r="L84" s="44">
        <v>1.05662820165562</v>
      </c>
      <c r="M84" s="44">
        <v>1</v>
      </c>
      <c r="N84" s="45"/>
      <c r="O84" s="45"/>
      <c r="P84" s="45"/>
      <c r="Q84" s="46">
        <f>IF($I84="","",IFERROR(INDEX(_玩家曲线!$H$2:$H$286,MATCH($I84,_玩家曲线!$A$2:$A$286,0)),""))</f>
        <v>268497.866642121</v>
      </c>
      <c r="R84" s="46">
        <f>IF($I84="","",IFERROR(INDEX(_玩家曲线!$I$2:$I$286,MATCH($I84,_玩家曲线!$A$2:$A$286,0)),""))</f>
        <v>542921.471861221</v>
      </c>
      <c r="S84" s="46">
        <f>IF(OR($J84="",$F84="不适用"),"",IFERROR(INDEX(_怪物模型!$D$2:$D$4501,(INT($J84)-1)*ROWS(_怪物类型!$A$2:$A$10)+MATCH($F84,_怪物类型!$A$2:$A$10,0))*IF($K84="",1,$K84),""))</f>
        <v>55783.293104573</v>
      </c>
      <c r="T84" s="46">
        <f>IF(OR($J84="",$F84="不适用"),"",IFERROR(INDEX(_怪物模型!$E$2:$E$4501,(INT($J84)-1)*ROWS(_怪物类型!$A$2:$A$10)+MATCH($F84,_怪物类型!$A$2:$A$10,0))*IF($L84="",1,$L84),""))</f>
        <v>9418.7837895582</v>
      </c>
      <c r="U84" s="46">
        <f>IF(OR($J84="",$F84="不适用"),"",IFERROR(INDEX(_怪物模型!$F$2:$F$4501,(INT($J84)-1)*ROWS(_怪物类型!$A$2:$A$10)+MATCH($F84,_怪物类型!$A$2:$A$10,0))*IF($M84="",1,$M84),""))</f>
        <v>10800</v>
      </c>
      <c r="V84" s="47">
        <f t="shared" si="10"/>
        <v>0.310344827586207</v>
      </c>
      <c r="W84" s="48">
        <f t="shared" si="11"/>
        <v>80885.7750016309</v>
      </c>
      <c r="X84" s="48">
        <f t="shared" si="12"/>
        <v>0.301252952260671</v>
      </c>
      <c r="Y84" s="48">
        <f t="shared" si="13"/>
        <v>57.6424179587933</v>
      </c>
      <c r="Z84" s="49" t="str">
        <f t="shared" si="14"/>
        <v/>
      </c>
      <c r="AA84" s="30" t="str">
        <f t="shared" si="15"/>
        <v>已计算</v>
      </c>
      <c r="AB84" s="30" t="str">
        <f t="shared" si="16"/>
        <v>有效</v>
      </c>
      <c r="AC84" s="30" t="str">
        <f t="shared" si="17"/>
        <v/>
      </c>
      <c r="AD84" s="31" t="s">
        <v>399</v>
      </c>
      <c r="AE84">
        <v>122000</v>
      </c>
      <c r="AF84">
        <f>INDEX(_统一战力!$B$2:$B$501,J84)</f>
        <v>293000</v>
      </c>
    </row>
    <row r="85" ht="25" customHeight="1" spans="1:32">
      <c r="A85" s="30" t="s">
        <v>150</v>
      </c>
      <c r="B85" s="30" t="s">
        <v>51</v>
      </c>
      <c r="C85" s="31" t="s">
        <v>366</v>
      </c>
      <c r="D85" s="31" t="s">
        <v>400</v>
      </c>
      <c r="E85" s="31" t="s">
        <v>401</v>
      </c>
      <c r="F85" s="30" t="s">
        <v>154</v>
      </c>
      <c r="G85" s="40">
        <v>81</v>
      </c>
      <c r="H85" s="41"/>
      <c r="I85" s="42">
        <f t="shared" si="9"/>
        <v>81</v>
      </c>
      <c r="J85" s="43">
        <v>125</v>
      </c>
      <c r="K85" s="44">
        <v>0.983789364303365</v>
      </c>
      <c r="L85" s="44">
        <v>1.05610178247524</v>
      </c>
      <c r="M85" s="44">
        <v>1</v>
      </c>
      <c r="N85" s="45"/>
      <c r="O85" s="45"/>
      <c r="P85" s="45"/>
      <c r="Q85" s="46">
        <f>IF($I85="","",IFERROR(INDEX(_玩家曲线!$H$2:$H$286,MATCH($I85,_玩家曲线!$A$2:$A$286,0)),""))</f>
        <v>275480.354315355</v>
      </c>
      <c r="R85" s="46">
        <f>IF($I85="","",IFERROR(INDEX(_玩家曲线!$I$2:$I$286,MATCH($I85,_玩家曲线!$A$2:$A$286,0)),""))</f>
        <v>555341.188571833</v>
      </c>
      <c r="S85" s="46">
        <f>IF(OR($J85="",$F85="不适用"),"",IFERROR(INDEX(_怪物模型!$D$2:$D$4501,(INT($J85)-1)*ROWS(_怪物类型!$A$2:$A$10)+MATCH($F85,_怪物类型!$A$2:$A$10,0))*IF($K85="",1,$K85),""))</f>
        <v>57319.5035217713</v>
      </c>
      <c r="T85" s="46">
        <f>IF(OR($J85="",$F85="不适用"),"",IFERROR(INDEX(_怪物模型!$E$2:$E$4501,(INT($J85)-1)*ROWS(_怪物类型!$A$2:$A$10)+MATCH($F85,_怪物类型!$A$2:$A$10,0))*IF($L85="",1,$L85),""))</f>
        <v>9642.20927399894</v>
      </c>
      <c r="U85" s="46">
        <f>IF(OR($J85="",$F85="不适用"),"",IFERROR(INDEX(_怪物模型!$F$2:$F$4501,(INT($J85)-1)*ROWS(_怪物类型!$A$2:$A$10)+MATCH($F85,_怪物类型!$A$2:$A$10,0))*IF($M85="",1,$M85),""))</f>
        <v>11005</v>
      </c>
      <c r="V85" s="47">
        <f t="shared" si="10"/>
        <v>0.314383659477218</v>
      </c>
      <c r="W85" s="48">
        <f t="shared" si="11"/>
        <v>83602.8841991501</v>
      </c>
      <c r="X85" s="48">
        <f t="shared" si="12"/>
        <v>0.303480385768076</v>
      </c>
      <c r="Y85" s="48">
        <f t="shared" si="13"/>
        <v>57.5948076619078</v>
      </c>
      <c r="Z85" s="49" t="str">
        <f t="shared" si="14"/>
        <v/>
      </c>
      <c r="AA85" s="30" t="str">
        <f t="shared" si="15"/>
        <v>已计算</v>
      </c>
      <c r="AB85" s="30" t="str">
        <f t="shared" si="16"/>
        <v>有效</v>
      </c>
      <c r="AC85" s="30" t="str">
        <f t="shared" si="17"/>
        <v/>
      </c>
      <c r="AD85" s="31" t="s">
        <v>402</v>
      </c>
      <c r="AE85">
        <v>124000</v>
      </c>
      <c r="AF85">
        <f>INDEX(_统一战力!$B$2:$B$501,J85)</f>
        <v>300000</v>
      </c>
    </row>
    <row r="86" ht="25" customHeight="1" spans="1:32">
      <c r="A86" s="30" t="s">
        <v>150</v>
      </c>
      <c r="B86" s="30" t="s">
        <v>51</v>
      </c>
      <c r="C86" s="31" t="s">
        <v>366</v>
      </c>
      <c r="D86" s="31" t="s">
        <v>403</v>
      </c>
      <c r="E86" s="31" t="s">
        <v>404</v>
      </c>
      <c r="F86" s="30" t="s">
        <v>154</v>
      </c>
      <c r="G86" s="40">
        <v>82</v>
      </c>
      <c r="H86" s="41"/>
      <c r="I86" s="42">
        <f t="shared" si="9"/>
        <v>82</v>
      </c>
      <c r="J86" s="43">
        <v>127</v>
      </c>
      <c r="K86" s="44">
        <v>0.978639490283494</v>
      </c>
      <c r="L86" s="44">
        <v>1.05603496423753</v>
      </c>
      <c r="M86" s="44">
        <v>1</v>
      </c>
      <c r="N86" s="45"/>
      <c r="O86" s="45"/>
      <c r="P86" s="45"/>
      <c r="Q86" s="46">
        <f>IF($I86="","",IFERROR(INDEX(_玩家曲线!$H$2:$H$286,MATCH($I86,_玩家曲线!$A$2:$A$286,0)),""))</f>
        <v>282586.67853005</v>
      </c>
      <c r="R86" s="46">
        <f>IF($I86="","",IFERROR(INDEX(_玩家曲线!$I$2:$I$286,MATCH($I86,_玩家曲线!$A$2:$A$286,0)),""))</f>
        <v>567924.844869571</v>
      </c>
      <c r="S86" s="46">
        <f>IF(OR($J86="",$F86="不适用"),"",IFERROR(INDEX(_怪物模型!$D$2:$D$4501,(INT($J86)-1)*ROWS(_怪物类型!$A$2:$A$10)+MATCH($F86,_怪物类型!$A$2:$A$10,0))*IF($K86="",1,$K86),""))</f>
        <v>58914.0973150663</v>
      </c>
      <c r="T86" s="46">
        <f>IF(OR($J86="",$F86="不适用"),"",IFERROR(INDEX(_怪物模型!$E$2:$E$4501,(INT($J86)-1)*ROWS(_怪物类型!$A$2:$A$10)+MATCH($F86,_怪物类型!$A$2:$A$10,0))*IF($L86="",1,$L86),""))</f>
        <v>9872.87088065667</v>
      </c>
      <c r="U86" s="46">
        <f>IF(OR($J86="",$F86="不适用"),"",IFERROR(INDEX(_怪物模型!$F$2:$F$4501,(INT($J86)-1)*ROWS(_怪物类型!$A$2:$A$10)+MATCH($F86,_怪物类型!$A$2:$A$10,0))*IF($M86="",1,$M86),""))</f>
        <v>11210</v>
      </c>
      <c r="V86" s="47">
        <f t="shared" si="10"/>
        <v>0.318375461516615</v>
      </c>
      <c r="W86" s="48">
        <f t="shared" si="11"/>
        <v>86431.8902693119</v>
      </c>
      <c r="X86" s="48">
        <f t="shared" si="12"/>
        <v>0.305859747950294</v>
      </c>
      <c r="Y86" s="48">
        <f t="shared" si="13"/>
        <v>57.5237792263923</v>
      </c>
      <c r="Z86" s="49" t="str">
        <f t="shared" si="14"/>
        <v/>
      </c>
      <c r="AA86" s="30" t="str">
        <f t="shared" si="15"/>
        <v>已计算</v>
      </c>
      <c r="AB86" s="30" t="str">
        <f t="shared" si="16"/>
        <v>有效</v>
      </c>
      <c r="AC86" s="30" t="str">
        <f t="shared" si="17"/>
        <v/>
      </c>
      <c r="AD86" s="31" t="s">
        <v>405</v>
      </c>
      <c r="AE86">
        <v>126000</v>
      </c>
      <c r="AF86">
        <f>INDEX(_统一战力!$B$2:$B$501,J86)</f>
        <v>307000</v>
      </c>
    </row>
    <row r="87" ht="25" customHeight="1" spans="1:32">
      <c r="A87" s="30" t="s">
        <v>150</v>
      </c>
      <c r="B87" s="30" t="s">
        <v>51</v>
      </c>
      <c r="C87" s="31" t="s">
        <v>366</v>
      </c>
      <c r="D87" s="31" t="s">
        <v>406</v>
      </c>
      <c r="E87" s="31" t="s">
        <v>407</v>
      </c>
      <c r="F87" s="30" t="s">
        <v>154</v>
      </c>
      <c r="G87" s="40">
        <v>83</v>
      </c>
      <c r="H87" s="41"/>
      <c r="I87" s="42">
        <f t="shared" si="9"/>
        <v>83</v>
      </c>
      <c r="J87" s="43">
        <v>128</v>
      </c>
      <c r="K87" s="44">
        <v>0.976636235090301</v>
      </c>
      <c r="L87" s="44">
        <v>1.05672129853038</v>
      </c>
      <c r="M87" s="44">
        <v>1</v>
      </c>
      <c r="N87" s="45"/>
      <c r="O87" s="45"/>
      <c r="P87" s="45"/>
      <c r="Q87" s="46">
        <f>IF($I87="","",IFERROR(INDEX(_玩家曲线!$H$2:$H$286,MATCH($I87,_玩家曲线!$A$2:$A$286,0)),""))</f>
        <v>289818.606162935</v>
      </c>
      <c r="R87" s="46">
        <f>IF($I87="","",IFERROR(INDEX(_玩家曲线!$I$2:$I$286,MATCH($I87,_玩家曲线!$A$2:$A$286,0)),""))</f>
        <v>580673.694706417</v>
      </c>
      <c r="S87" s="46">
        <f>IF(OR($J87="",$F87="不适用"),"",IFERROR(INDEX(_怪物模型!$D$2:$D$4501,(INT($J87)-1)*ROWS(_怪物类型!$A$2:$A$10)+MATCH($F87,_怪物类型!$A$2:$A$10,0))*IF($K87="",1,$K87),""))</f>
        <v>59754.511407765</v>
      </c>
      <c r="T87" s="46">
        <f>IF(OR($J87="",$F87="不适用"),"",IFERROR(INDEX(_怪物模型!$E$2:$E$4501,(INT($J87)-1)*ROWS(_怪物类型!$A$2:$A$10)+MATCH($F87,_怪物类型!$A$2:$A$10,0))*IF($L87="",1,$L87),""))</f>
        <v>9995.52676279887</v>
      </c>
      <c r="U87" s="46">
        <f>IF(OR($J87="",$F87="不适用"),"",IFERROR(INDEX(_怪物模型!$F$2:$F$4501,(INT($J87)-1)*ROWS(_怪物类型!$A$2:$A$10)+MATCH($F87,_怪物类型!$A$2:$A$10,0))*IF($M87="",1,$M87),""))</f>
        <v>11312</v>
      </c>
      <c r="V87" s="47">
        <f t="shared" si="10"/>
        <v>0.320344358858179</v>
      </c>
      <c r="W87" s="48">
        <f t="shared" si="11"/>
        <v>87918.8044512915</v>
      </c>
      <c r="X87" s="48">
        <f t="shared" si="12"/>
        <v>0.303358040449149</v>
      </c>
      <c r="Y87" s="48">
        <f t="shared" si="13"/>
        <v>58.0933560067645</v>
      </c>
      <c r="Z87" s="49" t="str">
        <f t="shared" si="14"/>
        <v/>
      </c>
      <c r="AA87" s="30" t="str">
        <f t="shared" si="15"/>
        <v>已计算</v>
      </c>
      <c r="AB87" s="30" t="str">
        <f t="shared" si="16"/>
        <v>有效</v>
      </c>
      <c r="AC87" s="30" t="str">
        <f t="shared" si="17"/>
        <v/>
      </c>
      <c r="AD87" s="31" t="s">
        <v>408</v>
      </c>
      <c r="AE87">
        <v>128000</v>
      </c>
      <c r="AF87">
        <f>INDEX(_统一战力!$B$2:$B$501,J87)</f>
        <v>314000</v>
      </c>
    </row>
    <row r="88" ht="25" customHeight="1" spans="1:32">
      <c r="A88" s="30" t="s">
        <v>150</v>
      </c>
      <c r="B88" s="30" t="s">
        <v>51</v>
      </c>
      <c r="C88" s="31" t="s">
        <v>366</v>
      </c>
      <c r="D88" s="31" t="s">
        <v>409</v>
      </c>
      <c r="E88" s="31" t="s">
        <v>410</v>
      </c>
      <c r="F88" s="30" t="s">
        <v>164</v>
      </c>
      <c r="G88" s="40">
        <v>84</v>
      </c>
      <c r="H88" s="41"/>
      <c r="I88" s="42">
        <f t="shared" si="9"/>
        <v>84</v>
      </c>
      <c r="J88" s="43">
        <v>133</v>
      </c>
      <c r="K88" s="44">
        <v>1.1748150808859</v>
      </c>
      <c r="L88" s="44">
        <v>0.902183217916966</v>
      </c>
      <c r="M88" s="44">
        <v>1</v>
      </c>
      <c r="N88" s="45"/>
      <c r="O88" s="45"/>
      <c r="P88" s="45"/>
      <c r="Q88" s="46">
        <f>IF($I88="","",IFERROR(INDEX(_玩家曲线!$H$2:$H$286,MATCH($I88,_玩家曲线!$A$2:$A$286,0)),""))</f>
        <v>297177.924285564</v>
      </c>
      <c r="R88" s="46">
        <f>IF($I88="","",IFERROR(INDEX(_玩家曲线!$I$2:$I$286,MATCH($I88,_玩家曲线!$A$2:$A$286,0)),""))</f>
        <v>593588.996599568</v>
      </c>
      <c r="S88" s="46">
        <f>IF(OR($J88="",$F88="不适用"),"",IFERROR(INDEX(_怪物模型!$D$2:$D$4501,(INT($J88)-1)*ROWS(_怪物类型!$A$2:$A$10)+MATCH($F88,_怪物类型!$A$2:$A$10,0))*IF($K88="",1,$K88),""))</f>
        <v>6421190.31204331</v>
      </c>
      <c r="T88" s="46">
        <f>IF(OR($J88="",$F88="不适用"),"",IFERROR(INDEX(_怪物模型!$E$2:$E$4501,(INT($J88)-1)*ROWS(_怪物类型!$A$2:$A$10)+MATCH($F88,_怪物类型!$A$2:$A$10,0))*IF($L88="",1,$L88),""))</f>
        <v>10474.347160016</v>
      </c>
      <c r="U88" s="46">
        <f>IF(OR($J88="",$F88="不适用"),"",IFERROR(INDEX(_怪物模型!$F$2:$F$4501,(INT($J88)-1)*ROWS(_怪物类型!$A$2:$A$10)+MATCH($F88,_怪物类型!$A$2:$A$10,0))*IF($M88="",1,$M88),""))</f>
        <v>11830</v>
      </c>
      <c r="V88" s="47">
        <f t="shared" si="10"/>
        <v>0.3301702483952</v>
      </c>
      <c r="W88" s="48">
        <f t="shared" si="11"/>
        <v>9586302.03668799</v>
      </c>
      <c r="X88" s="48">
        <f t="shared" si="12"/>
        <v>32.2577865086517</v>
      </c>
      <c r="Y88" s="48">
        <f t="shared" si="13"/>
        <v>56.6707392385744</v>
      </c>
      <c r="Z88" s="49" t="str">
        <f t="shared" si="14"/>
        <v/>
      </c>
      <c r="AA88" s="30" t="str">
        <f t="shared" si="15"/>
        <v>已计算</v>
      </c>
      <c r="AB88" s="30" t="str">
        <f t="shared" si="16"/>
        <v>有效</v>
      </c>
      <c r="AC88" s="30" t="str">
        <f t="shared" si="17"/>
        <v/>
      </c>
      <c r="AD88" s="31" t="s">
        <v>411</v>
      </c>
      <c r="AE88">
        <v>131000</v>
      </c>
      <c r="AF88">
        <f>INDEX(_统一战力!$B$2:$B$501,J88)</f>
        <v>320000</v>
      </c>
    </row>
    <row r="89" ht="25" customHeight="1" spans="1:32">
      <c r="A89" s="30" t="s">
        <v>150</v>
      </c>
      <c r="B89" s="30" t="s">
        <v>51</v>
      </c>
      <c r="C89" s="31" t="s">
        <v>412</v>
      </c>
      <c r="D89" s="31" t="s">
        <v>413</v>
      </c>
      <c r="E89" s="31" t="s">
        <v>414</v>
      </c>
      <c r="F89" s="30" t="s">
        <v>154</v>
      </c>
      <c r="G89" s="40">
        <v>85</v>
      </c>
      <c r="H89" s="41"/>
      <c r="I89" s="42">
        <f t="shared" si="9"/>
        <v>85</v>
      </c>
      <c r="J89" s="43">
        <v>133</v>
      </c>
      <c r="K89" s="44">
        <v>0.947775043967154</v>
      </c>
      <c r="L89" s="44">
        <v>1.0436561233515</v>
      </c>
      <c r="M89" s="44">
        <v>1</v>
      </c>
      <c r="N89" s="45"/>
      <c r="O89" s="45"/>
      <c r="P89" s="45"/>
      <c r="Q89" s="46">
        <f>IF($I89="","",IFERROR(INDEX(_玩家曲线!$H$2:$H$286,MATCH($I89,_玩家曲线!$A$2:$A$286,0)),""))</f>
        <v>303608.455403675</v>
      </c>
      <c r="R89" s="46">
        <f>IF($I89="","",IFERROR(INDEX(_玩家曲线!$I$2:$I$286,MATCH($I89,_玩家曲线!$A$2:$A$286,0)),""))</f>
        <v>604842.67487879</v>
      </c>
      <c r="S89" s="46">
        <f>IF(OR($J89="",$F89="不适用"),"",IFERROR(INDEX(_怪物模型!$D$2:$D$4501,(INT($J89)-1)*ROWS(_怪物类型!$A$2:$A$10)+MATCH($F89,_怪物类型!$A$2:$A$10,0))*IF($K89="",1,$K89),""))</f>
        <v>62809.9999387473</v>
      </c>
      <c r="T89" s="46">
        <f>IF(OR($J89="",$F89="不适用"),"",IFERROR(INDEX(_怪物模型!$E$2:$E$4501,(INT($J89)-1)*ROWS(_怪物类型!$A$2:$A$10)+MATCH($F89,_怪物类型!$A$2:$A$10,0))*IF($L89="",1,$L89),""))</f>
        <v>10459.5216682287</v>
      </c>
      <c r="U89" s="46">
        <f>IF(OR($J89="",$F89="不适用"),"",IFERROR(INDEX(_怪物模型!$F$2:$F$4501,(INT($J89)-1)*ROWS(_怪物类型!$A$2:$A$10)+MATCH($F89,_怪物类型!$A$2:$A$10,0))*IF($M89="",1,$M89),""))</f>
        <v>11830</v>
      </c>
      <c r="V89" s="47">
        <f t="shared" si="10"/>
        <v>0.3301702483952</v>
      </c>
      <c r="W89" s="48">
        <f t="shared" si="11"/>
        <v>93770.0957418881</v>
      </c>
      <c r="X89" s="48">
        <f t="shared" si="12"/>
        <v>0.308852056235431</v>
      </c>
      <c r="Y89" s="48">
        <f t="shared" si="13"/>
        <v>57.82699190882</v>
      </c>
      <c r="Z89" s="49" t="str">
        <f t="shared" si="14"/>
        <v/>
      </c>
      <c r="AA89" s="30" t="str">
        <f t="shared" si="15"/>
        <v>已计算</v>
      </c>
      <c r="AB89" s="30" t="str">
        <f t="shared" si="16"/>
        <v>有效</v>
      </c>
      <c r="AC89" s="30" t="str">
        <f t="shared" si="17"/>
        <v/>
      </c>
      <c r="AD89" s="31" t="s">
        <v>415</v>
      </c>
      <c r="AE89">
        <v>133000</v>
      </c>
      <c r="AF89">
        <f>INDEX(_统一战力!$B$2:$B$501,J89)</f>
        <v>320000</v>
      </c>
    </row>
    <row r="90" ht="25" customHeight="1" spans="1:32">
      <c r="A90" s="30" t="s">
        <v>150</v>
      </c>
      <c r="B90" s="30" t="s">
        <v>51</v>
      </c>
      <c r="C90" s="31" t="s">
        <v>412</v>
      </c>
      <c r="D90" s="31" t="s">
        <v>416</v>
      </c>
      <c r="E90" s="31" t="s">
        <v>417</v>
      </c>
      <c r="F90" s="30" t="s">
        <v>154</v>
      </c>
      <c r="G90" s="40">
        <v>86</v>
      </c>
      <c r="H90" s="41"/>
      <c r="I90" s="42">
        <f t="shared" si="9"/>
        <v>86</v>
      </c>
      <c r="J90" s="43">
        <v>133</v>
      </c>
      <c r="K90" s="44">
        <v>0.943549360152862</v>
      </c>
      <c r="L90" s="44">
        <v>1.04000711171875</v>
      </c>
      <c r="M90" s="44">
        <v>1</v>
      </c>
      <c r="N90" s="45"/>
      <c r="O90" s="45"/>
      <c r="P90" s="45"/>
      <c r="Q90" s="46">
        <f>IF($I90="","",IFERROR(INDEX(_玩家曲线!$H$2:$H$286,MATCH($I90,_玩家曲线!$A$2:$A$286,0)),""))</f>
        <v>309251.070113964</v>
      </c>
      <c r="R90" s="46">
        <f>IF($I90="","",IFERROR(INDEX(_玩家曲线!$I$2:$I$286,MATCH($I90,_玩家曲线!$A$2:$A$286,0)),""))</f>
        <v>614695.104720324</v>
      </c>
      <c r="S90" s="46">
        <f>IF(OR($J90="",$F90="不适用"),"",IFERROR(INDEX(_怪物模型!$D$2:$D$4501,(INT($J90)-1)*ROWS(_怪物类型!$A$2:$A$10)+MATCH($F90,_怪物类型!$A$2:$A$10,0))*IF($K90="",1,$K90),""))</f>
        <v>62529.9596466903</v>
      </c>
      <c r="T90" s="46">
        <f>IF(OR($J90="",$F90="不适用"),"",IFERROR(INDEX(_怪物模型!$E$2:$E$4501,(INT($J90)-1)*ROWS(_怪物类型!$A$2:$A$10)+MATCH($F90,_怪物类型!$A$2:$A$10,0))*IF($L90="",1,$L90),""))</f>
        <v>10422.9512736453</v>
      </c>
      <c r="U90" s="46">
        <f>IF(OR($J90="",$F90="不适用"),"",IFERROR(INDEX(_怪物模型!$F$2:$F$4501,(INT($J90)-1)*ROWS(_怪物类型!$A$2:$A$10)+MATCH($F90,_怪物类型!$A$2:$A$10,0))*IF($M90="",1,$M90),""))</f>
        <v>11830</v>
      </c>
      <c r="V90" s="47">
        <f t="shared" si="10"/>
        <v>0.3301702483952</v>
      </c>
      <c r="W90" s="48">
        <f t="shared" si="11"/>
        <v>93352.0189225381</v>
      </c>
      <c r="X90" s="48">
        <f t="shared" si="12"/>
        <v>0.30186482099524</v>
      </c>
      <c r="Y90" s="48">
        <f t="shared" si="13"/>
        <v>58.9751490323663</v>
      </c>
      <c r="Z90" s="49" t="str">
        <f t="shared" si="14"/>
        <v/>
      </c>
      <c r="AA90" s="30" t="str">
        <f t="shared" si="15"/>
        <v>已计算</v>
      </c>
      <c r="AB90" s="30" t="str">
        <f t="shared" si="16"/>
        <v>有效</v>
      </c>
      <c r="AC90" s="30" t="str">
        <f t="shared" si="17"/>
        <v/>
      </c>
      <c r="AD90" s="31" t="s">
        <v>418</v>
      </c>
      <c r="AE90">
        <v>135000</v>
      </c>
      <c r="AF90">
        <f>INDEX(_统一战力!$B$2:$B$501,J90)</f>
        <v>320000</v>
      </c>
    </row>
    <row r="91" ht="25" customHeight="1" spans="1:32">
      <c r="A91" s="30" t="s">
        <v>150</v>
      </c>
      <c r="B91" s="30" t="s">
        <v>51</v>
      </c>
      <c r="C91" s="31" t="s">
        <v>412</v>
      </c>
      <c r="D91" s="31" t="s">
        <v>419</v>
      </c>
      <c r="E91" s="31" t="s">
        <v>420</v>
      </c>
      <c r="F91" s="30" t="s">
        <v>154</v>
      </c>
      <c r="G91" s="40">
        <v>87</v>
      </c>
      <c r="H91" s="41"/>
      <c r="I91" s="42">
        <f t="shared" si="9"/>
        <v>87</v>
      </c>
      <c r="J91" s="43">
        <v>133</v>
      </c>
      <c r="K91" s="44">
        <v>0.970768482890477</v>
      </c>
      <c r="L91" s="44">
        <v>1.06041226003755</v>
      </c>
      <c r="M91" s="44">
        <v>1</v>
      </c>
      <c r="N91" s="45"/>
      <c r="O91" s="45"/>
      <c r="P91" s="45"/>
      <c r="Q91" s="46">
        <f>IF($I91="","",IFERROR(INDEX(_玩家曲线!$H$2:$H$286,MATCH($I91,_玩家曲线!$A$2:$A$286,0)),""))</f>
        <v>314966.783031065</v>
      </c>
      <c r="R91" s="46">
        <f>IF($I91="","",IFERROR(INDEX(_玩家曲线!$I$2:$I$286,MATCH($I91,_玩家曲线!$A$2:$A$286,0)),""))</f>
        <v>624642.209425444</v>
      </c>
      <c r="S91" s="46">
        <f>IF(OR($J91="",$F91="不适用"),"",IFERROR(INDEX(_怪物模型!$D$2:$D$4501,(INT($J91)-1)*ROWS(_怪物类型!$A$2:$A$10)+MATCH($F91,_怪物类型!$A$2:$A$10,0))*IF($K91="",1,$K91),""))</f>
        <v>64333.7981296348</v>
      </c>
      <c r="T91" s="46">
        <f>IF(OR($J91="",$F91="不适用"),"",IFERROR(INDEX(_怪物模型!$E$2:$E$4501,(INT($J91)-1)*ROWS(_怪物类型!$A$2:$A$10)+MATCH($F91,_怪物类型!$A$2:$A$10,0))*IF($L91="",1,$L91),""))</f>
        <v>10627.4516700963</v>
      </c>
      <c r="U91" s="46">
        <f>IF(OR($J91="",$F91="不适用"),"",IFERROR(INDEX(_怪物模型!$F$2:$F$4501,(INT($J91)-1)*ROWS(_怪物类型!$A$2:$A$10)+MATCH($F91,_怪物类型!$A$2:$A$10,0))*IF($M91="",1,$M91),""))</f>
        <v>11830</v>
      </c>
      <c r="V91" s="47">
        <f t="shared" si="10"/>
        <v>0.3301702483952</v>
      </c>
      <c r="W91" s="48">
        <f t="shared" si="11"/>
        <v>96044.9994577006</v>
      </c>
      <c r="X91" s="48">
        <f t="shared" si="12"/>
        <v>0.304936915992909</v>
      </c>
      <c r="Y91" s="48">
        <f t="shared" si="13"/>
        <v>58.7762926443666</v>
      </c>
      <c r="Z91" s="49" t="str">
        <f t="shared" si="14"/>
        <v/>
      </c>
      <c r="AA91" s="30" t="str">
        <f t="shared" si="15"/>
        <v>已计算</v>
      </c>
      <c r="AB91" s="30" t="str">
        <f t="shared" si="16"/>
        <v>有效</v>
      </c>
      <c r="AC91" s="30" t="str">
        <f t="shared" si="17"/>
        <v/>
      </c>
      <c r="AD91" s="31" t="s">
        <v>421</v>
      </c>
      <c r="AE91">
        <v>137000</v>
      </c>
      <c r="AF91">
        <f>INDEX(_统一战力!$B$2:$B$501,J91)</f>
        <v>320000</v>
      </c>
    </row>
    <row r="92" ht="25" customHeight="1" spans="1:32">
      <c r="A92" s="30" t="s">
        <v>150</v>
      </c>
      <c r="B92" s="30" t="s">
        <v>51</v>
      </c>
      <c r="C92" s="31" t="s">
        <v>412</v>
      </c>
      <c r="D92" s="31" t="s">
        <v>422</v>
      </c>
      <c r="E92" s="31" t="s">
        <v>423</v>
      </c>
      <c r="F92" s="30" t="s">
        <v>154</v>
      </c>
      <c r="G92" s="40">
        <v>88</v>
      </c>
      <c r="H92" s="41"/>
      <c r="I92" s="42">
        <f t="shared" si="9"/>
        <v>88</v>
      </c>
      <c r="J92" s="43">
        <v>133</v>
      </c>
      <c r="K92" s="44">
        <v>0.967339578171009</v>
      </c>
      <c r="L92" s="44">
        <v>1.05756079087802</v>
      </c>
      <c r="M92" s="44">
        <v>1</v>
      </c>
      <c r="N92" s="45"/>
      <c r="O92" s="45"/>
      <c r="P92" s="45"/>
      <c r="Q92" s="46">
        <f>IF($I92="","",IFERROR(INDEX(_玩家曲线!$H$2:$H$286,MATCH($I92,_玩家曲线!$A$2:$A$286,0)),""))</f>
        <v>320756.358565467</v>
      </c>
      <c r="R92" s="46">
        <f>IF($I92="","",IFERROR(INDEX(_玩家曲线!$I$2:$I$286,MATCH($I92,_玩家曲线!$A$2:$A$286,0)),""))</f>
        <v>634684.526130003</v>
      </c>
      <c r="S92" s="46">
        <f>IF(OR($J92="",$F92="不适用"),"",IFERROR(INDEX(_怪物模型!$D$2:$D$4501,(INT($J92)-1)*ROWS(_怪物类型!$A$2:$A$10)+MATCH($F92,_怪物类型!$A$2:$A$10,0))*IF($K92="",1,$K92),""))</f>
        <v>64106.5611849709</v>
      </c>
      <c r="T92" s="46">
        <f>IF(OR($J92="",$F92="不适用"),"",IFERROR(INDEX(_怪物模型!$E$2:$E$4501,(INT($J92)-1)*ROWS(_怪物类型!$A$2:$A$10)+MATCH($F92,_怪物类型!$A$2:$A$10,0))*IF($L92="",1,$L92),""))</f>
        <v>10598.8742461795</v>
      </c>
      <c r="U92" s="46">
        <f>IF(OR($J92="",$F92="不适用"),"",IFERROR(INDEX(_怪物模型!$F$2:$F$4501,(INT($J92)-1)*ROWS(_怪物类型!$A$2:$A$10)+MATCH($F92,_怪物类型!$A$2:$A$10,0))*IF($M92="",1,$M92),""))</f>
        <v>11830</v>
      </c>
      <c r="V92" s="47">
        <f t="shared" si="10"/>
        <v>0.3301702483952</v>
      </c>
      <c r="W92" s="48">
        <f t="shared" si="11"/>
        <v>95705.7536357295</v>
      </c>
      <c r="X92" s="48">
        <f t="shared" si="12"/>
        <v>0.298375234286106</v>
      </c>
      <c r="Y92" s="48">
        <f t="shared" si="13"/>
        <v>59.8822583784105</v>
      </c>
      <c r="Z92" s="49" t="str">
        <f t="shared" si="14"/>
        <v/>
      </c>
      <c r="AA92" s="30" t="str">
        <f t="shared" si="15"/>
        <v>已计算</v>
      </c>
      <c r="AB92" s="30" t="str">
        <f t="shared" si="16"/>
        <v>有效</v>
      </c>
      <c r="AC92" s="30" t="str">
        <f t="shared" si="17"/>
        <v/>
      </c>
      <c r="AD92" s="31" t="s">
        <v>424</v>
      </c>
      <c r="AE92">
        <v>139000</v>
      </c>
      <c r="AF92">
        <f>INDEX(_统一战力!$B$2:$B$501,J92)</f>
        <v>320000</v>
      </c>
    </row>
    <row r="93" ht="25" customHeight="1" spans="1:32">
      <c r="A93" s="30" t="s">
        <v>150</v>
      </c>
      <c r="B93" s="30" t="s">
        <v>51</v>
      </c>
      <c r="C93" s="31" t="s">
        <v>412</v>
      </c>
      <c r="D93" s="31" t="s">
        <v>425</v>
      </c>
      <c r="E93" s="31" t="s">
        <v>426</v>
      </c>
      <c r="F93" s="30" t="s">
        <v>154</v>
      </c>
      <c r="G93" s="40">
        <v>89</v>
      </c>
      <c r="H93" s="41"/>
      <c r="I93" s="42">
        <f t="shared" si="9"/>
        <v>89</v>
      </c>
      <c r="J93" s="43">
        <v>134</v>
      </c>
      <c r="K93" s="44">
        <v>0.977506048617982</v>
      </c>
      <c r="L93" s="44">
        <v>1.06679101480297</v>
      </c>
      <c r="M93" s="44">
        <v>1</v>
      </c>
      <c r="N93" s="45"/>
      <c r="O93" s="45"/>
      <c r="P93" s="45"/>
      <c r="Q93" s="46">
        <f>IF($I93="","",IFERROR(INDEX(_玩家曲线!$H$2:$H$286,MATCH($I93,_玩家曲线!$A$2:$A$286,0)),""))</f>
        <v>326620.567530564</v>
      </c>
      <c r="R93" s="46">
        <f>IF($I93="","",IFERROR(INDEX(_玩家曲线!$I$2:$I$286,MATCH($I93,_玩家曲线!$A$2:$A$286,0)),""))</f>
        <v>644822.593466224</v>
      </c>
      <c r="S93" s="46">
        <f>IF(OR($J93="",$F93="不适用"),"",IFERROR(INDEX(_怪物模型!$D$2:$D$4501,(INT($J93)-1)*ROWS(_怪物类型!$A$2:$A$10)+MATCH($F93,_怪物类型!$A$2:$A$10,0))*IF($K93="",1,$K93),""))</f>
        <v>65808.6397111084</v>
      </c>
      <c r="T93" s="46">
        <f>IF(OR($J93="",$F93="不适用"),"",IFERROR(INDEX(_怪物模型!$E$2:$E$4501,(INT($J93)-1)*ROWS(_怪物类型!$A$2:$A$10)+MATCH($F93,_怪物类型!$A$2:$A$10,0))*IF($L93="",1,$L93),""))</f>
        <v>10812.9937260429</v>
      </c>
      <c r="U93" s="46">
        <f>IF(OR($J93="",$F93="不适用"),"",IFERROR(INDEX(_怪物模型!$F$2:$F$4501,(INT($J93)-1)*ROWS(_怪物类型!$A$2:$A$10)+MATCH($F93,_怪物类型!$A$2:$A$10,0))*IF($M93="",1,$M93),""))</f>
        <v>11934</v>
      </c>
      <c r="V93" s="47">
        <f t="shared" si="10"/>
        <v>0.3321088662548</v>
      </c>
      <c r="W93" s="48">
        <f t="shared" si="11"/>
        <v>98531.985807457</v>
      </c>
      <c r="X93" s="48">
        <f t="shared" si="12"/>
        <v>0.3016710997486</v>
      </c>
      <c r="Y93" s="48">
        <f t="shared" si="13"/>
        <v>59.6340486088677</v>
      </c>
      <c r="Z93" s="49" t="str">
        <f t="shared" si="14"/>
        <v/>
      </c>
      <c r="AA93" s="30" t="str">
        <f t="shared" si="15"/>
        <v>已计算</v>
      </c>
      <c r="AB93" s="30" t="str">
        <f t="shared" si="16"/>
        <v>有效</v>
      </c>
      <c r="AC93" s="30" t="str">
        <f t="shared" si="17"/>
        <v/>
      </c>
      <c r="AD93" s="31" t="s">
        <v>427</v>
      </c>
      <c r="AE93">
        <v>141000</v>
      </c>
      <c r="AF93">
        <f>INDEX(_统一战力!$B$2:$B$501,J93)</f>
        <v>347000</v>
      </c>
    </row>
    <row r="94" ht="25" customHeight="1" spans="1:32">
      <c r="A94" s="30" t="s">
        <v>150</v>
      </c>
      <c r="B94" s="30" t="s">
        <v>51</v>
      </c>
      <c r="C94" s="31" t="s">
        <v>412</v>
      </c>
      <c r="D94" s="31" t="s">
        <v>428</v>
      </c>
      <c r="E94" s="31" t="s">
        <v>429</v>
      </c>
      <c r="F94" s="30" t="s">
        <v>154</v>
      </c>
      <c r="G94" s="40">
        <v>90</v>
      </c>
      <c r="H94" s="41"/>
      <c r="I94" s="42">
        <f t="shared" si="9"/>
        <v>90</v>
      </c>
      <c r="J94" s="43">
        <v>135</v>
      </c>
      <c r="K94" s="44">
        <v>0.97245051663214</v>
      </c>
      <c r="L94" s="44">
        <v>1.0644370418593</v>
      </c>
      <c r="M94" s="44">
        <v>1</v>
      </c>
      <c r="N94" s="45"/>
      <c r="O94" s="45"/>
      <c r="P94" s="45"/>
      <c r="Q94" s="46">
        <f>IF($I94="","",IFERROR(INDEX(_玩家曲线!$H$2:$H$286,MATCH($I94,_玩家曲线!$A$2:$A$286,0)),""))</f>
        <v>332560.187181101</v>
      </c>
      <c r="R94" s="46">
        <f>IF($I94="","",IFERROR(INDEX(_玩家曲线!$I$2:$I$286,MATCH($I94,_玩家曲线!$A$2:$A$286,0)),""))</f>
        <v>655056.951563923</v>
      </c>
      <c r="S94" s="46">
        <f>IF(OR($J94="",$F94="不适用"),"",IFERROR(INDEX(_怪物模型!$D$2:$D$4501,(INT($J94)-1)*ROWS(_怪物类型!$A$2:$A$10)+MATCH($F94,_怪物类型!$A$2:$A$10,0))*IF($K94="",1,$K94),""))</f>
        <v>66502.0010304055</v>
      </c>
      <c r="T94" s="46">
        <f>IF(OR($J94="",$F94="不适用"),"",IFERROR(INDEX(_怪物模型!$E$2:$E$4501,(INT($J94)-1)*ROWS(_怪物类型!$A$2:$A$10)+MATCH($F94,_怪物类型!$A$2:$A$10,0))*IF($L94="",1,$L94),""))</f>
        <v>10912.6085531415</v>
      </c>
      <c r="U94" s="46">
        <f>IF(OR($J94="",$F94="不适用"),"",IFERROR(INDEX(_怪物模型!$F$2:$F$4501,(INT($J94)-1)*ROWS(_怪物类型!$A$2:$A$10)+MATCH($F94,_怪物类型!$A$2:$A$10,0))*IF($M94="",1,$M94),""))</f>
        <v>12038</v>
      </c>
      <c r="V94" s="47">
        <f t="shared" si="10"/>
        <v>0.334036295021921</v>
      </c>
      <c r="W94" s="48">
        <f t="shared" si="11"/>
        <v>99858.2963805731</v>
      </c>
      <c r="X94" s="48">
        <f t="shared" si="12"/>
        <v>0.300271350058489</v>
      </c>
      <c r="Y94" s="48">
        <f t="shared" si="13"/>
        <v>60.0275313069251</v>
      </c>
      <c r="Z94" s="49" t="str">
        <f t="shared" si="14"/>
        <v/>
      </c>
      <c r="AA94" s="30" t="str">
        <f t="shared" si="15"/>
        <v>已计算</v>
      </c>
      <c r="AB94" s="30" t="str">
        <f t="shared" si="16"/>
        <v>有效</v>
      </c>
      <c r="AC94" s="30" t="str">
        <f t="shared" si="17"/>
        <v/>
      </c>
      <c r="AD94" s="31" t="s">
        <v>430</v>
      </c>
      <c r="AE94">
        <v>143000</v>
      </c>
      <c r="AF94">
        <f>INDEX(_统一战力!$B$2:$B$501,J94)</f>
        <v>353000</v>
      </c>
    </row>
    <row r="95" ht="25" customHeight="1" spans="1:32">
      <c r="A95" s="30" t="s">
        <v>150</v>
      </c>
      <c r="B95" s="30" t="s">
        <v>51</v>
      </c>
      <c r="C95" s="31" t="s">
        <v>412</v>
      </c>
      <c r="D95" s="31" t="s">
        <v>431</v>
      </c>
      <c r="E95" s="31" t="s">
        <v>432</v>
      </c>
      <c r="F95" s="30" t="s">
        <v>154</v>
      </c>
      <c r="G95" s="40">
        <v>91</v>
      </c>
      <c r="H95" s="41"/>
      <c r="I95" s="42">
        <f t="shared" si="9"/>
        <v>91</v>
      </c>
      <c r="J95" s="43">
        <v>136</v>
      </c>
      <c r="K95" s="44">
        <v>0.967815583254906</v>
      </c>
      <c r="L95" s="44">
        <v>1.0625295132139</v>
      </c>
      <c r="M95" s="44">
        <v>1</v>
      </c>
      <c r="N95" s="45"/>
      <c r="O95" s="45"/>
      <c r="P95" s="45"/>
      <c r="Q95" s="46">
        <f>IF($I95="","",IFERROR(INDEX(_玩家曲线!$H$2:$H$286,MATCH($I95,_玩家曲线!$A$2:$A$286,0)),""))</f>
        <v>338576.001251768</v>
      </c>
      <c r="R95" s="46">
        <f>IF($I95="","",IFERROR(INDEX(_玩家曲线!$I$2:$I$286,MATCH($I95,_玩家曲线!$A$2:$A$286,0)),""))</f>
        <v>665388.142051713</v>
      </c>
      <c r="S95" s="46">
        <f>IF(OR($J95="",$F95="不适用"),"",IFERROR(INDEX(_怪物模型!$D$2:$D$4501,(INT($J95)-1)*ROWS(_怪物类型!$A$2:$A$10)+MATCH($F95,_怪物类型!$A$2:$A$10,0))*IF($K95="",1,$K95),""))</f>
        <v>67225.438228469</v>
      </c>
      <c r="T95" s="46">
        <f>IF(OR($J95="",$F95="不适用"),"",IFERROR(INDEX(_怪物模型!$E$2:$E$4501,(INT($J95)-1)*ROWS(_怪物类型!$A$2:$A$10)+MATCH($F95,_怪物类型!$A$2:$A$10,0))*IF($L95="",1,$L95),""))</f>
        <v>11016.3059930017</v>
      </c>
      <c r="U95" s="46">
        <f>IF(OR($J95="",$F95="不适用"),"",IFERROR(INDEX(_怪物模型!$F$2:$F$4501,(INT($J95)-1)*ROWS(_怪物类型!$A$2:$A$10)+MATCH($F95,_怪物类型!$A$2:$A$10,0))*IF($M95="",1,$M95),""))</f>
        <v>12143</v>
      </c>
      <c r="V95" s="47">
        <f t="shared" si="10"/>
        <v>0.335971004067178</v>
      </c>
      <c r="W95" s="48">
        <f t="shared" si="11"/>
        <v>101238.708912148</v>
      </c>
      <c r="X95" s="48">
        <f t="shared" si="12"/>
        <v>0.299013245291612</v>
      </c>
      <c r="Y95" s="48">
        <f t="shared" si="13"/>
        <v>60.4002959317226</v>
      </c>
      <c r="Z95" s="49" t="str">
        <f t="shared" si="14"/>
        <v/>
      </c>
      <c r="AA95" s="30" t="str">
        <f t="shared" si="15"/>
        <v>已计算</v>
      </c>
      <c r="AB95" s="30" t="str">
        <f t="shared" si="16"/>
        <v>有效</v>
      </c>
      <c r="AC95" s="30" t="str">
        <f t="shared" si="17"/>
        <v/>
      </c>
      <c r="AD95" s="31" t="s">
        <v>433</v>
      </c>
      <c r="AE95">
        <v>145000</v>
      </c>
      <c r="AF95">
        <f>INDEX(_统一战力!$B$2:$B$501,J95)</f>
        <v>358000</v>
      </c>
    </row>
    <row r="96" ht="25" customHeight="1" spans="1:32">
      <c r="A96" s="30" t="s">
        <v>150</v>
      </c>
      <c r="B96" s="30" t="s">
        <v>51</v>
      </c>
      <c r="C96" s="31" t="s">
        <v>412</v>
      </c>
      <c r="D96" s="31" t="s">
        <v>434</v>
      </c>
      <c r="E96" s="31" t="s">
        <v>435</v>
      </c>
      <c r="F96" s="30" t="s">
        <v>154</v>
      </c>
      <c r="G96" s="40">
        <v>92</v>
      </c>
      <c r="H96" s="41"/>
      <c r="I96" s="42">
        <f t="shared" si="9"/>
        <v>92</v>
      </c>
      <c r="J96" s="43">
        <v>136</v>
      </c>
      <c r="K96" s="44">
        <v>0.981523350475477</v>
      </c>
      <c r="L96" s="44">
        <v>1.07292121318402</v>
      </c>
      <c r="M96" s="44">
        <v>1</v>
      </c>
      <c r="N96" s="45"/>
      <c r="O96" s="45"/>
      <c r="P96" s="45"/>
      <c r="Q96" s="46">
        <f>IF($I96="","",IFERROR(INDEX(_玩家曲线!$H$2:$H$286,MATCH($I96,_玩家曲线!$A$2:$A$286,0)),""))</f>
        <v>344668.799995937</v>
      </c>
      <c r="R96" s="46">
        <f>IF($I96="","",IFERROR(INDEX(_玩家曲线!$I$2:$I$286,MATCH($I96,_玩家曲线!$A$2:$A$286,0)),""))</f>
        <v>675816.708058224</v>
      </c>
      <c r="S96" s="46">
        <f>IF(OR($J96="",$F96="不适用"),"",IFERROR(INDEX(_怪物模型!$D$2:$D$4501,(INT($J96)-1)*ROWS(_怪物类型!$A$2:$A$10)+MATCH($F96,_怪物类型!$A$2:$A$10,0))*IF($K96="",1,$K96),""))</f>
        <v>68177.5934473771</v>
      </c>
      <c r="T96" s="46">
        <f>IF(OR($J96="",$F96="不适用"),"",IFERROR(INDEX(_怪物模型!$E$2:$E$4501,(INT($J96)-1)*ROWS(_怪物类型!$A$2:$A$10)+MATCH($F96,_怪物类型!$A$2:$A$10,0))*IF($L96="",1,$L96),""))</f>
        <v>11124.0471382919</v>
      </c>
      <c r="U96" s="46">
        <f>IF(OR($J96="",$F96="不适用"),"",IFERROR(INDEX(_怪物模型!$F$2:$F$4501,(INT($J96)-1)*ROWS(_怪物类型!$A$2:$A$10)+MATCH($F96,_怪物类型!$A$2:$A$10,0))*IF($M96="",1,$M96),""))</f>
        <v>12143</v>
      </c>
      <c r="V96" s="47">
        <f t="shared" si="10"/>
        <v>0.335971004067178</v>
      </c>
      <c r="W96" s="48">
        <f t="shared" si="11"/>
        <v>102672.61499869</v>
      </c>
      <c r="X96" s="48">
        <f t="shared" si="12"/>
        <v>0.297887754853065</v>
      </c>
      <c r="Y96" s="48">
        <f t="shared" si="13"/>
        <v>60.7527727684544</v>
      </c>
      <c r="Z96" s="49" t="str">
        <f t="shared" si="14"/>
        <v/>
      </c>
      <c r="AA96" s="30" t="str">
        <f t="shared" si="15"/>
        <v>已计算</v>
      </c>
      <c r="AB96" s="30" t="str">
        <f t="shared" si="16"/>
        <v>有效</v>
      </c>
      <c r="AC96" s="30" t="str">
        <f t="shared" si="17"/>
        <v/>
      </c>
      <c r="AD96" s="31" t="s">
        <v>436</v>
      </c>
      <c r="AE96">
        <v>147000</v>
      </c>
      <c r="AF96">
        <f>INDEX(_统一战力!$B$2:$B$501,J96)</f>
        <v>358000</v>
      </c>
    </row>
    <row r="97" ht="25" customHeight="1" spans="1:32">
      <c r="A97" s="30" t="s">
        <v>150</v>
      </c>
      <c r="B97" s="30" t="s">
        <v>51</v>
      </c>
      <c r="C97" s="31" t="s">
        <v>412</v>
      </c>
      <c r="D97" s="31" t="s">
        <v>437</v>
      </c>
      <c r="E97" s="31" t="s">
        <v>438</v>
      </c>
      <c r="F97" s="30" t="s">
        <v>154</v>
      </c>
      <c r="G97" s="40">
        <v>93</v>
      </c>
      <c r="H97" s="41"/>
      <c r="I97" s="42">
        <f t="shared" si="9"/>
        <v>93</v>
      </c>
      <c r="J97" s="43">
        <v>138</v>
      </c>
      <c r="K97" s="44">
        <v>0.975114032609106</v>
      </c>
      <c r="L97" s="44">
        <v>1.07136448187043</v>
      </c>
      <c r="M97" s="44">
        <v>1</v>
      </c>
      <c r="N97" s="45"/>
      <c r="O97" s="45"/>
      <c r="P97" s="45"/>
      <c r="Q97" s="46">
        <f>IF($I97="","",IFERROR(INDEX(_玩家曲线!$H$2:$H$286,MATCH($I97,_玩家曲线!$A$2:$A$286,0)),""))</f>
        <v>350839.380224539</v>
      </c>
      <c r="R97" s="46">
        <f>IF($I97="","",IFERROR(INDEX(_玩家曲线!$I$2:$I$286,MATCH($I97,_玩家曲线!$A$2:$A$286,0)),""))</f>
        <v>686343.194213315</v>
      </c>
      <c r="S97" s="46">
        <f>IF(OR($J97="",$F97="不适用"),"",IFERROR(INDEX(_怪物模型!$D$2:$D$4501,(INT($J97)-1)*ROWS(_怪物类型!$A$2:$A$10)+MATCH($F97,_怪物类型!$A$2:$A$10,0))*IF($K97="",1,$K97),""))</f>
        <v>69863.019980312</v>
      </c>
      <c r="T97" s="46">
        <f>IF(OR($J97="",$F97="不适用"),"",IFERROR(INDEX(_怪物模型!$E$2:$E$4501,(INT($J97)-1)*ROWS(_怪物类型!$A$2:$A$10)+MATCH($F97,_怪物类型!$A$2:$A$10,0))*IF($L97="",1,$L97),""))</f>
        <v>11359.6776012722</v>
      </c>
      <c r="U97" s="46">
        <f>IF(OR($J97="",$F97="不适用"),"",IFERROR(INDEX(_怪物模型!$F$2:$F$4501,(INT($J97)-1)*ROWS(_怪物类型!$A$2:$A$10)+MATCH($F97,_怪物类型!$A$2:$A$10,0))*IF($M97="",1,$M97),""))</f>
        <v>12353</v>
      </c>
      <c r="V97" s="47">
        <f t="shared" si="10"/>
        <v>0.339806893516354</v>
      </c>
      <c r="W97" s="48">
        <f t="shared" si="11"/>
        <v>105822.098556012</v>
      </c>
      <c r="X97" s="48">
        <f t="shared" si="12"/>
        <v>0.301625485965358</v>
      </c>
      <c r="Y97" s="48">
        <f t="shared" si="13"/>
        <v>60.4192494104279</v>
      </c>
      <c r="Z97" s="49" t="str">
        <f t="shared" si="14"/>
        <v/>
      </c>
      <c r="AA97" s="30" t="str">
        <f t="shared" si="15"/>
        <v>已计算</v>
      </c>
      <c r="AB97" s="30" t="str">
        <f t="shared" si="16"/>
        <v>有效</v>
      </c>
      <c r="AC97" s="30" t="str">
        <f t="shared" si="17"/>
        <v/>
      </c>
      <c r="AD97" s="31" t="s">
        <v>439</v>
      </c>
      <c r="AE97">
        <v>149000</v>
      </c>
      <c r="AF97">
        <f>INDEX(_统一战力!$B$2:$B$501,J97)</f>
        <v>369000</v>
      </c>
    </row>
    <row r="98" ht="25" customHeight="1" spans="1:32">
      <c r="A98" s="30" t="s">
        <v>150</v>
      </c>
      <c r="B98" s="30" t="s">
        <v>51</v>
      </c>
      <c r="C98" s="31" t="s">
        <v>412</v>
      </c>
      <c r="D98" s="31" t="s">
        <v>440</v>
      </c>
      <c r="E98" s="31" t="s">
        <v>441</v>
      </c>
      <c r="F98" s="30" t="s">
        <v>154</v>
      </c>
      <c r="G98" s="40">
        <v>94</v>
      </c>
      <c r="H98" s="41"/>
      <c r="I98" s="42">
        <f t="shared" si="9"/>
        <v>94</v>
      </c>
      <c r="J98" s="43">
        <v>139</v>
      </c>
      <c r="K98" s="44">
        <v>0.97164172118924</v>
      </c>
      <c r="L98" s="44">
        <v>1.07037632595104</v>
      </c>
      <c r="M98" s="44">
        <v>1</v>
      </c>
      <c r="N98" s="45"/>
      <c r="O98" s="45"/>
      <c r="P98" s="45"/>
      <c r="Q98" s="46">
        <f>IF($I98="","",IFERROR(INDEX(_玩家曲线!$H$2:$H$286,MATCH($I98,_玩家曲线!$A$2:$A$286,0)),""))</f>
        <v>357088.545345091</v>
      </c>
      <c r="R98" s="46">
        <f>IF($I98="","",IFERROR(INDEX(_玩家曲线!$I$2:$I$286,MATCH($I98,_玩家曲线!$A$2:$A$286,0)),""))</f>
        <v>696968.146649284</v>
      </c>
      <c r="S98" s="46">
        <f>IF(OR($J98="",$F98="不适用"),"",IFERROR(INDEX(_怪物模型!$D$2:$D$4501,(INT($J98)-1)*ROWS(_怪物类型!$A$2:$A$10)+MATCH($F98,_怪物类型!$A$2:$A$10,0))*IF($K98="",1,$K98),""))</f>
        <v>70692.7650668443</v>
      </c>
      <c r="T98" s="46">
        <f>IF(OR($J98="",$F98="不适用"),"",IFERROR(INDEX(_怪物模型!$E$2:$E$4501,(INT($J98)-1)*ROWS(_怪物类型!$A$2:$A$10)+MATCH($F98,_怪物类型!$A$2:$A$10,0))*IF($L98="",1,$L98),""))</f>
        <v>11476.5749668471</v>
      </c>
      <c r="U98" s="46">
        <f>IF(OR($J98="",$F98="不适用"),"",IFERROR(INDEX(_怪物模型!$F$2:$F$4501,(INT($J98)-1)*ROWS(_怪物类型!$A$2:$A$10)+MATCH($F98,_怪物类型!$A$2:$A$10,0))*IF($M98="",1,$M98),""))</f>
        <v>12458</v>
      </c>
      <c r="V98" s="47">
        <f t="shared" si="10"/>
        <v>0.341708267047013</v>
      </c>
      <c r="W98" s="48">
        <f t="shared" si="11"/>
        <v>107388.201200292</v>
      </c>
      <c r="X98" s="48">
        <f t="shared" si="12"/>
        <v>0.300732696694351</v>
      </c>
      <c r="Y98" s="48">
        <f t="shared" si="13"/>
        <v>60.7296295857127</v>
      </c>
      <c r="Z98" s="49" t="str">
        <f t="shared" si="14"/>
        <v/>
      </c>
      <c r="AA98" s="30" t="str">
        <f t="shared" si="15"/>
        <v>已计算</v>
      </c>
      <c r="AB98" s="30" t="str">
        <f t="shared" si="16"/>
        <v>有效</v>
      </c>
      <c r="AC98" s="30" t="str">
        <f t="shared" si="17"/>
        <v/>
      </c>
      <c r="AD98" s="31" t="s">
        <v>442</v>
      </c>
      <c r="AE98">
        <v>151000</v>
      </c>
      <c r="AF98">
        <f>INDEX(_统一战力!$B$2:$B$501,J98)</f>
        <v>375000</v>
      </c>
    </row>
    <row r="99" ht="25" customHeight="1" spans="1:32">
      <c r="A99" s="30" t="s">
        <v>150</v>
      </c>
      <c r="B99" s="30" t="s">
        <v>51</v>
      </c>
      <c r="C99" s="31" t="s">
        <v>412</v>
      </c>
      <c r="D99" s="31" t="s">
        <v>443</v>
      </c>
      <c r="E99" s="31" t="s">
        <v>444</v>
      </c>
      <c r="F99" s="30" t="s">
        <v>154</v>
      </c>
      <c r="G99" s="40">
        <v>95</v>
      </c>
      <c r="H99" s="41"/>
      <c r="I99" s="42">
        <f t="shared" si="9"/>
        <v>95</v>
      </c>
      <c r="J99" s="43">
        <v>141</v>
      </c>
      <c r="K99" s="44">
        <v>0.966132979675865</v>
      </c>
      <c r="L99" s="44">
        <v>1.06964047849819</v>
      </c>
      <c r="M99" s="44">
        <v>1</v>
      </c>
      <c r="N99" s="45"/>
      <c r="O99" s="45"/>
      <c r="P99" s="45"/>
      <c r="Q99" s="46">
        <f>IF($I99="","",IFERROR(INDEX(_玩家曲线!$H$2:$H$286,MATCH($I99,_玩家曲线!$A$2:$A$286,0)),""))</f>
        <v>363417.105400859</v>
      </c>
      <c r="R99" s="46">
        <f>IF($I99="","",IFERROR(INDEX(_玩家曲线!$I$2:$I$286,MATCH($I99,_玩家曲线!$A$2:$A$286,0)),""))</f>
        <v>707692.113002087</v>
      </c>
      <c r="S99" s="46">
        <f>IF(OR($J99="",$F99="不适用"),"",IFERROR(INDEX(_怪物模型!$D$2:$D$4501,(INT($J99)-1)*ROWS(_怪物类型!$A$2:$A$10)+MATCH($F99,_怪物类型!$A$2:$A$10,0))*IF($K99="",1,$K99),""))</f>
        <v>72471.567071446</v>
      </c>
      <c r="T99" s="46">
        <f>IF(OR($J99="",$F99="不适用"),"",IFERROR(INDEX(_怪物模型!$E$2:$E$4501,(INT($J99)-1)*ROWS(_怪物类型!$A$2:$A$10)+MATCH($F99,_怪物类型!$A$2:$A$10,0))*IF($L99="",1,$L99),""))</f>
        <v>11724.3292848187</v>
      </c>
      <c r="U99" s="46">
        <f>IF(OR($J99="",$F99="不适用"),"",IFERROR(INDEX(_怪物模型!$F$2:$F$4501,(INT($J99)-1)*ROWS(_怪物类型!$A$2:$A$10)+MATCH($F99,_怪物类型!$A$2:$A$10,0))*IF($M99="",1,$M99),""))</f>
        <v>12670</v>
      </c>
      <c r="V99" s="47">
        <f t="shared" si="10"/>
        <v>0.345514044177802</v>
      </c>
      <c r="W99" s="48">
        <f t="shared" si="11"/>
        <v>110730.515187914</v>
      </c>
      <c r="X99" s="48">
        <f t="shared" si="12"/>
        <v>0.304692634282513</v>
      </c>
      <c r="Y99" s="48">
        <f t="shared" si="13"/>
        <v>60.3609891713335</v>
      </c>
      <c r="Z99" s="49" t="str">
        <f t="shared" si="14"/>
        <v/>
      </c>
      <c r="AA99" s="30" t="str">
        <f t="shared" si="15"/>
        <v>已计算</v>
      </c>
      <c r="AB99" s="30" t="str">
        <f t="shared" si="16"/>
        <v>有效</v>
      </c>
      <c r="AC99" s="30" t="str">
        <f t="shared" si="17"/>
        <v/>
      </c>
      <c r="AD99" s="31" t="s">
        <v>445</v>
      </c>
      <c r="AE99">
        <v>153000</v>
      </c>
      <c r="AF99">
        <f>INDEX(_统一战力!$B$2:$B$501,J99)</f>
        <v>381000</v>
      </c>
    </row>
    <row r="100" ht="25" customHeight="1" spans="1:32">
      <c r="A100" s="30" t="s">
        <v>150</v>
      </c>
      <c r="B100" s="30" t="s">
        <v>51</v>
      </c>
      <c r="C100" s="31" t="s">
        <v>412</v>
      </c>
      <c r="D100" s="31" t="s">
        <v>446</v>
      </c>
      <c r="E100" s="31" t="s">
        <v>447</v>
      </c>
      <c r="F100" s="30" t="s">
        <v>154</v>
      </c>
      <c r="G100" s="40">
        <v>96</v>
      </c>
      <c r="H100" s="41"/>
      <c r="I100" s="42">
        <f t="shared" si="9"/>
        <v>96</v>
      </c>
      <c r="J100" s="43">
        <v>141</v>
      </c>
      <c r="K100" s="44">
        <v>0.965746738910535</v>
      </c>
      <c r="L100" s="44">
        <v>1.06962858695769</v>
      </c>
      <c r="M100" s="44">
        <v>1</v>
      </c>
      <c r="N100" s="45"/>
      <c r="O100" s="45"/>
      <c r="P100" s="45"/>
      <c r="Q100" s="46">
        <f>IF($I100="","",IFERROR(INDEX(_玩家曲线!$H$2:$H$286,MATCH($I100,_玩家曲线!$A$2:$A$286,0)),""))</f>
        <v>369825.877110177</v>
      </c>
      <c r="R100" s="46">
        <f>IF($I100="","",IFERROR(INDEX(_玩家曲线!$I$2:$I$286,MATCH($I100,_玩家曲线!$A$2:$A$286,0)),""))</f>
        <v>718515.642412547</v>
      </c>
      <c r="S100" s="46">
        <f>IF(OR($J100="",$F100="不适用"),"",IFERROR(INDEX(_怪物模型!$D$2:$D$4501,(INT($J100)-1)*ROWS(_怪物类型!$A$2:$A$10)+MATCH($F100,_怪物类型!$A$2:$A$10,0))*IF($K100="",1,$K100),""))</f>
        <v>72442.594379157</v>
      </c>
      <c r="T100" s="46">
        <f>IF(OR($J100="",$F100="不适用"),"",IFERROR(INDEX(_怪物模型!$E$2:$E$4501,(INT($J100)-1)*ROWS(_怪物类型!$A$2:$A$10)+MATCH($F100,_怪物类型!$A$2:$A$10,0))*IF($L100="",1,$L100),""))</f>
        <v>11724.1989416432</v>
      </c>
      <c r="U100" s="46">
        <f>IF(OR($J100="",$F100="不适用"),"",IFERROR(INDEX(_怪物模型!$F$2:$F$4501,(INT($J100)-1)*ROWS(_怪物类型!$A$2:$A$10)+MATCH($F100,_怪物类型!$A$2:$A$10,0))*IF($M100="",1,$M100),""))</f>
        <v>12670</v>
      </c>
      <c r="V100" s="47">
        <f t="shared" si="10"/>
        <v>0.345514044177802</v>
      </c>
      <c r="W100" s="48">
        <f t="shared" si="11"/>
        <v>110686.247328487</v>
      </c>
      <c r="X100" s="48">
        <f t="shared" si="12"/>
        <v>0.299292867750062</v>
      </c>
      <c r="Y100" s="48">
        <f t="shared" si="13"/>
        <v>61.284838818322</v>
      </c>
      <c r="Z100" s="49" t="str">
        <f t="shared" si="14"/>
        <v/>
      </c>
      <c r="AA100" s="30" t="str">
        <f t="shared" si="15"/>
        <v>已计算</v>
      </c>
      <c r="AB100" s="30" t="str">
        <f t="shared" si="16"/>
        <v>有效</v>
      </c>
      <c r="AC100" s="30" t="str">
        <f t="shared" si="17"/>
        <v/>
      </c>
      <c r="AD100" s="31" t="s">
        <v>448</v>
      </c>
      <c r="AE100">
        <v>155000</v>
      </c>
      <c r="AF100">
        <f>INDEX(_统一战力!$B$2:$B$501,J100)</f>
        <v>381000</v>
      </c>
    </row>
    <row r="101" ht="25" customHeight="1" spans="1:32">
      <c r="A101" s="30" t="s">
        <v>150</v>
      </c>
      <c r="B101" s="30" t="s">
        <v>51</v>
      </c>
      <c r="C101" s="31" t="s">
        <v>412</v>
      </c>
      <c r="D101" s="31" t="s">
        <v>449</v>
      </c>
      <c r="E101" s="31" t="s">
        <v>450</v>
      </c>
      <c r="F101" s="30" t="s">
        <v>154</v>
      </c>
      <c r="G101" s="40">
        <v>97</v>
      </c>
      <c r="H101" s="41"/>
      <c r="I101" s="42">
        <f t="shared" si="9"/>
        <v>97</v>
      </c>
      <c r="J101" s="43">
        <v>142</v>
      </c>
      <c r="K101" s="44">
        <v>0.963366110748191</v>
      </c>
      <c r="L101" s="44">
        <v>1.06972801368831</v>
      </c>
      <c r="M101" s="44">
        <v>1</v>
      </c>
      <c r="N101" s="45"/>
      <c r="O101" s="45"/>
      <c r="P101" s="45"/>
      <c r="Q101" s="46">
        <f>IF($I101="","",IFERROR(INDEX(_玩家曲线!$H$2:$H$286,MATCH($I101,_玩家曲线!$A$2:$A$286,0)),""))</f>
        <v>376315.683905898</v>
      </c>
      <c r="R101" s="46">
        <f>IF($I101="","",IFERROR(INDEX(_玩家曲线!$I$2:$I$286,MATCH($I101,_玩家曲线!$A$2:$A$286,0)),""))</f>
        <v>729439.285527569</v>
      </c>
      <c r="S101" s="46">
        <f>IF(OR($J101="",$F101="不适用"),"",IFERROR(INDEX(_怪物模型!$D$2:$D$4501,(INT($J101)-1)*ROWS(_怪物类型!$A$2:$A$10)+MATCH($F101,_怪物类型!$A$2:$A$10,0))*IF($K101="",1,$K101),""))</f>
        <v>73368.9996284715</v>
      </c>
      <c r="T101" s="46">
        <f>IF(OR($J101="",$F101="不适用"),"",IFERROR(INDEX(_怪物模型!$E$2:$E$4501,(INT($J101)-1)*ROWS(_怪物类型!$A$2:$A$10)+MATCH($F101,_怪物类型!$A$2:$A$10,0))*IF($L101="",1,$L101),""))</f>
        <v>11853.6561196802</v>
      </c>
      <c r="U101" s="46">
        <f>IF(OR($J101="",$F101="不适用"),"",IFERROR(INDEX(_怪物模型!$F$2:$F$4501,(INT($J101)-1)*ROWS(_怪物类型!$A$2:$A$10)+MATCH($F101,_怪物类型!$A$2:$A$10,0))*IF($M101="",1,$M101),""))</f>
        <v>12776</v>
      </c>
      <c r="V101" s="47">
        <f t="shared" si="10"/>
        <v>0.347400478572982</v>
      </c>
      <c r="W101" s="48">
        <f t="shared" si="11"/>
        <v>112425.763764028</v>
      </c>
      <c r="X101" s="48">
        <f t="shared" si="12"/>
        <v>0.298753861643835</v>
      </c>
      <c r="Y101" s="48">
        <f t="shared" si="13"/>
        <v>61.53707161426</v>
      </c>
      <c r="Z101" s="49" t="str">
        <f t="shared" si="14"/>
        <v/>
      </c>
      <c r="AA101" s="30" t="str">
        <f t="shared" si="15"/>
        <v>已计算</v>
      </c>
      <c r="AB101" s="30" t="str">
        <f t="shared" si="16"/>
        <v>有效</v>
      </c>
      <c r="AC101" s="30" t="str">
        <f t="shared" si="17"/>
        <v/>
      </c>
      <c r="AD101" s="31" t="s">
        <v>451</v>
      </c>
      <c r="AE101">
        <v>157000</v>
      </c>
      <c r="AF101">
        <f>INDEX(_统一战力!$B$2:$B$501,J101)</f>
        <v>392000</v>
      </c>
    </row>
    <row r="102" ht="25" customHeight="1" spans="1:32">
      <c r="A102" s="30" t="s">
        <v>150</v>
      </c>
      <c r="B102" s="30" t="s">
        <v>51</v>
      </c>
      <c r="C102" s="31" t="s">
        <v>412</v>
      </c>
      <c r="D102" s="31" t="s">
        <v>452</v>
      </c>
      <c r="E102" s="31" t="s">
        <v>453</v>
      </c>
      <c r="F102" s="30" t="s">
        <v>154</v>
      </c>
      <c r="G102" s="40">
        <v>98</v>
      </c>
      <c r="H102" s="41"/>
      <c r="I102" s="42">
        <f t="shared" si="9"/>
        <v>98</v>
      </c>
      <c r="J102" s="43">
        <v>143</v>
      </c>
      <c r="K102" s="44">
        <v>0.976345726483203</v>
      </c>
      <c r="L102" s="44">
        <v>1.08154140586632</v>
      </c>
      <c r="M102" s="44">
        <v>1</v>
      </c>
      <c r="N102" s="45"/>
      <c r="O102" s="45"/>
      <c r="P102" s="45"/>
      <c r="Q102" s="46">
        <f>IF($I102="","",IFERROR(INDEX(_玩家曲线!$H$2:$H$286,MATCH($I102,_玩家曲线!$A$2:$A$286,0)),""))</f>
        <v>382887.355974998</v>
      </c>
      <c r="R102" s="46">
        <f>IF($I102="","",IFERROR(INDEX(_玩家曲线!$I$2:$I$286,MATCH($I102,_玩家曲线!$A$2:$A$286,0)),""))</f>
        <v>740463.594501353</v>
      </c>
      <c r="S102" s="46">
        <f>IF(OR($J102="",$F102="不适用"),"",IFERROR(INDEX(_怪物模型!$D$2:$D$4501,(INT($J102)-1)*ROWS(_怪物类型!$A$2:$A$10)+MATCH($F102,_怪物类型!$A$2:$A$10,0))*IF($K102="",1,$K102),""))</f>
        <v>75489.0988802283</v>
      </c>
      <c r="T102" s="46">
        <f>IF(OR($J102="",$F102="不适用"),"",IFERROR(INDEX(_怪物模型!$E$2:$E$4501,(INT($J102)-1)*ROWS(_怪物类型!$A$2:$A$10)+MATCH($F102,_怪物类型!$A$2:$A$10,0))*IF($L102="",1,$L102),""))</f>
        <v>12116.5083699204</v>
      </c>
      <c r="U102" s="46">
        <f>IF(OR($J102="",$F102="不适用"),"",IFERROR(INDEX(_怪物模型!$F$2:$F$4501,(INT($J102)-1)*ROWS(_怪物类型!$A$2:$A$10)+MATCH($F102,_怪物类型!$A$2:$A$10,0))*IF($M102="",1,$M102),""))</f>
        <v>12882</v>
      </c>
      <c r="V102" s="47">
        <f t="shared" si="10"/>
        <v>0.349276069627461</v>
      </c>
      <c r="W102" s="48">
        <f t="shared" si="11"/>
        <v>116007.872704191</v>
      </c>
      <c r="X102" s="48">
        <f t="shared" si="12"/>
        <v>0.302981727899539</v>
      </c>
      <c r="Y102" s="48">
        <f t="shared" si="13"/>
        <v>61.1119616225065</v>
      </c>
      <c r="Z102" s="49" t="str">
        <f t="shared" si="14"/>
        <v/>
      </c>
      <c r="AA102" s="30" t="str">
        <f t="shared" si="15"/>
        <v>已计算</v>
      </c>
      <c r="AB102" s="30" t="str">
        <f t="shared" si="16"/>
        <v>有效</v>
      </c>
      <c r="AC102" s="30" t="str">
        <f t="shared" si="17"/>
        <v/>
      </c>
      <c r="AD102" s="31" t="s">
        <v>454</v>
      </c>
      <c r="AE102">
        <v>159000</v>
      </c>
      <c r="AF102">
        <f>INDEX(_统一战力!$B$2:$B$501,J102)</f>
        <v>398000</v>
      </c>
    </row>
    <row r="103" ht="25" customHeight="1" spans="1:32">
      <c r="A103" s="30" t="s">
        <v>150</v>
      </c>
      <c r="B103" s="30" t="s">
        <v>51</v>
      </c>
      <c r="C103" s="31" t="s">
        <v>412</v>
      </c>
      <c r="D103" s="31" t="s">
        <v>455</v>
      </c>
      <c r="E103" s="31" t="s">
        <v>456</v>
      </c>
      <c r="F103" s="30" t="s">
        <v>164</v>
      </c>
      <c r="G103" s="40">
        <v>99</v>
      </c>
      <c r="H103" s="41"/>
      <c r="I103" s="42">
        <f t="shared" si="9"/>
        <v>99</v>
      </c>
      <c r="J103" s="43">
        <v>154</v>
      </c>
      <c r="K103" s="44">
        <v>1.04827330321245</v>
      </c>
      <c r="L103" s="44">
        <v>0.875375075636608</v>
      </c>
      <c r="M103" s="44">
        <v>1</v>
      </c>
      <c r="N103" s="45"/>
      <c r="O103" s="45"/>
      <c r="P103" s="45"/>
      <c r="Q103" s="46">
        <f>IF($I103="","",IFERROR(INDEX(_玩家曲线!$H$2:$H$286,MATCH($I103,_玩家曲线!$A$2:$A$286,0)),""))</f>
        <v>389541.730298325</v>
      </c>
      <c r="R103" s="46">
        <f>IF($I103="","",IFERROR(INDEX(_玩家曲线!$I$2:$I$286,MATCH($I103,_玩家曲线!$A$2:$A$286,0)),""))</f>
        <v>751589.12299661</v>
      </c>
      <c r="S103" s="46">
        <f>IF(OR($J103="",$F103="不适用"),"",IFERROR(INDEX(_怪物模型!$D$2:$D$4501,(INT($J103)-1)*ROWS(_怪物类型!$A$2:$A$10)+MATCH($F103,_怪物类型!$A$2:$A$10,0))*IF($K103="",1,$K103),""))</f>
        <v>8114806.28814405</v>
      </c>
      <c r="T103" s="46">
        <f>IF(OR($J103="",$F103="不适用"),"",IFERROR(INDEX(_怪物模型!$E$2:$E$4501,(INT($J103)-1)*ROWS(_怪物类型!$A$2:$A$10)+MATCH($F103,_怪物类型!$A$2:$A$10,0))*IF($L103="",1,$L103),""))</f>
        <v>12650.0452180246</v>
      </c>
      <c r="U103" s="46">
        <f>IF(OR($J103="",$F103="不适用"),"",IFERROR(INDEX(_怪物模型!$F$2:$F$4501,(INT($J103)-1)*ROWS(_怪物类型!$A$2:$A$10)+MATCH($F103,_怪物类型!$A$2:$A$10,0))*IF($M103="",1,$M103),""))</f>
        <v>14066</v>
      </c>
      <c r="V103" s="47">
        <f t="shared" si="10"/>
        <v>0.36951610360952</v>
      </c>
      <c r="W103" s="48">
        <f t="shared" si="11"/>
        <v>12870759.0068538</v>
      </c>
      <c r="X103" s="48">
        <f t="shared" si="12"/>
        <v>33.0407707461712</v>
      </c>
      <c r="Y103" s="48">
        <f t="shared" si="13"/>
        <v>59.4139475427089</v>
      </c>
      <c r="Z103" s="49" t="str">
        <f t="shared" si="14"/>
        <v/>
      </c>
      <c r="AA103" s="30" t="str">
        <f t="shared" si="15"/>
        <v>已计算</v>
      </c>
      <c r="AB103" s="30" t="str">
        <f t="shared" si="16"/>
        <v>有效</v>
      </c>
      <c r="AC103" s="30" t="str">
        <f t="shared" si="17"/>
        <v/>
      </c>
      <c r="AD103" s="31" t="s">
        <v>457</v>
      </c>
      <c r="AE103">
        <v>161000</v>
      </c>
      <c r="AF103">
        <f>INDEX(_统一战力!$B$2:$B$501,J103)</f>
        <v>403000</v>
      </c>
    </row>
    <row r="104" ht="25" customHeight="1"/>
    <row r="105" ht="25" customHeight="1"/>
    <row r="106" ht="25" customHeight="1"/>
    <row r="107" ht="25" customHeight="1"/>
    <row r="108" ht="25" customHeight="1"/>
    <row r="109" ht="25" customHeight="1"/>
  </sheetData>
  <mergeCells count="3">
    <mergeCell ref="A1:AD1"/>
    <mergeCell ref="A2:AD2"/>
    <mergeCell ref="A3:AD3"/>
  </mergeCells>
  <conditionalFormatting sqref="J5:J103">
    <cfRule type="expression" dxfId="2" priority="1">
      <formula>AND($A5&lt;&gt;"特殊：双方属性对算",$J5="")</formula>
    </cfRule>
  </conditionalFormatting>
  <conditionalFormatting sqref="AA5:AA103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103">
    <cfRule type="expression" dxfId="4" priority="2">
      <formula>$AB5="超范围"</formula>
    </cfRule>
  </conditionalFormatting>
  <conditionalFormatting sqref="AC5:AC103">
    <cfRule type="expression" dxfId="4" priority="7">
      <formula>$AC5="下降"</formula>
    </cfRule>
  </conditionalFormatting>
  <dataValidations count="5">
    <dataValidation type="list" sqref="F5:F103">
      <formula1>_字典!$A$2:$A$11</formula1>
    </dataValidation>
    <dataValidation type="whole" operator="between" allowBlank="1" sqref="H5:H103">
      <formula1>1</formula1>
      <formula2>285</formula2>
    </dataValidation>
    <dataValidation type="whole" operator="between" allowBlank="1" sqref="J5:J103">
      <formula1>1</formula1>
      <formula2>500</formula2>
    </dataValidation>
    <dataValidation type="decimal" operator="between" allowBlank="1" sqref="P5:P103">
      <formula1>0.01</formula1>
      <formula2>3600</formula2>
    </dataValidation>
    <dataValidation type="decimal" operator="between" allowBlank="1" sqref="K5:O103">
      <formula1>0</formula1>
      <formula2>100</formula2>
    </dataValidation>
  </dataValidations>
  <hyperlinks>
    <hyperlink ref="A1" r:id="rId4" display="全玩法难度填写｜主线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F5597"/>
  </sheetPr>
  <dimension ref="A1:AF39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  <col min="31" max="32" width="22" customWidth="1"/>
  </cols>
  <sheetData>
    <row r="1" ht="34" customHeight="1" spans="1:32">
      <c r="A1" s="26" t="s">
        <v>458</v>
      </c>
    </row>
    <row r="2" ht="30" customHeight="1" spans="1:32">
      <c r="A2" s="27" t="s">
        <v>119</v>
      </c>
    </row>
    <row r="3" ht="14.25" customHeight="1" spans="1:32">
      <c r="A3" s="28" t="s">
        <v>120</v>
      </c>
    </row>
    <row r="4" ht="30" customHeight="1" spans="1:32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  <c r="AE4" s="8" t="s">
        <v>148</v>
      </c>
      <c r="AF4" s="8" t="s">
        <v>149</v>
      </c>
    </row>
    <row r="5" ht="25" customHeight="1" spans="1:32">
      <c r="A5" s="30" t="s">
        <v>150</v>
      </c>
      <c r="B5" s="30" t="s">
        <v>53</v>
      </c>
      <c r="C5" s="31" t="s">
        <v>459</v>
      </c>
      <c r="D5" s="31" t="s">
        <v>460</v>
      </c>
      <c r="E5" s="31" t="s">
        <v>461</v>
      </c>
      <c r="F5" s="30" t="s">
        <v>154</v>
      </c>
      <c r="G5" s="40">
        <v>71</v>
      </c>
      <c r="H5" s="41"/>
      <c r="I5" s="42">
        <f t="shared" ref="I5:I39" si="0">IF($H5="",$G5,$H5)</f>
        <v>71</v>
      </c>
      <c r="J5" s="43">
        <v>116</v>
      </c>
      <c r="K5" s="44">
        <v>0.935978845415059</v>
      </c>
      <c r="L5" s="44">
        <v>1.00554975854801</v>
      </c>
      <c r="M5" s="44">
        <v>1</v>
      </c>
      <c r="N5" s="45"/>
      <c r="O5" s="45"/>
      <c r="P5" s="45"/>
      <c r="Q5" s="46">
        <f>IF($I5="","",IFERROR(INDEX(_玩家曲线!$H$2:$H$286,MATCH($I5,_玩家曲线!$A$2:$A$286,0)),""))</f>
        <v>210946.374313077</v>
      </c>
      <c r="R5" s="46">
        <f>IF($I5="","",IFERROR(INDEX(_玩家曲线!$I$2:$I$286,MATCH($I5,_玩家曲线!$A$2:$A$286,0)),""))</f>
        <v>438316.654491512</v>
      </c>
      <c r="S5" s="46">
        <f>IF(OR($J5="",$F5="不适用"),"",IFERROR(INDEX(_怪物模型!$D$2:$D$4501,(INT($J5)-1)*ROWS(_怪物类型!$A$2:$A$10)+MATCH($F5,_怪物类型!$A$2:$A$10,0))*IF($K5="",1,$K5),""))</f>
        <v>46873.8205783862</v>
      </c>
      <c r="T5" s="46">
        <f>IF(OR($J5="",$F5="不适用"),"",IFERROR(INDEX(_怪物模型!$E$2:$E$4501,(INT($J5)-1)*ROWS(_怪物类型!$A$2:$A$10)+MATCH($F5,_怪物类型!$A$2:$A$10,0))*IF($L5="",1,$L5),""))</f>
        <v>8225.39702492272</v>
      </c>
      <c r="U5" s="46">
        <f>IF(OR($J5="",$F5="不适用"),"",IFERROR(INDEX(_怪物模型!$F$2:$F$4501,(INT($J5)-1)*ROWS(_怪物类型!$A$2:$A$10)+MATCH($F5,_怪物类型!$A$2:$A$10,0))*IF($M5="",1,$M5),""))</f>
        <v>10093</v>
      </c>
      <c r="V5" s="47">
        <f t="shared" ref="V5:V39" si="1">IF($U5="","",MIN(0.75,$U5/($U5+24000)))</f>
        <v>0.296043176018538</v>
      </c>
      <c r="W5" s="48">
        <f t="shared" ref="W5:W39" si="2">IF($S5="","",$S5/(1-$V5)*IF($N5="",1,$N5))</f>
        <v>66586.215207455</v>
      </c>
      <c r="X5" s="48">
        <f t="shared" ref="X5:X39" si="3">IF(OR($W5="",$Q5="",$Q5=0),"",$W5/$Q5)</f>
        <v>0.315654703354279</v>
      </c>
      <c r="Y5" s="48">
        <f t="shared" ref="Y5:Y39" si="4">IF(OR($R5="",$T5="",$T5=0),"",$R5/($T5*IF($O5="",1,$O5)))</f>
        <v>53.2882064128242</v>
      </c>
      <c r="Z5" s="49" t="str">
        <f t="shared" ref="Z5:Z39" si="5">IF(OR($X5="",$P5="",$P5=0),"",$X5/$P5)</f>
        <v/>
      </c>
      <c r="AA5" s="30" t="str">
        <f t="shared" ref="AA5:AA39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 t="shared" ref="AB5:AB39" si="7">IF($J5="","待填",IF(AND(ISNUMBER($J5),$J5&gt;=1,$J5&lt;=500,MOD($J5,1)=0),"有效","超范围"))</f>
        <v>有效</v>
      </c>
      <c r="AC5" s="30" t="str">
        <f t="shared" ref="AC5:AC39" si="8">IF(OR($J5="",ROW()=5,$B5&lt;&gt;$B4,$J4=""),"",IF($J5&lt;$J4,"下降",""))</f>
        <v/>
      </c>
      <c r="AD5" s="31" t="s">
        <v>462</v>
      </c>
      <c r="AE5">
        <v>82700</v>
      </c>
      <c r="AF5">
        <f>INDEX(_统一战力!$B$2:$B$501,J5)</f>
        <v>255000</v>
      </c>
    </row>
    <row r="6" ht="25" customHeight="1" spans="1:32">
      <c r="A6" s="30" t="s">
        <v>150</v>
      </c>
      <c r="B6" s="30" t="s">
        <v>53</v>
      </c>
      <c r="C6" s="31" t="s">
        <v>459</v>
      </c>
      <c r="D6" s="31" t="s">
        <v>463</v>
      </c>
      <c r="E6" s="31" t="s">
        <v>464</v>
      </c>
      <c r="F6" s="30" t="s">
        <v>154</v>
      </c>
      <c r="G6" s="40">
        <v>72</v>
      </c>
      <c r="H6" s="41"/>
      <c r="I6" s="42">
        <f t="shared" si="0"/>
        <v>72</v>
      </c>
      <c r="J6" s="43">
        <v>119</v>
      </c>
      <c r="K6" s="44">
        <v>0.947115733768273</v>
      </c>
      <c r="L6" s="44">
        <v>1.01337755353988</v>
      </c>
      <c r="M6" s="44">
        <v>1</v>
      </c>
      <c r="N6" s="45"/>
      <c r="O6" s="45"/>
      <c r="P6" s="45"/>
      <c r="Q6" s="46">
        <f>IF($I6="","",IFERROR(INDEX(_玩家曲线!$H$2:$H$286,MATCH($I6,_玩家曲线!$A$2:$A$286,0)),""))</f>
        <v>216890.590855432</v>
      </c>
      <c r="R6" s="46">
        <f>IF($I6="","",IFERROR(INDEX(_玩家曲线!$I$2:$I$286,MATCH($I6,_玩家曲线!$A$2:$A$286,0)),""))</f>
        <v>449316.591842609</v>
      </c>
      <c r="S6" s="46">
        <f>IF(OR($J6="",$F6="不适用"),"",IFERROR(INDEX(_怪物模型!$D$2:$D$4501,(INT($J6)-1)*ROWS(_怪物类型!$A$2:$A$10)+MATCH($F6,_怪物类型!$A$2:$A$10,0))*IF($K6="",1,$K6),""))</f>
        <v>49927.2059055945</v>
      </c>
      <c r="T6" s="46">
        <f>IF(OR($J6="",$F6="不适用"),"",IFERROR(INDEX(_怪物模型!$E$2:$E$4501,(INT($J6)-1)*ROWS(_怪物类型!$A$2:$A$10)+MATCH($F6,_怪物类型!$A$2:$A$10,0))*IF($L6="",1,$L6),""))</f>
        <v>8603.57542955358</v>
      </c>
      <c r="U6" s="46">
        <f>IF(OR($J6="",$F6="不适用"),"",IFERROR(INDEX(_怪物模型!$F$2:$F$4501,(INT($J6)-1)*ROWS(_怪物类型!$A$2:$A$10)+MATCH($F6,_怪物类型!$A$2:$A$10,0))*IF($M6="",1,$M6),""))</f>
        <v>10395</v>
      </c>
      <c r="V6" s="47">
        <f t="shared" si="1"/>
        <v>0.302224160488443</v>
      </c>
      <c r="W6" s="48">
        <f t="shared" si="2"/>
        <v>71551.9269634551</v>
      </c>
      <c r="X6" s="48">
        <f t="shared" si="3"/>
        <v>0.329898713822712</v>
      </c>
      <c r="Y6" s="48">
        <f t="shared" si="4"/>
        <v>52.2244031590856</v>
      </c>
      <c r="Z6" s="49" t="str">
        <f t="shared" si="5"/>
        <v/>
      </c>
      <c r="AA6" s="30" t="str">
        <f t="shared" si="6"/>
        <v>已计算</v>
      </c>
      <c r="AB6" s="30" t="str">
        <f t="shared" si="7"/>
        <v>有效</v>
      </c>
      <c r="AC6" s="30" t="str">
        <f t="shared" si="8"/>
        <v/>
      </c>
      <c r="AD6" s="31" t="s">
        <v>465</v>
      </c>
      <c r="AE6">
        <v>87000</v>
      </c>
      <c r="AF6">
        <f>INDEX(_统一战力!$B$2:$B$501,J6)</f>
        <v>261000</v>
      </c>
    </row>
    <row r="7" ht="25" customHeight="1" spans="1:32">
      <c r="A7" s="30" t="s">
        <v>150</v>
      </c>
      <c r="B7" s="30" t="s">
        <v>53</v>
      </c>
      <c r="C7" s="31" t="s">
        <v>459</v>
      </c>
      <c r="D7" s="31" t="s">
        <v>466</v>
      </c>
      <c r="E7" s="31" t="s">
        <v>467</v>
      </c>
      <c r="F7" s="30" t="s">
        <v>154</v>
      </c>
      <c r="G7" s="40">
        <v>73</v>
      </c>
      <c r="H7" s="41"/>
      <c r="I7" s="42">
        <f t="shared" si="0"/>
        <v>73</v>
      </c>
      <c r="J7" s="43">
        <v>121</v>
      </c>
      <c r="K7" s="44">
        <v>0.958989463663426</v>
      </c>
      <c r="L7" s="44">
        <v>1.02184141499613</v>
      </c>
      <c r="M7" s="44">
        <v>1</v>
      </c>
      <c r="N7" s="45"/>
      <c r="O7" s="45"/>
      <c r="P7" s="45"/>
      <c r="Q7" s="46">
        <f>IF($I7="","",IFERROR(INDEX(_玩家曲线!$H$2:$H$286,MATCH($I7,_玩家曲线!$A$2:$A$286,0)),""))</f>
        <v>222943.62405799</v>
      </c>
      <c r="R7" s="46">
        <f>IF($I7="","",IFERROR(INDEX(_玩家曲线!$I$2:$I$286,MATCH($I7,_玩家曲线!$A$2:$A$286,0)),""))</f>
        <v>460469.387865687</v>
      </c>
      <c r="S7" s="46">
        <f>IF(OR($J7="",$F7="不适用"),"",IFERROR(INDEX(_怪物模型!$D$2:$D$4501,(INT($J7)-1)*ROWS(_怪物类型!$A$2:$A$10)+MATCH($F7,_怪物类型!$A$2:$A$10,0))*IF($K7="",1,$K7),""))</f>
        <v>52286.982527321</v>
      </c>
      <c r="T7" s="46">
        <f>IF(OR($J7="",$F7="不适用"),"",IFERROR(INDEX(_怪物模型!$E$2:$E$4501,(INT($J7)-1)*ROWS(_怪物类型!$A$2:$A$10)+MATCH($F7,_怪物类型!$A$2:$A$10,0))*IF($L7="",1,$L7),""))</f>
        <v>8890.02031046633</v>
      </c>
      <c r="U7" s="46">
        <f>IF(OR($J7="",$F7="不适用"),"",IFERROR(INDEX(_怪物模型!$F$2:$F$4501,(INT($J7)-1)*ROWS(_怪物类型!$A$2:$A$10)+MATCH($F7,_怪物类型!$A$2:$A$10,0))*IF($M7="",1,$M7),""))</f>
        <v>10597</v>
      </c>
      <c r="V7" s="47">
        <f t="shared" si="1"/>
        <v>0.306298233950921</v>
      </c>
      <c r="W7" s="48">
        <f t="shared" si="2"/>
        <v>75373.8639374052</v>
      </c>
      <c r="X7" s="48">
        <f t="shared" si="3"/>
        <v>0.338084860044258</v>
      </c>
      <c r="Y7" s="48">
        <f t="shared" si="4"/>
        <v>51.7962132576425</v>
      </c>
      <c r="Z7" s="49" t="str">
        <f t="shared" si="5"/>
        <v/>
      </c>
      <c r="AA7" s="30" t="str">
        <f t="shared" si="6"/>
        <v>已计算</v>
      </c>
      <c r="AB7" s="30" t="str">
        <f t="shared" si="7"/>
        <v>有效</v>
      </c>
      <c r="AC7" s="30" t="str">
        <f t="shared" si="8"/>
        <v/>
      </c>
      <c r="AD7" s="31" t="s">
        <v>468</v>
      </c>
      <c r="AE7">
        <v>91400</v>
      </c>
      <c r="AF7">
        <f>INDEX(_统一战力!$B$2:$B$501,J7)</f>
        <v>280000</v>
      </c>
    </row>
    <row r="8" ht="25" customHeight="1" spans="1:32">
      <c r="A8" s="30" t="s">
        <v>150</v>
      </c>
      <c r="B8" s="30" t="s">
        <v>53</v>
      </c>
      <c r="C8" s="31" t="s">
        <v>459</v>
      </c>
      <c r="D8" s="31" t="s">
        <v>469</v>
      </c>
      <c r="E8" s="31" t="s">
        <v>470</v>
      </c>
      <c r="F8" s="30" t="s">
        <v>154</v>
      </c>
      <c r="G8" s="40">
        <v>74</v>
      </c>
      <c r="H8" s="41"/>
      <c r="I8" s="42">
        <f t="shared" si="0"/>
        <v>74</v>
      </c>
      <c r="J8" s="43">
        <v>124</v>
      </c>
      <c r="K8" s="44">
        <v>0.988628986659005</v>
      </c>
      <c r="L8" s="44">
        <v>1.04366231164812</v>
      </c>
      <c r="M8" s="44">
        <v>1</v>
      </c>
      <c r="N8" s="45"/>
      <c r="O8" s="45"/>
      <c r="P8" s="45"/>
      <c r="Q8" s="46">
        <f>IF($I8="","",IFERROR(INDEX(_玩家曲线!$H$2:$H$286,MATCH($I8,_玩家曲线!$A$2:$A$286,0)),""))</f>
        <v>229107.066317105</v>
      </c>
      <c r="R8" s="46">
        <f>IF($I8="","",IFERROR(INDEX(_玩家曲线!$I$2:$I$286,MATCH($I8,_玩家曲线!$A$2:$A$286,0)),""))</f>
        <v>471776.255639066</v>
      </c>
      <c r="S8" s="46">
        <f>IF(OR($J8="",$F8="不适用"),"",IFERROR(INDEX(_怪物模型!$D$2:$D$4501,(INT($J8)-1)*ROWS(_怪物类型!$A$2:$A$10)+MATCH($F8,_怪物类型!$A$2:$A$10,0))*IF($K8="",1,$K8),""))</f>
        <v>56661.2931123876</v>
      </c>
      <c r="T8" s="46">
        <f>IF(OR($J8="",$F8="不适用"),"",IFERROR(INDEX(_怪物模型!$E$2:$E$4501,(INT($J8)-1)*ROWS(_怪物类型!$A$2:$A$10)+MATCH($F8,_怪物类型!$A$2:$A$10,0))*IF($L8="",1,$L8),""))</f>
        <v>9414.87771337769</v>
      </c>
      <c r="U8" s="46">
        <f>IF(OR($J8="",$F8="不适用"),"",IFERROR(INDEX(_怪物模型!$F$2:$F$4501,(INT($J8)-1)*ROWS(_怪物类型!$A$2:$A$10)+MATCH($F8,_怪物类型!$A$2:$A$10,0))*IF($M8="",1,$M8),""))</f>
        <v>10902</v>
      </c>
      <c r="V8" s="47">
        <f t="shared" si="1"/>
        <v>0.312360323190648</v>
      </c>
      <c r="W8" s="48">
        <f t="shared" si="2"/>
        <v>82399.6855086896</v>
      </c>
      <c r="X8" s="48">
        <f t="shared" si="3"/>
        <v>0.359655801251634</v>
      </c>
      <c r="Y8" s="48">
        <f t="shared" si="4"/>
        <v>50.1096530408159</v>
      </c>
      <c r="Z8" s="49" t="str">
        <f t="shared" si="5"/>
        <v/>
      </c>
      <c r="AA8" s="30" t="str">
        <f t="shared" si="6"/>
        <v>已计算</v>
      </c>
      <c r="AB8" s="30" t="str">
        <f t="shared" si="7"/>
        <v>有效</v>
      </c>
      <c r="AC8" s="30" t="str">
        <f t="shared" si="8"/>
        <v/>
      </c>
      <c r="AD8" s="31" t="s">
        <v>471</v>
      </c>
      <c r="AE8">
        <v>95900</v>
      </c>
      <c r="AF8">
        <f>INDEX(_统一战力!$B$2:$B$501,J8)</f>
        <v>300000</v>
      </c>
    </row>
    <row r="9" ht="25" customHeight="1" spans="1:32">
      <c r="A9" s="30" t="s">
        <v>150</v>
      </c>
      <c r="B9" s="30" t="s">
        <v>53</v>
      </c>
      <c r="C9" s="31" t="s">
        <v>459</v>
      </c>
      <c r="D9" s="31" t="s">
        <v>472</v>
      </c>
      <c r="E9" s="31" t="s">
        <v>473</v>
      </c>
      <c r="F9" s="30" t="s">
        <v>154</v>
      </c>
      <c r="G9" s="40">
        <v>75</v>
      </c>
      <c r="H9" s="41"/>
      <c r="I9" s="42">
        <f t="shared" si="0"/>
        <v>75</v>
      </c>
      <c r="J9" s="43">
        <v>127</v>
      </c>
      <c r="K9" s="44">
        <v>0.9767031930946</v>
      </c>
      <c r="L9" s="44">
        <v>1.03985025416137</v>
      </c>
      <c r="M9" s="44">
        <v>1</v>
      </c>
      <c r="N9" s="45"/>
      <c r="O9" s="45"/>
      <c r="P9" s="45"/>
      <c r="Q9" s="46">
        <f>IF($I9="","",IFERROR(INDEX(_玩家曲线!$H$2:$H$286,MATCH($I9,_玩家曲线!$A$2:$A$286,0)),""))</f>
        <v>235382.528779146</v>
      </c>
      <c r="R9" s="46">
        <f>IF($I9="","",IFERROR(INDEX(_玩家曲线!$I$2:$I$286,MATCH($I9,_玩家曲线!$A$2:$A$286,0)),""))</f>
        <v>483238.412763624</v>
      </c>
      <c r="S9" s="46">
        <f>IF(OR($J9="",$F9="不适用"),"",IFERROR(INDEX(_怪物模型!$D$2:$D$4501,(INT($J9)-1)*ROWS(_怪物类型!$A$2:$A$10)+MATCH($F9,_怪物类型!$A$2:$A$10,0))*IF($K9="",1,$K9),""))</f>
        <v>58797.5322242949</v>
      </c>
      <c r="T9" s="46">
        <f>IF(OR($J9="",$F9="不适用"),"",IFERROR(INDEX(_怪物模型!$E$2:$E$4501,(INT($J9)-1)*ROWS(_怪物类型!$A$2:$A$10)+MATCH($F9,_怪物类型!$A$2:$A$10,0))*IF($L9="",1,$L9),""))</f>
        <v>9721.56002615465</v>
      </c>
      <c r="U9" s="46">
        <f>IF(OR($J9="",$F9="不适用"),"",IFERROR(INDEX(_怪物模型!$F$2:$F$4501,(INT($J9)-1)*ROWS(_怪物类型!$A$2:$A$10)+MATCH($F9,_怪物类型!$A$2:$A$10,0))*IF($M9="",1,$M9),""))</f>
        <v>11210</v>
      </c>
      <c r="V9" s="47">
        <f t="shared" si="1"/>
        <v>0.318375461516615</v>
      </c>
      <c r="W9" s="48">
        <f t="shared" si="2"/>
        <v>86260.8795673927</v>
      </c>
      <c r="X9" s="48">
        <f t="shared" si="3"/>
        <v>0.366471037654325</v>
      </c>
      <c r="Y9" s="48">
        <f t="shared" si="4"/>
        <v>49.7079081406206</v>
      </c>
      <c r="Z9" s="49" t="str">
        <f t="shared" si="5"/>
        <v/>
      </c>
      <c r="AA9" s="30" t="str">
        <f t="shared" si="6"/>
        <v>已计算</v>
      </c>
      <c r="AB9" s="30" t="str">
        <f t="shared" si="7"/>
        <v>有效</v>
      </c>
      <c r="AC9" s="30" t="str">
        <f t="shared" si="8"/>
        <v/>
      </c>
      <c r="AD9" s="31" t="s">
        <v>474</v>
      </c>
      <c r="AE9">
        <v>101000</v>
      </c>
      <c r="AF9">
        <f>INDEX(_统一战力!$B$2:$B$501,J9)</f>
        <v>307000</v>
      </c>
    </row>
    <row r="10" ht="25" customHeight="1" spans="1:32">
      <c r="A10" s="30" t="s">
        <v>150</v>
      </c>
      <c r="B10" s="30" t="s">
        <v>53</v>
      </c>
      <c r="C10" s="31" t="s">
        <v>475</v>
      </c>
      <c r="D10" s="31" t="s">
        <v>476</v>
      </c>
      <c r="E10" s="31" t="s">
        <v>477</v>
      </c>
      <c r="F10" s="30" t="s">
        <v>154</v>
      </c>
      <c r="G10" s="40">
        <v>76</v>
      </c>
      <c r="H10" s="41"/>
      <c r="I10" s="42">
        <f t="shared" si="0"/>
        <v>76</v>
      </c>
      <c r="J10" s="43">
        <v>130</v>
      </c>
      <c r="K10" s="44">
        <v>0.990472025846035</v>
      </c>
      <c r="L10" s="44">
        <v>1.04996037606877</v>
      </c>
      <c r="M10" s="44">
        <v>1</v>
      </c>
      <c r="N10" s="45"/>
      <c r="O10" s="45"/>
      <c r="P10" s="45"/>
      <c r="Q10" s="46">
        <f>IF($I10="","",IFERROR(INDEX(_玩家曲线!$H$2:$H$286,MATCH($I10,_玩家曲线!$A$2:$A$286,0)),""))</f>
        <v>241771.641497773</v>
      </c>
      <c r="R10" s="46">
        <f>IF($I10="","",IFERROR(INDEX(_玩家曲线!$I$2:$I$286,MATCH($I10,_玩家曲线!$A$2:$A$286,0)),""))</f>
        <v>494857.08136754</v>
      </c>
      <c r="S10" s="46">
        <f>IF(OR($J10="",$F10="不适用"),"",IFERROR(INDEX(_怪物模型!$D$2:$D$4501,(INT($J10)-1)*ROWS(_怪物类型!$A$2:$A$10)+MATCH($F10,_怪物类型!$A$2:$A$10,0))*IF($K10="",1,$K10),""))</f>
        <v>62582.9749530817</v>
      </c>
      <c r="T10" s="46">
        <f>IF(OR($J10="",$F10="不适用"),"",IFERROR(INDEX(_怪物模型!$E$2:$E$4501,(INT($J10)-1)*ROWS(_怪物类型!$A$2:$A$10)+MATCH($F10,_怪物类型!$A$2:$A$10,0))*IF($L10="",1,$L10),""))</f>
        <v>10165.7163610978</v>
      </c>
      <c r="U10" s="46">
        <f>IF(OR($J10="",$F10="不适用"),"",IFERROR(INDEX(_怪物模型!$F$2:$F$4501,(INT($J10)-1)*ROWS(_怪物类型!$A$2:$A$10)+MATCH($F10,_怪物类型!$A$2:$A$10,0))*IF($M10="",1,$M10),""))</f>
        <v>11519</v>
      </c>
      <c r="V10" s="47">
        <f t="shared" si="1"/>
        <v>0.32430530138799</v>
      </c>
      <c r="W10" s="48">
        <f t="shared" si="2"/>
        <v>92620.1953066046</v>
      </c>
      <c r="X10" s="48">
        <f t="shared" si="3"/>
        <v>0.383089574661542</v>
      </c>
      <c r="Y10" s="48">
        <f t="shared" si="4"/>
        <v>48.6790171779</v>
      </c>
      <c r="Z10" s="49" t="str">
        <f t="shared" si="5"/>
        <v/>
      </c>
      <c r="AA10" s="30" t="str">
        <f t="shared" si="6"/>
        <v>已计算</v>
      </c>
      <c r="AB10" s="30" t="str">
        <f t="shared" si="7"/>
        <v>有效</v>
      </c>
      <c r="AC10" s="30" t="str">
        <f t="shared" si="8"/>
        <v/>
      </c>
      <c r="AD10" s="31" t="s">
        <v>478</v>
      </c>
      <c r="AE10">
        <v>105000</v>
      </c>
      <c r="AF10">
        <f>INDEX(_统一战力!$B$2:$B$501,J10)</f>
        <v>320000</v>
      </c>
    </row>
    <row r="11" ht="25" customHeight="1" spans="1:32">
      <c r="A11" s="30" t="s">
        <v>150</v>
      </c>
      <c r="B11" s="30" t="s">
        <v>53</v>
      </c>
      <c r="C11" s="31" t="s">
        <v>475</v>
      </c>
      <c r="D11" s="31" t="s">
        <v>479</v>
      </c>
      <c r="E11" s="31" t="s">
        <v>480</v>
      </c>
      <c r="F11" s="30" t="s">
        <v>154</v>
      </c>
      <c r="G11" s="40">
        <v>77</v>
      </c>
      <c r="H11" s="41"/>
      <c r="I11" s="42">
        <f t="shared" si="0"/>
        <v>77</v>
      </c>
      <c r="J11" s="43">
        <v>132</v>
      </c>
      <c r="K11" s="44">
        <v>0.985226928267657</v>
      </c>
      <c r="L11" s="44">
        <v>1.04776127087879</v>
      </c>
      <c r="M11" s="44">
        <v>1</v>
      </c>
      <c r="N11" s="45"/>
      <c r="O11" s="45"/>
      <c r="P11" s="45"/>
      <c r="Q11" s="46">
        <f>IF($I11="","",IFERROR(INDEX(_玩家曲线!$H$2:$H$286,MATCH($I11,_玩家曲线!$A$2:$A$286,0)),""))</f>
        <v>248276.053592022</v>
      </c>
      <c r="R11" s="46">
        <f>IF($I11="","",IFERROR(INDEX(_玩家曲线!$I$2:$I$286,MATCH($I11,_玩家曲线!$A$2:$A$286,0)),""))</f>
        <v>506633.48811103</v>
      </c>
      <c r="S11" s="46">
        <f>IF(OR($J11="",$F11="不适用"),"",IFERROR(INDEX(_怪物模型!$D$2:$D$4501,(INT($J11)-1)*ROWS(_怪物类型!$A$2:$A$10)+MATCH($F11,_怪物类型!$A$2:$A$10,0))*IF($K11="",1,$K11),""))</f>
        <v>64267.3377578275</v>
      </c>
      <c r="T11" s="46">
        <f>IF(OR($J11="",$F11="不适用"),"",IFERROR(INDEX(_怪物模型!$E$2:$E$4501,(INT($J11)-1)*ROWS(_怪物类型!$A$2:$A$10)+MATCH($F11,_怪物类型!$A$2:$A$10,0))*IF($L11="",1,$L11),""))</f>
        <v>10381.2186718671</v>
      </c>
      <c r="U11" s="46">
        <f>IF(OR($J11="",$F11="不适用"),"",IFERROR(INDEX(_怪物模型!$F$2:$F$4501,(INT($J11)-1)*ROWS(_怪物类型!$A$2:$A$10)+MATCH($F11,_怪物类型!$A$2:$A$10,0))*IF($M11="",1,$M11),""))</f>
        <v>11726</v>
      </c>
      <c r="V11" s="47">
        <f t="shared" si="1"/>
        <v>0.328220343727257</v>
      </c>
      <c r="W11" s="48">
        <f t="shared" si="2"/>
        <v>95667.2878640061</v>
      </c>
      <c r="X11" s="48">
        <f t="shared" si="3"/>
        <v>0.385326278873478</v>
      </c>
      <c r="Y11" s="48">
        <f t="shared" si="4"/>
        <v>48.8028914643711</v>
      </c>
      <c r="Z11" s="49" t="str">
        <f t="shared" si="5"/>
        <v/>
      </c>
      <c r="AA11" s="30" t="str">
        <f t="shared" si="6"/>
        <v>已计算</v>
      </c>
      <c r="AB11" s="30" t="str">
        <f t="shared" si="7"/>
        <v>有效</v>
      </c>
      <c r="AC11" s="30" t="str">
        <f t="shared" si="8"/>
        <v/>
      </c>
      <c r="AD11" s="31" t="s">
        <v>481</v>
      </c>
      <c r="AE11">
        <v>105000</v>
      </c>
      <c r="AF11">
        <f>INDEX(_统一战力!$B$2:$B$501,J11)</f>
        <v>320000</v>
      </c>
    </row>
    <row r="12" ht="25" customHeight="1" spans="1:32">
      <c r="A12" s="30" t="s">
        <v>150</v>
      </c>
      <c r="B12" s="30" t="s">
        <v>53</v>
      </c>
      <c r="C12" s="31" t="s">
        <v>475</v>
      </c>
      <c r="D12" s="31" t="s">
        <v>482</v>
      </c>
      <c r="E12" s="31" t="s">
        <v>483</v>
      </c>
      <c r="F12" s="30" t="s">
        <v>154</v>
      </c>
      <c r="G12" s="40">
        <v>78</v>
      </c>
      <c r="H12" s="41"/>
      <c r="I12" s="42">
        <f t="shared" si="0"/>
        <v>78</v>
      </c>
      <c r="J12" s="43">
        <v>135</v>
      </c>
      <c r="K12" s="44">
        <v>0.977938453546373</v>
      </c>
      <c r="L12" s="44">
        <v>1.04583440656595</v>
      </c>
      <c r="M12" s="44">
        <v>1</v>
      </c>
      <c r="N12" s="45"/>
      <c r="O12" s="45"/>
      <c r="P12" s="45"/>
      <c r="Q12" s="46">
        <f>IF($I12="","",IFERROR(INDEX(_玩家曲线!$H$2:$H$286,MATCH($I12,_玩家曲线!$A$2:$A$286,0)),""))</f>
        <v>254897.433405208</v>
      </c>
      <c r="R12" s="46">
        <f>IF($I12="","",IFERROR(INDEX(_玩家曲线!$I$2:$I$286,MATCH($I12,_玩家曲线!$A$2:$A$286,0)),""))</f>
        <v>518568.864191088</v>
      </c>
      <c r="S12" s="46">
        <f>IF(OR($J12="",$F12="不适用"),"",IFERROR(INDEX(_怪物模型!$D$2:$D$4501,(INT($J12)-1)*ROWS(_怪物类型!$A$2:$A$10)+MATCH($F12,_怪物类型!$A$2:$A$10,0))*IF($K12="",1,$K12),""))</f>
        <v>66877.2990842223</v>
      </c>
      <c r="T12" s="46">
        <f>IF(OR($J12="",$F12="不适用"),"",IFERROR(INDEX(_怪物模型!$E$2:$E$4501,(INT($J12)-1)*ROWS(_怪物类型!$A$2:$A$10)+MATCH($F12,_怪物类型!$A$2:$A$10,0))*IF($L12="",1,$L12),""))</f>
        <v>10721.8943361141</v>
      </c>
      <c r="U12" s="46">
        <f>IF(OR($J12="",$F12="不适用"),"",IFERROR(INDEX(_怪物模型!$F$2:$F$4501,(INT($J12)-1)*ROWS(_怪物类型!$A$2:$A$10)+MATCH($F12,_怪物类型!$A$2:$A$10,0))*IF($M12="",1,$M12),""))</f>
        <v>12038</v>
      </c>
      <c r="V12" s="47">
        <f t="shared" si="1"/>
        <v>0.334036295021921</v>
      </c>
      <c r="W12" s="48">
        <f t="shared" si="2"/>
        <v>100421.837683217</v>
      </c>
      <c r="X12" s="48">
        <f t="shared" si="3"/>
        <v>0.393969591382967</v>
      </c>
      <c r="Y12" s="48">
        <f t="shared" si="4"/>
        <v>48.3654145372813</v>
      </c>
      <c r="Z12" s="49" t="str">
        <f t="shared" si="5"/>
        <v/>
      </c>
      <c r="AA12" s="30" t="str">
        <f t="shared" si="6"/>
        <v>已计算</v>
      </c>
      <c r="AB12" s="30" t="str">
        <f t="shared" si="7"/>
        <v>有效</v>
      </c>
      <c r="AC12" s="30" t="str">
        <f t="shared" si="8"/>
        <v/>
      </c>
      <c r="AD12" s="31" t="s">
        <v>484</v>
      </c>
      <c r="AE12">
        <v>110000</v>
      </c>
      <c r="AF12">
        <f>INDEX(_统一战力!$B$2:$B$501,J12)</f>
        <v>353000</v>
      </c>
    </row>
    <row r="13" ht="25" customHeight="1" spans="1:32">
      <c r="A13" s="30" t="s">
        <v>150</v>
      </c>
      <c r="B13" s="30" t="s">
        <v>53</v>
      </c>
      <c r="C13" s="31" t="s">
        <v>475</v>
      </c>
      <c r="D13" s="31" t="s">
        <v>485</v>
      </c>
      <c r="E13" s="31" t="s">
        <v>486</v>
      </c>
      <c r="F13" s="30" t="s">
        <v>154</v>
      </c>
      <c r="G13" s="40">
        <v>79</v>
      </c>
      <c r="H13" s="41"/>
      <c r="I13" s="42">
        <f t="shared" si="0"/>
        <v>79</v>
      </c>
      <c r="J13" s="43">
        <v>138</v>
      </c>
      <c r="K13" s="44">
        <v>0.97656530637776</v>
      </c>
      <c r="L13" s="44">
        <v>1.04497844412362</v>
      </c>
      <c r="M13" s="44">
        <v>1</v>
      </c>
      <c r="N13" s="45"/>
      <c r="O13" s="45"/>
      <c r="P13" s="45"/>
      <c r="Q13" s="46">
        <f>IF($I13="","",IFERROR(INDEX(_玩家曲线!$H$2:$H$286,MATCH($I13,_玩家曲线!$A$2:$A$286,0)),""))</f>
        <v>261637.468664634</v>
      </c>
      <c r="R13" s="46">
        <f>IF($I13="","",IFERROR(INDEX(_玩家曲线!$I$2:$I$286,MATCH($I13,_玩家曲线!$A$2:$A$286,0)),""))</f>
        <v>530664.445346229</v>
      </c>
      <c r="S13" s="46">
        <f>IF(OR($J13="",$F13="不适用"),"",IFERROR(INDEX(_怪物模型!$D$2:$D$4501,(INT($J13)-1)*ROWS(_怪物类型!$A$2:$A$10)+MATCH($F13,_怪物类型!$A$2:$A$10,0))*IF($K13="",1,$K13),""))</f>
        <v>69966.997940741</v>
      </c>
      <c r="T13" s="46">
        <f>IF(OR($J13="",$F13="不适用"),"",IFERROR(INDEX(_怪物模型!$E$2:$E$4501,(INT($J13)-1)*ROWS(_怪物类型!$A$2:$A$10)+MATCH($F13,_怪物类型!$A$2:$A$10,0))*IF($L13="",1,$L13),""))</f>
        <v>11079.9064430427</v>
      </c>
      <c r="U13" s="46">
        <f>IF(OR($J13="",$F13="不适用"),"",IFERROR(INDEX(_怪物模型!$F$2:$F$4501,(INT($J13)-1)*ROWS(_怪物类型!$A$2:$A$10)+MATCH($F13,_怪物类型!$A$2:$A$10,0))*IF($M13="",1,$M13),""))</f>
        <v>12353</v>
      </c>
      <c r="V13" s="47">
        <f t="shared" si="1"/>
        <v>0.339806893516354</v>
      </c>
      <c r="W13" s="48">
        <f t="shared" si="2"/>
        <v>105979.594839157</v>
      </c>
      <c r="X13" s="48">
        <f t="shared" si="3"/>
        <v>0.405062758709842</v>
      </c>
      <c r="Y13" s="48">
        <f t="shared" si="4"/>
        <v>47.8943074180416</v>
      </c>
      <c r="Z13" s="49" t="str">
        <f t="shared" si="5"/>
        <v/>
      </c>
      <c r="AA13" s="30" t="str">
        <f t="shared" si="6"/>
        <v>已计算</v>
      </c>
      <c r="AB13" s="30" t="str">
        <f t="shared" si="7"/>
        <v>有效</v>
      </c>
      <c r="AC13" s="30" t="str">
        <f t="shared" si="8"/>
        <v/>
      </c>
      <c r="AD13" s="31" t="s">
        <v>487</v>
      </c>
      <c r="AE13">
        <v>115000</v>
      </c>
      <c r="AF13">
        <f>INDEX(_统一战力!$B$2:$B$501,J13)</f>
        <v>369000</v>
      </c>
    </row>
    <row r="14" ht="25" customHeight="1" spans="1:32">
      <c r="A14" s="30" t="s">
        <v>150</v>
      </c>
      <c r="B14" s="30" t="s">
        <v>53</v>
      </c>
      <c r="C14" s="31" t="s">
        <v>475</v>
      </c>
      <c r="D14" s="31" t="s">
        <v>488</v>
      </c>
      <c r="E14" s="31" t="s">
        <v>489</v>
      </c>
      <c r="F14" s="30" t="s">
        <v>154</v>
      </c>
      <c r="G14" s="40">
        <v>80</v>
      </c>
      <c r="H14" s="41"/>
      <c r="I14" s="42">
        <f t="shared" si="0"/>
        <v>80</v>
      </c>
      <c r="J14" s="43">
        <v>140</v>
      </c>
      <c r="K14" s="44">
        <v>0.98955674988599</v>
      </c>
      <c r="L14" s="44">
        <v>1.05662820165562</v>
      </c>
      <c r="M14" s="44">
        <v>1</v>
      </c>
      <c r="N14" s="45"/>
      <c r="O14" s="45"/>
      <c r="P14" s="45"/>
      <c r="Q14" s="46">
        <f>IF($I14="","",IFERROR(INDEX(_玩家曲线!$H$2:$H$286,MATCH($I14,_玩家曲线!$A$2:$A$286,0)),""))</f>
        <v>268497.866642121</v>
      </c>
      <c r="R14" s="46">
        <f>IF($I14="","",IFERROR(INDEX(_玩家曲线!$I$2:$I$286,MATCH($I14,_玩家曲线!$A$2:$A$286,0)),""))</f>
        <v>542921.471861221</v>
      </c>
      <c r="S14" s="46">
        <f>IF(OR($J14="",$F14="不适用"),"",IFERROR(INDEX(_怪物模型!$D$2:$D$4501,(INT($J14)-1)*ROWS(_怪物类型!$A$2:$A$10)+MATCH($F14,_怪物类型!$A$2:$A$10,0))*IF($K14="",1,$K14),""))</f>
        <v>73106.4735680772</v>
      </c>
      <c r="T14" s="46">
        <f>IF(OR($J14="",$F14="不适用"),"",IFERROR(INDEX(_怪物模型!$E$2:$E$4501,(INT($J14)-1)*ROWS(_怪物类型!$A$2:$A$10)+MATCH($F14,_怪物类型!$A$2:$A$10,0))*IF($L14="",1,$L14),""))</f>
        <v>11454.9063341486</v>
      </c>
      <c r="U14" s="46">
        <f>IF(OR($J14="",$F14="不适用"),"",IFERROR(INDEX(_怪物模型!$F$2:$F$4501,(INT($J14)-1)*ROWS(_怪物类型!$A$2:$A$10)+MATCH($F14,_怪物类型!$A$2:$A$10,0))*IF($M14="",1,$M14),""))</f>
        <v>12564</v>
      </c>
      <c r="V14" s="47">
        <f t="shared" si="1"/>
        <v>0.343616672136528</v>
      </c>
      <c r="W14" s="48">
        <f t="shared" si="2"/>
        <v>111377.712480966</v>
      </c>
      <c r="X14" s="48">
        <f t="shared" si="3"/>
        <v>0.414817867545369</v>
      </c>
      <c r="Y14" s="48">
        <f t="shared" si="4"/>
        <v>47.3964130324402</v>
      </c>
      <c r="Z14" s="49" t="str">
        <f t="shared" si="5"/>
        <v/>
      </c>
      <c r="AA14" s="30" t="str">
        <f t="shared" si="6"/>
        <v>已计算</v>
      </c>
      <c r="AB14" s="30" t="str">
        <f t="shared" si="7"/>
        <v>有效</v>
      </c>
      <c r="AC14" s="30" t="str">
        <f t="shared" si="8"/>
        <v/>
      </c>
      <c r="AD14" s="31" t="s">
        <v>490</v>
      </c>
      <c r="AE14">
        <v>120000</v>
      </c>
      <c r="AF14">
        <f>INDEX(_统一战力!$B$2:$B$501,J14)</f>
        <v>381000</v>
      </c>
    </row>
    <row r="15" ht="25" customHeight="1" spans="1:32">
      <c r="A15" s="30" t="s">
        <v>150</v>
      </c>
      <c r="B15" s="30" t="s">
        <v>53</v>
      </c>
      <c r="C15" s="31" t="s">
        <v>491</v>
      </c>
      <c r="D15" s="31" t="s">
        <v>492</v>
      </c>
      <c r="E15" s="31" t="s">
        <v>493</v>
      </c>
      <c r="F15" s="30" t="s">
        <v>154</v>
      </c>
      <c r="G15" s="40">
        <v>81</v>
      </c>
      <c r="H15" s="41"/>
      <c r="I15" s="42">
        <f t="shared" si="0"/>
        <v>81</v>
      </c>
      <c r="J15" s="43">
        <v>143</v>
      </c>
      <c r="K15" s="44">
        <v>0.983789364303365</v>
      </c>
      <c r="L15" s="44">
        <v>1.05610178247524</v>
      </c>
      <c r="M15" s="44">
        <v>1</v>
      </c>
      <c r="N15" s="45"/>
      <c r="O15" s="45"/>
      <c r="P15" s="45"/>
      <c r="Q15" s="46">
        <f>IF($I15="","",IFERROR(INDEX(_玩家曲线!$H$2:$H$286,MATCH($I15,_玩家曲线!$A$2:$A$286,0)),""))</f>
        <v>275480.354315355</v>
      </c>
      <c r="R15" s="46">
        <f>IF($I15="","",IFERROR(INDEX(_玩家曲线!$I$2:$I$286,MATCH($I15,_玩家曲线!$A$2:$A$286,0)),""))</f>
        <v>555341.188571833</v>
      </c>
      <c r="S15" s="46">
        <f>IF(OR($J15="",$F15="不适用"),"",IFERROR(INDEX(_怪物模型!$D$2:$D$4501,(INT($J15)-1)*ROWS(_怪物类型!$A$2:$A$10)+MATCH($F15,_怪物类型!$A$2:$A$10,0))*IF($K15="",1,$K15),""))</f>
        <v>76064.6260692076</v>
      </c>
      <c r="T15" s="46">
        <f>IF(OR($J15="",$F15="不适用"),"",IFERROR(INDEX(_怪物模型!$E$2:$E$4501,(INT($J15)-1)*ROWS(_怪物类型!$A$2:$A$10)+MATCH($F15,_怪物类型!$A$2:$A$10,0))*IF($L15="",1,$L15),""))</f>
        <v>11831.5082690701</v>
      </c>
      <c r="U15" s="46">
        <f>IF(OR($J15="",$F15="不适用"),"",IFERROR(INDEX(_怪物模型!$F$2:$F$4501,(INT($J15)-1)*ROWS(_怪物类型!$A$2:$A$10)+MATCH($F15,_怪物类型!$A$2:$A$10,0))*IF($M15="",1,$M15),""))</f>
        <v>12882</v>
      </c>
      <c r="V15" s="47">
        <f t="shared" si="1"/>
        <v>0.349276069627461</v>
      </c>
      <c r="W15" s="48">
        <f t="shared" si="2"/>
        <v>116892.314111855</v>
      </c>
      <c r="X15" s="48">
        <f t="shared" si="3"/>
        <v>0.424321779323845</v>
      </c>
      <c r="Y15" s="48">
        <f t="shared" si="4"/>
        <v>46.9374804921198</v>
      </c>
      <c r="Z15" s="49" t="str">
        <f t="shared" si="5"/>
        <v/>
      </c>
      <c r="AA15" s="30" t="str">
        <f t="shared" si="6"/>
        <v>已计算</v>
      </c>
      <c r="AB15" s="30" t="str">
        <f t="shared" si="7"/>
        <v>有效</v>
      </c>
      <c r="AC15" s="30" t="str">
        <f t="shared" si="8"/>
        <v/>
      </c>
      <c r="AD15" s="31" t="s">
        <v>494</v>
      </c>
      <c r="AE15">
        <v>125000</v>
      </c>
      <c r="AF15">
        <f>INDEX(_统一战力!$B$2:$B$501,J15)</f>
        <v>398000</v>
      </c>
    </row>
    <row r="16" ht="25" customHeight="1" spans="1:32">
      <c r="A16" s="30" t="s">
        <v>150</v>
      </c>
      <c r="B16" s="30" t="s">
        <v>53</v>
      </c>
      <c r="C16" s="31" t="s">
        <v>491</v>
      </c>
      <c r="D16" s="31" t="s">
        <v>495</v>
      </c>
      <c r="E16" s="31" t="s">
        <v>496</v>
      </c>
      <c r="F16" s="30" t="s">
        <v>154</v>
      </c>
      <c r="G16" s="40">
        <v>82</v>
      </c>
      <c r="H16" s="41"/>
      <c r="I16" s="42">
        <f t="shared" si="0"/>
        <v>82</v>
      </c>
      <c r="J16" s="43">
        <v>146</v>
      </c>
      <c r="K16" s="44">
        <v>0.978639490283494</v>
      </c>
      <c r="L16" s="44">
        <v>1.05603496423753</v>
      </c>
      <c r="M16" s="44">
        <v>1</v>
      </c>
      <c r="N16" s="45"/>
      <c r="O16" s="45"/>
      <c r="P16" s="45"/>
      <c r="Q16" s="46">
        <f>IF($I16="","",IFERROR(INDEX(_玩家曲线!$H$2:$H$286,MATCH($I16,_玩家曲线!$A$2:$A$286,0)),""))</f>
        <v>282586.67853005</v>
      </c>
      <c r="R16" s="46">
        <f>IF($I16="","",IFERROR(INDEX(_玩家曲线!$I$2:$I$286,MATCH($I16,_玩家曲线!$A$2:$A$286,0)),""))</f>
        <v>567924.844869571</v>
      </c>
      <c r="S16" s="46">
        <f>IF(OR($J16="",$F16="不适用"),"",IFERROR(INDEX(_怪物模型!$D$2:$D$4501,(INT($J16)-1)*ROWS(_怪物类型!$A$2:$A$10)+MATCH($F16,_怪物类型!$A$2:$A$10,0))*IF($K16="",1,$K16),""))</f>
        <v>79141.5969397359</v>
      </c>
      <c r="T16" s="46">
        <f>IF(OR($J16="",$F16="不适用"),"",IFERROR(INDEX(_怪物模型!$E$2:$E$4501,(INT($J16)-1)*ROWS(_怪物类型!$A$2:$A$10)+MATCH($F16,_怪物类型!$A$2:$A$10,0))*IF($L16="",1,$L16),""))</f>
        <v>12219.3805711925</v>
      </c>
      <c r="U16" s="46">
        <f>IF(OR($J16="",$F16="不适用"),"",IFERROR(INDEX(_怪物模型!$F$2:$F$4501,(INT($J16)-1)*ROWS(_怪物类型!$A$2:$A$10)+MATCH($F16,_怪物类型!$A$2:$A$10,0))*IF($M16="",1,$M16),""))</f>
        <v>13202</v>
      </c>
      <c r="V16" s="47">
        <f t="shared" si="1"/>
        <v>0.354873393903554</v>
      </c>
      <c r="W16" s="48">
        <f t="shared" si="2"/>
        <v>122676.070389669</v>
      </c>
      <c r="X16" s="48">
        <f t="shared" si="3"/>
        <v>0.434118377510933</v>
      </c>
      <c r="Y16" s="48">
        <f t="shared" si="4"/>
        <v>46.4773841489535</v>
      </c>
      <c r="Z16" s="49" t="str">
        <f t="shared" si="5"/>
        <v/>
      </c>
      <c r="AA16" s="30" t="str">
        <f t="shared" si="6"/>
        <v>已计算</v>
      </c>
      <c r="AB16" s="30" t="str">
        <f t="shared" si="7"/>
        <v>有效</v>
      </c>
      <c r="AC16" s="30" t="str">
        <f t="shared" si="8"/>
        <v/>
      </c>
      <c r="AD16" s="31" t="s">
        <v>497</v>
      </c>
      <c r="AE16">
        <v>131000</v>
      </c>
      <c r="AF16">
        <f>INDEX(_统一战力!$B$2:$B$501,J16)</f>
        <v>403000</v>
      </c>
    </row>
    <row r="17" ht="25" customHeight="1" spans="1:32">
      <c r="A17" s="30" t="s">
        <v>150</v>
      </c>
      <c r="B17" s="30" t="s">
        <v>53</v>
      </c>
      <c r="C17" s="31" t="s">
        <v>491</v>
      </c>
      <c r="D17" s="31" t="s">
        <v>498</v>
      </c>
      <c r="E17" s="31" t="s">
        <v>499</v>
      </c>
      <c r="F17" s="30" t="s">
        <v>154</v>
      </c>
      <c r="G17" s="40">
        <v>83</v>
      </c>
      <c r="H17" s="41"/>
      <c r="I17" s="42">
        <f t="shared" si="0"/>
        <v>83</v>
      </c>
      <c r="J17" s="43">
        <v>148</v>
      </c>
      <c r="K17" s="44">
        <v>0.976636235090301</v>
      </c>
      <c r="L17" s="44">
        <v>1.05672129853038</v>
      </c>
      <c r="M17" s="44">
        <v>1</v>
      </c>
      <c r="N17" s="45"/>
      <c r="O17" s="45"/>
      <c r="P17" s="45"/>
      <c r="Q17" s="46">
        <f>IF($I17="","",IFERROR(INDEX(_玩家曲线!$H$2:$H$286,MATCH($I17,_玩家曲线!$A$2:$A$286,0)),""))</f>
        <v>289818.606162935</v>
      </c>
      <c r="R17" s="46">
        <f>IF($I17="","",IFERROR(INDEX(_玩家曲线!$I$2:$I$286,MATCH($I17,_玩家曲线!$A$2:$A$286,0)),""))</f>
        <v>580673.694706417</v>
      </c>
      <c r="S17" s="46">
        <f>IF(OR($J17="",$F17="不适用"),"",IFERROR(INDEX(_怪物模型!$D$2:$D$4501,(INT($J17)-1)*ROWS(_怪物类型!$A$2:$A$10)+MATCH($F17,_怪物类型!$A$2:$A$10,0))*IF($K17="",1,$K17),""))</f>
        <v>81352.821746787</v>
      </c>
      <c r="T17" s="46">
        <f>IF(OR($J17="",$F17="不适用"),"",IFERROR(INDEX(_怪物模型!$E$2:$E$4501,(INT($J17)-1)*ROWS(_怪物类型!$A$2:$A$10)+MATCH($F17,_怪物类型!$A$2:$A$10,0))*IF($L17="",1,$L17),""))</f>
        <v>12491.5024699276</v>
      </c>
      <c r="U17" s="46">
        <f>IF(OR($J17="",$F17="不适用"),"",IFERROR(INDEX(_怪物模型!$F$2:$F$4501,(INT($J17)-1)*ROWS(_怪物类型!$A$2:$A$10)+MATCH($F17,_怪物类型!$A$2:$A$10,0))*IF($M17="",1,$M17),""))</f>
        <v>13417</v>
      </c>
      <c r="V17" s="47">
        <f t="shared" si="1"/>
        <v>0.358580324451453</v>
      </c>
      <c r="W17" s="48">
        <f t="shared" si="2"/>
        <v>126832.438804147</v>
      </c>
      <c r="X17" s="48">
        <f t="shared" si="3"/>
        <v>0.43762697117121</v>
      </c>
      <c r="Y17" s="48">
        <f t="shared" si="4"/>
        <v>46.4854965288881</v>
      </c>
      <c r="Z17" s="49" t="str">
        <f t="shared" si="5"/>
        <v/>
      </c>
      <c r="AA17" s="30" t="str">
        <f t="shared" si="6"/>
        <v>已计算</v>
      </c>
      <c r="AB17" s="30" t="str">
        <f t="shared" si="7"/>
        <v>有效</v>
      </c>
      <c r="AC17" s="30" t="str">
        <f t="shared" si="8"/>
        <v/>
      </c>
      <c r="AD17" s="31" t="s">
        <v>500</v>
      </c>
      <c r="AE17">
        <v>131000</v>
      </c>
      <c r="AF17">
        <f>INDEX(_统一战力!$B$2:$B$501,J17)</f>
        <v>403000</v>
      </c>
    </row>
    <row r="18" ht="25" customHeight="1" spans="1:32">
      <c r="A18" s="30" t="s">
        <v>150</v>
      </c>
      <c r="B18" s="30" t="s">
        <v>53</v>
      </c>
      <c r="C18" s="31" t="s">
        <v>491</v>
      </c>
      <c r="D18" s="31" t="s">
        <v>501</v>
      </c>
      <c r="E18" s="31" t="s">
        <v>502</v>
      </c>
      <c r="F18" s="30" t="s">
        <v>154</v>
      </c>
      <c r="G18" s="40">
        <v>84</v>
      </c>
      <c r="H18" s="41"/>
      <c r="I18" s="42">
        <f t="shared" si="0"/>
        <v>84</v>
      </c>
      <c r="J18" s="43">
        <v>151</v>
      </c>
      <c r="K18" s="44">
        <v>0.972577565403843</v>
      </c>
      <c r="L18" s="44">
        <v>1.0575891755814</v>
      </c>
      <c r="M18" s="44">
        <v>1</v>
      </c>
      <c r="N18" s="45"/>
      <c r="O18" s="45"/>
      <c r="P18" s="45"/>
      <c r="Q18" s="46">
        <f>IF($I18="","",IFERROR(INDEX(_玩家曲线!$H$2:$H$286,MATCH($I18,_玩家曲线!$A$2:$A$286,0)),""))</f>
        <v>297177.924285564</v>
      </c>
      <c r="R18" s="46">
        <f>IF($I18="","",IFERROR(INDEX(_玩家曲线!$I$2:$I$286,MATCH($I18,_玩家曲线!$A$2:$A$286,0)),""))</f>
        <v>593588.996599568</v>
      </c>
      <c r="S18" s="46">
        <f>IF(OR($J18="",$F18="不适用"),"",IFERROR(INDEX(_怪物模型!$D$2:$D$4501,(INT($J18)-1)*ROWS(_怪物类型!$A$2:$A$10)+MATCH($F18,_怪物类型!$A$2:$A$10,0))*IF($K18="",1,$K18),""))</f>
        <v>84654.1238703159</v>
      </c>
      <c r="T18" s="46">
        <f>IF(OR($J18="",$F18="不适用"),"",IFERROR(INDEX(_怪物模型!$E$2:$E$4501,(INT($J18)-1)*ROWS(_怪物类型!$A$2:$A$10)+MATCH($F18,_怪物类型!$A$2:$A$10,0))*IF($L18="",1,$L18),""))</f>
        <v>12904.7031204442</v>
      </c>
      <c r="U18" s="46">
        <f>IF(OR($J18="",$F18="不适用"),"",IFERROR(INDEX(_怪物模型!$F$2:$F$4501,(INT($J18)-1)*ROWS(_怪物类型!$A$2:$A$10)+MATCH($F18,_怪物类型!$A$2:$A$10,0))*IF($M18="",1,$M18),""))</f>
        <v>13740</v>
      </c>
      <c r="V18" s="47">
        <f t="shared" si="1"/>
        <v>0.364069952305246</v>
      </c>
      <c r="W18" s="48">
        <f t="shared" si="2"/>
        <v>133118.609786072</v>
      </c>
      <c r="X18" s="48">
        <f t="shared" si="3"/>
        <v>0.44794245772494</v>
      </c>
      <c r="Y18" s="48">
        <f t="shared" si="4"/>
        <v>45.9978808547076</v>
      </c>
      <c r="Z18" s="49" t="str">
        <f t="shared" si="5"/>
        <v/>
      </c>
      <c r="AA18" s="30" t="str">
        <f t="shared" si="6"/>
        <v>已计算</v>
      </c>
      <c r="AB18" s="30" t="str">
        <f t="shared" si="7"/>
        <v>有效</v>
      </c>
      <c r="AC18" s="30" t="str">
        <f t="shared" si="8"/>
        <v/>
      </c>
      <c r="AD18" s="31" t="s">
        <v>503</v>
      </c>
      <c r="AE18">
        <v>136000</v>
      </c>
      <c r="AF18">
        <f>INDEX(_统一战力!$B$2:$B$501,J18)</f>
        <v>403000</v>
      </c>
    </row>
    <row r="19" ht="25" customHeight="1" spans="1:32">
      <c r="A19" s="30" t="s">
        <v>150</v>
      </c>
      <c r="B19" s="30" t="s">
        <v>53</v>
      </c>
      <c r="C19" s="31" t="s">
        <v>491</v>
      </c>
      <c r="D19" s="31" t="s">
        <v>504</v>
      </c>
      <c r="E19" s="31" t="s">
        <v>505</v>
      </c>
      <c r="F19" s="30" t="s">
        <v>154</v>
      </c>
      <c r="G19" s="40">
        <v>85</v>
      </c>
      <c r="H19" s="41"/>
      <c r="I19" s="42">
        <f t="shared" si="0"/>
        <v>85</v>
      </c>
      <c r="J19" s="43">
        <v>154</v>
      </c>
      <c r="K19" s="44">
        <v>0.968118441910819</v>
      </c>
      <c r="L19" s="44">
        <v>1.0558757972632</v>
      </c>
      <c r="M19" s="44">
        <v>1</v>
      </c>
      <c r="N19" s="45"/>
      <c r="O19" s="45"/>
      <c r="P19" s="45"/>
      <c r="Q19" s="46">
        <f>IF($I19="","",IFERROR(INDEX(_玩家曲线!$H$2:$H$286,MATCH($I19,_玩家曲线!$A$2:$A$286,0)),""))</f>
        <v>303608.455403675</v>
      </c>
      <c r="R19" s="46">
        <f>IF($I19="","",IFERROR(INDEX(_玩家曲线!$I$2:$I$286,MATCH($I19,_玩家曲线!$A$2:$A$286,0)),""))</f>
        <v>604842.67487879</v>
      </c>
      <c r="S19" s="46">
        <f>IF(OR($J19="",$F19="不适用"),"",IFERROR(INDEX(_怪物模型!$D$2:$D$4501,(INT($J19)-1)*ROWS(_怪物类型!$A$2:$A$10)+MATCH($F19,_怪物类型!$A$2:$A$10,0))*IF($K19="",1,$K19),""))</f>
        <v>88001.9663696934</v>
      </c>
      <c r="T19" s="46">
        <f>IF(OR($J19="",$F19="不适用"),"",IFERROR(INDEX(_怪物模型!$E$2:$E$4501,(INT($J19)-1)*ROWS(_怪物类型!$A$2:$A$10)+MATCH($F19,_怪物类型!$A$2:$A$10,0))*IF($L19="",1,$L19),""))</f>
        <v>13292.4204117464</v>
      </c>
      <c r="U19" s="46">
        <f>IF(OR($J19="",$F19="不适用"),"",IFERROR(INDEX(_怪物模型!$F$2:$F$4501,(INT($J19)-1)*ROWS(_怪物类型!$A$2:$A$10)+MATCH($F19,_怪物类型!$A$2:$A$10,0))*IF($M19="",1,$M19),""))</f>
        <v>14066</v>
      </c>
      <c r="V19" s="47">
        <f t="shared" si="1"/>
        <v>0.36951610360952</v>
      </c>
      <c r="W19" s="48">
        <f t="shared" si="2"/>
        <v>139578.452159531</v>
      </c>
      <c r="X19" s="48">
        <f t="shared" si="3"/>
        <v>0.459731768583154</v>
      </c>
      <c r="Y19" s="48">
        <f t="shared" si="4"/>
        <v>45.5028246281087</v>
      </c>
      <c r="Z19" s="49" t="str">
        <f t="shared" si="5"/>
        <v/>
      </c>
      <c r="AA19" s="30" t="str">
        <f t="shared" si="6"/>
        <v>已计算</v>
      </c>
      <c r="AB19" s="30" t="str">
        <f t="shared" si="7"/>
        <v>有效</v>
      </c>
      <c r="AC19" s="30" t="str">
        <f t="shared" si="8"/>
        <v/>
      </c>
      <c r="AD19" s="31" t="s">
        <v>506</v>
      </c>
      <c r="AE19">
        <v>142000</v>
      </c>
      <c r="AF19">
        <f>INDEX(_统一战力!$B$2:$B$501,J19)</f>
        <v>403000</v>
      </c>
    </row>
    <row r="20" ht="25" customHeight="1" spans="1:32">
      <c r="A20" s="30" t="s">
        <v>150</v>
      </c>
      <c r="B20" s="30" t="s">
        <v>53</v>
      </c>
      <c r="C20" s="31" t="s">
        <v>507</v>
      </c>
      <c r="D20" s="31" t="s">
        <v>508</v>
      </c>
      <c r="E20" s="31" t="s">
        <v>509</v>
      </c>
      <c r="F20" s="30" t="s">
        <v>154</v>
      </c>
      <c r="G20" s="40">
        <v>86</v>
      </c>
      <c r="H20" s="41"/>
      <c r="I20" s="42">
        <f t="shared" si="0"/>
        <v>86</v>
      </c>
      <c r="J20" s="43">
        <v>157</v>
      </c>
      <c r="K20" s="44">
        <v>0.979643587371965</v>
      </c>
      <c r="L20" s="44">
        <v>1.06410936943801</v>
      </c>
      <c r="M20" s="44">
        <v>1</v>
      </c>
      <c r="N20" s="45"/>
      <c r="O20" s="45"/>
      <c r="P20" s="45"/>
      <c r="Q20" s="46">
        <f>IF($I20="","",IFERROR(INDEX(_玩家曲线!$H$2:$H$286,MATCH($I20,_玩家曲线!$A$2:$A$286,0)),""))</f>
        <v>309251.070113964</v>
      </c>
      <c r="R20" s="46">
        <f>IF($I20="","",IFERROR(INDEX(_玩家曲线!$I$2:$I$286,MATCH($I20,_玩家曲线!$A$2:$A$286,0)),""))</f>
        <v>614695.104720324</v>
      </c>
      <c r="S20" s="46">
        <f>IF(OR($J20="",$F20="不适用"),"",IFERROR(INDEX(_怪物模型!$D$2:$D$4501,(INT($J20)-1)*ROWS(_怪物类型!$A$2:$A$10)+MATCH($F20,_怪物类型!$A$2:$A$10,0))*IF($K20="",1,$K20),""))</f>
        <v>92948.583569852</v>
      </c>
      <c r="T20" s="46">
        <f>IF(OR($J20="",$F20="不适用"),"",IFERROR(INDEX(_怪物模型!$E$2:$E$4501,(INT($J20)-1)*ROWS(_怪物类型!$A$2:$A$10)+MATCH($F20,_怪物类型!$A$2:$A$10,0))*IF($L20="",1,$L20),""))</f>
        <v>13817.4601621526</v>
      </c>
      <c r="U20" s="46">
        <f>IF(OR($J20="",$F20="不适用"),"",IFERROR(INDEX(_怪物模型!$F$2:$F$4501,(INT($J20)-1)*ROWS(_怪物类型!$A$2:$A$10)+MATCH($F20,_怪物类型!$A$2:$A$10,0))*IF($M20="",1,$M20),""))</f>
        <v>14393</v>
      </c>
      <c r="V20" s="47">
        <f t="shared" si="1"/>
        <v>0.374886046935639</v>
      </c>
      <c r="W20" s="48">
        <f t="shared" si="2"/>
        <v>148690.623708222</v>
      </c>
      <c r="X20" s="48">
        <f t="shared" si="3"/>
        <v>0.480808760511086</v>
      </c>
      <c r="Y20" s="48">
        <f t="shared" si="4"/>
        <v>44.4868374872567</v>
      </c>
      <c r="Z20" s="49" t="str">
        <f t="shared" si="5"/>
        <v/>
      </c>
      <c r="AA20" s="30" t="str">
        <f t="shared" si="6"/>
        <v>已计算</v>
      </c>
      <c r="AB20" s="30" t="str">
        <f t="shared" si="7"/>
        <v>有效</v>
      </c>
      <c r="AC20" s="30" t="str">
        <f t="shared" si="8"/>
        <v/>
      </c>
      <c r="AD20" s="31" t="s">
        <v>510</v>
      </c>
      <c r="AE20">
        <v>147000</v>
      </c>
      <c r="AF20">
        <f>INDEX(_统一战力!$B$2:$B$501,J20)</f>
        <v>409000</v>
      </c>
    </row>
    <row r="21" ht="25" customHeight="1" spans="1:32">
      <c r="A21" s="30" t="s">
        <v>150</v>
      </c>
      <c r="B21" s="30" t="s">
        <v>53</v>
      </c>
      <c r="C21" s="31" t="s">
        <v>507</v>
      </c>
      <c r="D21" s="31" t="s">
        <v>511</v>
      </c>
      <c r="E21" s="31" t="s">
        <v>512</v>
      </c>
      <c r="F21" s="30" t="s">
        <v>154</v>
      </c>
      <c r="G21" s="40">
        <v>87</v>
      </c>
      <c r="H21" s="41"/>
      <c r="I21" s="42">
        <f t="shared" si="0"/>
        <v>87</v>
      </c>
      <c r="J21" s="43">
        <v>159</v>
      </c>
      <c r="K21" s="44">
        <v>0.970768482890477</v>
      </c>
      <c r="L21" s="44">
        <v>1.06041226003755</v>
      </c>
      <c r="M21" s="44">
        <v>1</v>
      </c>
      <c r="N21" s="45"/>
      <c r="O21" s="45"/>
      <c r="P21" s="45"/>
      <c r="Q21" s="46">
        <f>IF($I21="","",IFERROR(INDEX(_玩家曲线!$H$2:$H$286,MATCH($I21,_玩家曲线!$A$2:$A$286,0)),""))</f>
        <v>314966.783031065</v>
      </c>
      <c r="R21" s="46">
        <f>IF($I21="","",IFERROR(INDEX(_玩家曲线!$I$2:$I$286,MATCH($I21,_玩家曲线!$A$2:$A$286,0)),""))</f>
        <v>624642.209425444</v>
      </c>
      <c r="S21" s="46">
        <f>IF(OR($J21="",$F21="不适用"),"",IFERROR(INDEX(_怪物模型!$D$2:$D$4501,(INT($J21)-1)*ROWS(_怪物类型!$A$2:$A$10)+MATCH($F21,_怪物类型!$A$2:$A$10,0))*IF($K21="",1,$K21),""))</f>
        <v>94747.9746985934</v>
      </c>
      <c r="T21" s="46">
        <f>IF(OR($J21="",$F21="不适用"),"",IFERROR(INDEX(_怪物模型!$E$2:$E$4501,(INT($J21)-1)*ROWS(_怪物类型!$A$2:$A$10)+MATCH($F21,_怪物类型!$A$2:$A$10,0))*IF($L21="",1,$L21),""))</f>
        <v>14051.5228577576</v>
      </c>
      <c r="U21" s="46">
        <f>IF(OR($J21="",$F21="不适用"),"",IFERROR(INDEX(_怪物模型!$F$2:$F$4501,(INT($J21)-1)*ROWS(_怪物类型!$A$2:$A$10)+MATCH($F21,_怪物类型!$A$2:$A$10,0))*IF($M21="",1,$M21),""))</f>
        <v>14613</v>
      </c>
      <c r="V21" s="47">
        <f t="shared" si="1"/>
        <v>0.378447673063476</v>
      </c>
      <c r="W21" s="48">
        <f t="shared" si="2"/>
        <v>152437.6477932</v>
      </c>
      <c r="X21" s="48">
        <f t="shared" si="3"/>
        <v>0.483980076648796</v>
      </c>
      <c r="Y21" s="48">
        <f t="shared" si="4"/>
        <v>44.4537019758389</v>
      </c>
      <c r="Z21" s="49" t="str">
        <f t="shared" si="5"/>
        <v/>
      </c>
      <c r="AA21" s="30" t="str">
        <f t="shared" si="6"/>
        <v>已计算</v>
      </c>
      <c r="AB21" s="30" t="str">
        <f t="shared" si="7"/>
        <v>有效</v>
      </c>
      <c r="AC21" s="30" t="str">
        <f t="shared" si="8"/>
        <v/>
      </c>
      <c r="AD21" s="31" t="s">
        <v>513</v>
      </c>
      <c r="AE21">
        <v>151000</v>
      </c>
      <c r="AF21">
        <f>INDEX(_统一战力!$B$2:$B$501,J21)</f>
        <v>409000</v>
      </c>
    </row>
    <row r="22" ht="25" customHeight="1" spans="1:32">
      <c r="A22" s="30" t="s">
        <v>150</v>
      </c>
      <c r="B22" s="30" t="s">
        <v>53</v>
      </c>
      <c r="C22" s="31" t="s">
        <v>507</v>
      </c>
      <c r="D22" s="31" t="s">
        <v>514</v>
      </c>
      <c r="E22" s="31" t="s">
        <v>515</v>
      </c>
      <c r="F22" s="30" t="s">
        <v>154</v>
      </c>
      <c r="G22" s="40">
        <v>88</v>
      </c>
      <c r="H22" s="41"/>
      <c r="I22" s="42">
        <f t="shared" si="0"/>
        <v>88</v>
      </c>
      <c r="J22" s="43">
        <v>162</v>
      </c>
      <c r="K22" s="44">
        <v>0.967339578171009</v>
      </c>
      <c r="L22" s="44">
        <v>1.05756079087802</v>
      </c>
      <c r="M22" s="44">
        <v>1</v>
      </c>
      <c r="N22" s="45"/>
      <c r="O22" s="45"/>
      <c r="P22" s="45"/>
      <c r="Q22" s="46">
        <f>IF($I22="","",IFERROR(INDEX(_玩家曲线!$H$2:$H$286,MATCH($I22,_玩家曲线!$A$2:$A$286,0)),""))</f>
        <v>320756.358565467</v>
      </c>
      <c r="R22" s="46">
        <f>IF($I22="","",IFERROR(INDEX(_玩家曲线!$I$2:$I$286,MATCH($I22,_玩家曲线!$A$2:$A$286,0)),""))</f>
        <v>634684.526130003</v>
      </c>
      <c r="S22" s="46">
        <f>IF(OR($J22="",$F22="不适用"),"",IFERROR(INDEX(_怪物模型!$D$2:$D$4501,(INT($J22)-1)*ROWS(_怪物类型!$A$2:$A$10)+MATCH($F22,_怪物类型!$A$2:$A$10,0))*IF($K22="",1,$K22),""))</f>
        <v>98463.5609828707</v>
      </c>
      <c r="T22" s="46">
        <f>IF(OR($J22="",$F22="不适用"),"",IFERROR(INDEX(_怪物模型!$E$2:$E$4501,(INT($J22)-1)*ROWS(_怪物类型!$A$2:$A$10)+MATCH($F22,_怪物类型!$A$2:$A$10,0))*IF($L22="",1,$L22),""))</f>
        <v>14445.2228426029</v>
      </c>
      <c r="U22" s="46">
        <f>IF(OR($J22="",$F22="不适用"),"",IFERROR(INDEX(_怪物模型!$F$2:$F$4501,(INT($J22)-1)*ROWS(_怪物类型!$A$2:$A$10)+MATCH($F22,_怪物类型!$A$2:$A$10,0))*IF($M22="",1,$M22),""))</f>
        <v>14944</v>
      </c>
      <c r="V22" s="47">
        <f t="shared" si="1"/>
        <v>0.383730484798685</v>
      </c>
      <c r="W22" s="48">
        <f t="shared" si="2"/>
        <v>159773.538288205</v>
      </c>
      <c r="X22" s="48">
        <f t="shared" si="3"/>
        <v>0.498114952429212</v>
      </c>
      <c r="Y22" s="48">
        <f t="shared" si="4"/>
        <v>43.9373302195205</v>
      </c>
      <c r="Z22" s="49" t="str">
        <f t="shared" si="5"/>
        <v/>
      </c>
      <c r="AA22" s="30" t="str">
        <f t="shared" si="6"/>
        <v>已计算</v>
      </c>
      <c r="AB22" s="30" t="str">
        <f t="shared" si="7"/>
        <v>有效</v>
      </c>
      <c r="AC22" s="30" t="str">
        <f t="shared" si="8"/>
        <v/>
      </c>
      <c r="AD22" s="31" t="s">
        <v>516</v>
      </c>
      <c r="AE22">
        <v>156000</v>
      </c>
      <c r="AF22">
        <f>INDEX(_统一战力!$B$2:$B$501,J22)</f>
        <v>409000</v>
      </c>
    </row>
    <row r="23" ht="25" customHeight="1" spans="1:32">
      <c r="A23" s="30" t="s">
        <v>150</v>
      </c>
      <c r="B23" s="30" t="s">
        <v>53</v>
      </c>
      <c r="C23" s="31" t="s">
        <v>507</v>
      </c>
      <c r="D23" s="31" t="s">
        <v>517</v>
      </c>
      <c r="E23" s="31" t="s">
        <v>518</v>
      </c>
      <c r="F23" s="30" t="s">
        <v>154</v>
      </c>
      <c r="G23" s="40">
        <v>89</v>
      </c>
      <c r="H23" s="41"/>
      <c r="I23" s="42">
        <f t="shared" si="0"/>
        <v>89</v>
      </c>
      <c r="J23" s="43">
        <v>165</v>
      </c>
      <c r="K23" s="44">
        <v>0.977506048617982</v>
      </c>
      <c r="L23" s="44">
        <v>1.06679101480297</v>
      </c>
      <c r="M23" s="44">
        <v>1</v>
      </c>
      <c r="N23" s="45"/>
      <c r="O23" s="45"/>
      <c r="P23" s="45"/>
      <c r="Q23" s="46">
        <f>IF($I23="","",IFERROR(INDEX(_玩家曲线!$H$2:$H$286,MATCH($I23,_玩家曲线!$A$2:$A$286,0)),""))</f>
        <v>326620.567530564</v>
      </c>
      <c r="R23" s="46">
        <f>IF($I23="","",IFERROR(INDEX(_玩家曲线!$I$2:$I$286,MATCH($I23,_玩家曲线!$A$2:$A$286,0)),""))</f>
        <v>644822.593466224</v>
      </c>
      <c r="S23" s="46">
        <f>IF(OR($J23="",$F23="不适用"),"",IFERROR(INDEX(_怪物模型!$D$2:$D$4501,(INT($J23)-1)*ROWS(_怪物类型!$A$2:$A$10)+MATCH($F23,_怪物类型!$A$2:$A$10,0))*IF($K23="",1,$K23),""))</f>
        <v>103714.369264416</v>
      </c>
      <c r="T23" s="46">
        <f>IF(OR($J23="",$F23="不适用"),"",IFERROR(INDEX(_怪物模型!$E$2:$E$4501,(INT($J23)-1)*ROWS(_怪物类型!$A$2:$A$10)+MATCH($F23,_怪物类型!$A$2:$A$10,0))*IF($L23="",1,$L23),""))</f>
        <v>15012.9499513222</v>
      </c>
      <c r="U23" s="46">
        <f>IF(OR($J23="",$F23="不适用"),"",IFERROR(INDEX(_怪物模型!$F$2:$F$4501,(INT($J23)-1)*ROWS(_怪物类型!$A$2:$A$10)+MATCH($F23,_怪物类型!$A$2:$A$10,0))*IF($M23="",1,$M23),""))</f>
        <v>15277</v>
      </c>
      <c r="V23" s="47">
        <f t="shared" si="1"/>
        <v>0.388955368281692</v>
      </c>
      <c r="W23" s="48">
        <f t="shared" si="2"/>
        <v>169732.88673327</v>
      </c>
      <c r="X23" s="48">
        <f t="shared" si="3"/>
        <v>0.519663804446079</v>
      </c>
      <c r="Y23" s="48">
        <f t="shared" si="4"/>
        <v>42.9510919277683</v>
      </c>
      <c r="Z23" s="49" t="str">
        <f t="shared" si="5"/>
        <v/>
      </c>
      <c r="AA23" s="30" t="str">
        <f t="shared" si="6"/>
        <v>已计算</v>
      </c>
      <c r="AB23" s="30" t="str">
        <f t="shared" si="7"/>
        <v>有效</v>
      </c>
      <c r="AC23" s="30" t="str">
        <f t="shared" si="8"/>
        <v/>
      </c>
      <c r="AD23" s="31" t="s">
        <v>519</v>
      </c>
      <c r="AE23">
        <v>161000</v>
      </c>
      <c r="AF23">
        <f>INDEX(_统一战力!$B$2:$B$501,J23)</f>
        <v>417000</v>
      </c>
    </row>
    <row r="24" ht="25" customHeight="1" spans="1:32">
      <c r="A24" s="30" t="s">
        <v>150</v>
      </c>
      <c r="B24" s="30" t="s">
        <v>53</v>
      </c>
      <c r="C24" s="31" t="s">
        <v>507</v>
      </c>
      <c r="D24" s="31" t="s">
        <v>520</v>
      </c>
      <c r="E24" s="31" t="s">
        <v>521</v>
      </c>
      <c r="F24" s="30" t="s">
        <v>154</v>
      </c>
      <c r="G24" s="40">
        <v>90</v>
      </c>
      <c r="H24" s="41"/>
      <c r="I24" s="42">
        <f t="shared" si="0"/>
        <v>90</v>
      </c>
      <c r="J24" s="43">
        <v>167</v>
      </c>
      <c r="K24" s="44">
        <v>0.97245051663214</v>
      </c>
      <c r="L24" s="44">
        <v>1.0644370418593</v>
      </c>
      <c r="M24" s="44">
        <v>1</v>
      </c>
      <c r="N24" s="45"/>
      <c r="O24" s="45"/>
      <c r="P24" s="45"/>
      <c r="Q24" s="46">
        <f>IF($I24="","",IFERROR(INDEX(_玩家曲线!$H$2:$H$286,MATCH($I24,_玩家曲线!$A$2:$A$286,0)),""))</f>
        <v>332560.187181101</v>
      </c>
      <c r="R24" s="46">
        <f>IF($I24="","",IFERROR(INDEX(_玩家曲线!$I$2:$I$286,MATCH($I24,_玩家曲线!$A$2:$A$286,0)),""))</f>
        <v>655056.951563923</v>
      </c>
      <c r="S24" s="46">
        <f>IF(OR($J24="",$F24="不适用"),"",IFERROR(INDEX(_怪物模型!$D$2:$D$4501,(INT($J24)-1)*ROWS(_怪物类型!$A$2:$A$10)+MATCH($F24,_怪物类型!$A$2:$A$10,0))*IF($K24="",1,$K24),""))</f>
        <v>106043.783937702</v>
      </c>
      <c r="T24" s="46">
        <f>IF(OR($J24="",$F24="不适用"),"",IFERROR(INDEX(_怪物模型!$E$2:$E$4501,(INT($J24)-1)*ROWS(_怪物类型!$A$2:$A$10)+MATCH($F24,_怪物类型!$A$2:$A$10,0))*IF($L24="",1,$L24),""))</f>
        <v>15278.9292988484</v>
      </c>
      <c r="U24" s="46">
        <f>IF(OR($J24="",$F24="不适用"),"",IFERROR(INDEX(_怪物模型!$F$2:$F$4501,(INT($J24)-1)*ROWS(_怪物类型!$A$2:$A$10)+MATCH($F24,_怪物类型!$A$2:$A$10,0))*IF($M24="",1,$M24),""))</f>
        <v>15500</v>
      </c>
      <c r="V24" s="47">
        <f t="shared" si="1"/>
        <v>0.392405063291139</v>
      </c>
      <c r="W24" s="48">
        <f t="shared" si="2"/>
        <v>174530.394397467</v>
      </c>
      <c r="X24" s="48">
        <f t="shared" si="3"/>
        <v>0.52480844408</v>
      </c>
      <c r="Y24" s="48">
        <f t="shared" si="4"/>
        <v>42.8732235584922</v>
      </c>
      <c r="Z24" s="49" t="str">
        <f t="shared" si="5"/>
        <v/>
      </c>
      <c r="AA24" s="30" t="str">
        <f t="shared" si="6"/>
        <v>已计算</v>
      </c>
      <c r="AB24" s="30" t="str">
        <f t="shared" si="7"/>
        <v>有效</v>
      </c>
      <c r="AC24" s="30" t="str">
        <f t="shared" si="8"/>
        <v/>
      </c>
      <c r="AD24" s="31" t="s">
        <v>522</v>
      </c>
      <c r="AE24">
        <v>166000</v>
      </c>
      <c r="AF24">
        <f>INDEX(_统一战力!$B$2:$B$501,J24)</f>
        <v>426000</v>
      </c>
    </row>
    <row r="25" ht="25" customHeight="1" spans="1:32">
      <c r="A25" s="30" t="s">
        <v>150</v>
      </c>
      <c r="B25" s="30" t="s">
        <v>53</v>
      </c>
      <c r="C25" s="31" t="s">
        <v>523</v>
      </c>
      <c r="D25" s="31" t="s">
        <v>524</v>
      </c>
      <c r="E25" s="31" t="s">
        <v>525</v>
      </c>
      <c r="F25" s="30" t="s">
        <v>154</v>
      </c>
      <c r="G25" s="40">
        <v>91</v>
      </c>
      <c r="H25" s="41"/>
      <c r="I25" s="42">
        <f t="shared" si="0"/>
        <v>91</v>
      </c>
      <c r="J25" s="43">
        <v>170</v>
      </c>
      <c r="K25" s="44">
        <v>0.967815583254906</v>
      </c>
      <c r="L25" s="44">
        <v>1.0625295132139</v>
      </c>
      <c r="M25" s="44">
        <v>1</v>
      </c>
      <c r="N25" s="45"/>
      <c r="O25" s="45"/>
      <c r="P25" s="45"/>
      <c r="Q25" s="46">
        <f>IF($I25="","",IFERROR(INDEX(_玩家曲线!$H$2:$H$286,MATCH($I25,_玩家曲线!$A$2:$A$286,0)),""))</f>
        <v>338576.001251768</v>
      </c>
      <c r="R25" s="46">
        <f>IF($I25="","",IFERROR(INDEX(_玩家曲线!$I$2:$I$286,MATCH($I25,_玩家曲线!$A$2:$A$286,0)),""))</f>
        <v>665388.142051713</v>
      </c>
      <c r="S25" s="46">
        <f>IF(OR($J25="",$F25="不适用"),"",IFERROR(INDEX(_怪物模型!$D$2:$D$4501,(INT($J25)-1)*ROWS(_怪物类型!$A$2:$A$10)+MATCH($F25,_怪物类型!$A$2:$A$10,0))*IF($K25="",1,$K25),""))</f>
        <v>109923.526130509</v>
      </c>
      <c r="T25" s="46">
        <f>IF(OR($J25="",$F25="不适用"),"",IFERROR(INDEX(_怪物模型!$E$2:$E$4501,(INT($J25)-1)*ROWS(_怪物类型!$A$2:$A$10)+MATCH($F25,_怪物类型!$A$2:$A$10,0))*IF($L25="",1,$L25),""))</f>
        <v>15706.3112643279</v>
      </c>
      <c r="U25" s="46">
        <f>IF(OR($J25="",$F25="不适用"),"",IFERROR(INDEX(_怪物模型!$F$2:$F$4501,(INT($J25)-1)*ROWS(_怪物类型!$A$2:$A$10)+MATCH($F25,_怪物类型!$A$2:$A$10,0))*IF($M25="",1,$M25),""))</f>
        <v>15836</v>
      </c>
      <c r="V25" s="47">
        <f t="shared" si="1"/>
        <v>0.397529872477156</v>
      </c>
      <c r="W25" s="48">
        <f t="shared" si="2"/>
        <v>182454.732788956</v>
      </c>
      <c r="X25" s="48">
        <f t="shared" si="3"/>
        <v>0.538888557116845</v>
      </c>
      <c r="Y25" s="48">
        <f t="shared" si="4"/>
        <v>42.3643802070153</v>
      </c>
      <c r="Z25" s="49" t="str">
        <f t="shared" si="5"/>
        <v/>
      </c>
      <c r="AA25" s="30" t="str">
        <f t="shared" si="6"/>
        <v>已计算</v>
      </c>
      <c r="AB25" s="30" t="str">
        <f t="shared" si="7"/>
        <v>有效</v>
      </c>
      <c r="AC25" s="30" t="str">
        <f t="shared" si="8"/>
        <v/>
      </c>
      <c r="AD25" s="31" t="s">
        <v>526</v>
      </c>
      <c r="AE25">
        <v>170000</v>
      </c>
      <c r="AF25">
        <f>INDEX(_统一战力!$B$2:$B$501,J25)</f>
        <v>445000</v>
      </c>
    </row>
    <row r="26" ht="25" customHeight="1" spans="1:32">
      <c r="A26" s="30" t="s">
        <v>150</v>
      </c>
      <c r="B26" s="30" t="s">
        <v>53</v>
      </c>
      <c r="C26" s="31" t="s">
        <v>523</v>
      </c>
      <c r="D26" s="31" t="s">
        <v>527</v>
      </c>
      <c r="E26" s="31" t="s">
        <v>528</v>
      </c>
      <c r="F26" s="30" t="s">
        <v>154</v>
      </c>
      <c r="G26" s="40">
        <v>92</v>
      </c>
      <c r="H26" s="41"/>
      <c r="I26" s="42">
        <f t="shared" si="0"/>
        <v>92</v>
      </c>
      <c r="J26" s="43">
        <v>173</v>
      </c>
      <c r="K26" s="44">
        <v>0.981523350475477</v>
      </c>
      <c r="L26" s="44">
        <v>1.07292121318402</v>
      </c>
      <c r="M26" s="44">
        <v>1</v>
      </c>
      <c r="N26" s="45"/>
      <c r="O26" s="45"/>
      <c r="P26" s="45"/>
      <c r="Q26" s="46">
        <f>IF($I26="","",IFERROR(INDEX(_玩家曲线!$H$2:$H$286,MATCH($I26,_玩家曲线!$A$2:$A$286,0)),""))</f>
        <v>344668.799995937</v>
      </c>
      <c r="R26" s="46">
        <f>IF($I26="","",IFERROR(INDEX(_玩家曲线!$I$2:$I$286,MATCH($I26,_玩家曲线!$A$2:$A$286,0)),""))</f>
        <v>675816.708058224</v>
      </c>
      <c r="S26" s="46">
        <f>IF(OR($J26="",$F26="不适用"),"",IFERROR(INDEX(_怪物模型!$D$2:$D$4501,(INT($J26)-1)*ROWS(_怪物类型!$A$2:$A$10)+MATCH($F26,_怪物类型!$A$2:$A$10,0))*IF($K26="",1,$K26),""))</f>
        <v>116060.228576973</v>
      </c>
      <c r="T26" s="46">
        <f>IF(OR($J26="",$F26="不适用"),"",IFERROR(INDEX(_怪物模型!$E$2:$E$4501,(INT($J26)-1)*ROWS(_怪物类型!$A$2:$A$10)+MATCH($F26,_怪物类型!$A$2:$A$10,0))*IF($L26="",1,$L26),""))</f>
        <v>16326.6421010212</v>
      </c>
      <c r="U26" s="46">
        <f>IF(OR($J26="",$F26="不适用"),"",IFERROR(INDEX(_怪物模型!$F$2:$F$4501,(INT($J26)-1)*ROWS(_怪物类型!$A$2:$A$10)+MATCH($F26,_怪物类型!$A$2:$A$10,0))*IF($M26="",1,$M26),""))</f>
        <v>16175</v>
      </c>
      <c r="V26" s="47">
        <f t="shared" si="1"/>
        <v>0.40261356565028</v>
      </c>
      <c r="W26" s="48">
        <f t="shared" si="2"/>
        <v>194279.986794995</v>
      </c>
      <c r="X26" s="48">
        <f t="shared" si="3"/>
        <v>0.563671521174198</v>
      </c>
      <c r="Y26" s="48">
        <f t="shared" si="4"/>
        <v>41.3934907053516</v>
      </c>
      <c r="Z26" s="49" t="str">
        <f t="shared" si="5"/>
        <v/>
      </c>
      <c r="AA26" s="30" t="str">
        <f t="shared" si="6"/>
        <v>已计算</v>
      </c>
      <c r="AB26" s="30" t="str">
        <f t="shared" si="7"/>
        <v>有效</v>
      </c>
      <c r="AC26" s="30" t="str">
        <f t="shared" si="8"/>
        <v/>
      </c>
      <c r="AD26" s="31" t="s">
        <v>529</v>
      </c>
      <c r="AE26">
        <v>175000</v>
      </c>
      <c r="AF26">
        <f>INDEX(_统一战力!$B$2:$B$501,J26)</f>
        <v>463000</v>
      </c>
    </row>
    <row r="27" ht="25" customHeight="1" spans="1:32">
      <c r="A27" s="30" t="s">
        <v>150</v>
      </c>
      <c r="B27" s="30" t="s">
        <v>53</v>
      </c>
      <c r="C27" s="31" t="s">
        <v>523</v>
      </c>
      <c r="D27" s="31" t="s">
        <v>530</v>
      </c>
      <c r="E27" s="31" t="s">
        <v>531</v>
      </c>
      <c r="F27" s="30" t="s">
        <v>154</v>
      </c>
      <c r="G27" s="40">
        <v>93</v>
      </c>
      <c r="H27" s="41"/>
      <c r="I27" s="42">
        <f t="shared" si="0"/>
        <v>93</v>
      </c>
      <c r="J27" s="43">
        <v>175</v>
      </c>
      <c r="K27" s="44">
        <v>0.975114032609106</v>
      </c>
      <c r="L27" s="44">
        <v>1.07136448187043</v>
      </c>
      <c r="M27" s="44">
        <v>1</v>
      </c>
      <c r="N27" s="45"/>
      <c r="O27" s="45"/>
      <c r="P27" s="45"/>
      <c r="Q27" s="46">
        <f>IF($I27="","",IFERROR(INDEX(_玩家曲线!$H$2:$H$286,MATCH($I27,_玩家曲线!$A$2:$A$286,0)),""))</f>
        <v>350839.380224539</v>
      </c>
      <c r="R27" s="46">
        <f>IF($I27="","",IFERROR(INDEX(_玩家曲线!$I$2:$I$286,MATCH($I27,_玩家曲线!$A$2:$A$286,0)),""))</f>
        <v>686343.194213315</v>
      </c>
      <c r="S27" s="46">
        <f>IF(OR($J27="",$F27="不适用"),"",IFERROR(INDEX(_怪物模型!$D$2:$D$4501,(INT($J27)-1)*ROWS(_怪物类型!$A$2:$A$10)+MATCH($F27,_怪物类型!$A$2:$A$10,0))*IF($K27="",1,$K27),""))</f>
        <v>118409.072093756</v>
      </c>
      <c r="T27" s="46">
        <f>IF(OR($J27="",$F27="不适用"),"",IFERROR(INDEX(_怪物模型!$E$2:$E$4501,(INT($J27)-1)*ROWS(_怪物类型!$A$2:$A$10)+MATCH($F27,_怪物类型!$A$2:$A$10,0))*IF($L27="",1,$L27),""))</f>
        <v>16617.9344782922</v>
      </c>
      <c r="U27" s="46">
        <f>IF(OR($J27="",$F27="不适用"),"",IFERROR(INDEX(_怪物模型!$F$2:$F$4501,(INT($J27)-1)*ROWS(_怪物类型!$A$2:$A$10)+MATCH($F27,_怪物类型!$A$2:$A$10,0))*IF($M27="",1,$M27),""))</f>
        <v>16402</v>
      </c>
      <c r="V27" s="47">
        <f t="shared" si="1"/>
        <v>0.405970001485075</v>
      </c>
      <c r="W27" s="48">
        <f t="shared" si="2"/>
        <v>199331.805447164</v>
      </c>
      <c r="X27" s="48">
        <f t="shared" si="3"/>
        <v>0.568156873722645</v>
      </c>
      <c r="Y27" s="48">
        <f t="shared" si="4"/>
        <v>41.3013539745192</v>
      </c>
      <c r="Z27" s="49" t="str">
        <f t="shared" si="5"/>
        <v/>
      </c>
      <c r="AA27" s="30" t="str">
        <f t="shared" si="6"/>
        <v>已计算</v>
      </c>
      <c r="AB27" s="30" t="str">
        <f t="shared" si="7"/>
        <v>有效</v>
      </c>
      <c r="AC27" s="30" t="str">
        <f t="shared" si="8"/>
        <v/>
      </c>
      <c r="AD27" s="31" t="s">
        <v>532</v>
      </c>
      <c r="AE27">
        <v>180000</v>
      </c>
      <c r="AF27">
        <f>INDEX(_统一战力!$B$2:$B$501,J27)</f>
        <v>473000</v>
      </c>
    </row>
    <row r="28" ht="25" customHeight="1" spans="1:32">
      <c r="A28" s="30" t="s">
        <v>150</v>
      </c>
      <c r="B28" s="30" t="s">
        <v>53</v>
      </c>
      <c r="C28" s="31" t="s">
        <v>523</v>
      </c>
      <c r="D28" s="31" t="s">
        <v>533</v>
      </c>
      <c r="E28" s="31" t="s">
        <v>534</v>
      </c>
      <c r="F28" s="30" t="s">
        <v>154</v>
      </c>
      <c r="G28" s="40">
        <v>94</v>
      </c>
      <c r="H28" s="41"/>
      <c r="I28" s="42">
        <f t="shared" si="0"/>
        <v>94</v>
      </c>
      <c r="J28" s="43">
        <v>178</v>
      </c>
      <c r="K28" s="44">
        <v>0.97164172118924</v>
      </c>
      <c r="L28" s="44">
        <v>1.07037632595104</v>
      </c>
      <c r="M28" s="44">
        <v>1</v>
      </c>
      <c r="N28" s="45"/>
      <c r="O28" s="45"/>
      <c r="P28" s="45"/>
      <c r="Q28" s="46">
        <f>IF($I28="","",IFERROR(INDEX(_玩家曲线!$H$2:$H$286,MATCH($I28,_玩家曲线!$A$2:$A$286,0)),""))</f>
        <v>357088.545345091</v>
      </c>
      <c r="R28" s="46">
        <f>IF($I28="","",IFERROR(INDEX(_玩家曲线!$I$2:$I$286,MATCH($I28,_玩家曲线!$A$2:$A$286,0)),""))</f>
        <v>696968.146649284</v>
      </c>
      <c r="S28" s="46">
        <f>IF(OR($J28="",$F28="不适用"),"",IFERROR(INDEX(_怪物模型!$D$2:$D$4501,(INT($J28)-1)*ROWS(_怪物类型!$A$2:$A$10)+MATCH($F28,_怪物类型!$A$2:$A$10,0))*IF($K28="",1,$K28),""))</f>
        <v>122743.612070952</v>
      </c>
      <c r="T28" s="46">
        <f>IF(OR($J28="",$F28="不适用"),"",IFERROR(INDEX(_怪物模型!$E$2:$E$4501,(INT($J28)-1)*ROWS(_怪物类型!$A$2:$A$10)+MATCH($F28,_怪物类型!$A$2:$A$10,0))*IF($L28="",1,$L28),""))</f>
        <v>17083.2061621786</v>
      </c>
      <c r="U28" s="46">
        <f>IF(OR($J28="",$F28="不适用"),"",IFERROR(INDEX(_怪物模型!$F$2:$F$4501,(INT($J28)-1)*ROWS(_怪物类型!$A$2:$A$10)+MATCH($F28,_怪物类型!$A$2:$A$10,0))*IF($M28="",1,$M28),""))</f>
        <v>16743</v>
      </c>
      <c r="V28" s="47">
        <f t="shared" si="1"/>
        <v>0.41094175686621</v>
      </c>
      <c r="W28" s="48">
        <f t="shared" si="2"/>
        <v>208372.62444195</v>
      </c>
      <c r="X28" s="48">
        <f t="shared" si="3"/>
        <v>0.583532087932359</v>
      </c>
      <c r="Y28" s="48">
        <f t="shared" si="4"/>
        <v>40.7984391239355</v>
      </c>
      <c r="Z28" s="49" t="str">
        <f t="shared" si="5"/>
        <v/>
      </c>
      <c r="AA28" s="30" t="str">
        <f t="shared" si="6"/>
        <v>已计算</v>
      </c>
      <c r="AB28" s="30" t="str">
        <f t="shared" si="7"/>
        <v>有效</v>
      </c>
      <c r="AC28" s="30" t="str">
        <f t="shared" si="8"/>
        <v/>
      </c>
      <c r="AD28" s="31" t="s">
        <v>535</v>
      </c>
      <c r="AE28">
        <v>185000</v>
      </c>
      <c r="AF28">
        <f>INDEX(_统一战力!$B$2:$B$501,J28)</f>
        <v>492000</v>
      </c>
    </row>
    <row r="29" ht="25" customHeight="1" spans="1:32">
      <c r="A29" s="30" t="s">
        <v>150</v>
      </c>
      <c r="B29" s="30" t="s">
        <v>53</v>
      </c>
      <c r="C29" s="31" t="s">
        <v>523</v>
      </c>
      <c r="D29" s="31" t="s">
        <v>536</v>
      </c>
      <c r="E29" s="31" t="s">
        <v>537</v>
      </c>
      <c r="F29" s="30" t="s">
        <v>154</v>
      </c>
      <c r="G29" s="40">
        <v>95</v>
      </c>
      <c r="H29" s="41"/>
      <c r="I29" s="42">
        <f t="shared" si="0"/>
        <v>95</v>
      </c>
      <c r="J29" s="43">
        <v>180</v>
      </c>
      <c r="K29" s="44">
        <v>0.966132979675865</v>
      </c>
      <c r="L29" s="44">
        <v>1.06964047849819</v>
      </c>
      <c r="M29" s="44">
        <v>1</v>
      </c>
      <c r="N29" s="45"/>
      <c r="O29" s="45"/>
      <c r="P29" s="45"/>
      <c r="Q29" s="46">
        <f>IF($I29="","",IFERROR(INDEX(_玩家曲线!$H$2:$H$286,MATCH($I29,_玩家曲线!$A$2:$A$286,0)),""))</f>
        <v>363417.105400859</v>
      </c>
      <c r="R29" s="46">
        <f>IF($I29="","",IFERROR(INDEX(_玩家曲线!$I$2:$I$286,MATCH($I29,_玩家曲线!$A$2:$A$286,0)),""))</f>
        <v>707692.113002087</v>
      </c>
      <c r="S29" s="46">
        <f>IF(OR($J29="",$F29="不适用"),"",IFERROR(INDEX(_怪物模型!$D$2:$D$4501,(INT($J29)-1)*ROWS(_怪物类型!$A$2:$A$10)+MATCH($F29,_怪物类型!$A$2:$A$10,0))*IF($K29="",1,$K29),""))</f>
        <v>125276.53120861</v>
      </c>
      <c r="T29" s="46">
        <f>IF(OR($J29="",$F29="不适用"),"",IFERROR(INDEX(_怪物模型!$E$2:$E$4501,(INT($J29)-1)*ROWS(_怪物类型!$A$2:$A$10)+MATCH($F29,_怪物类型!$A$2:$A$10,0))*IF($L29="",1,$L29),""))</f>
        <v>17396.6327422946</v>
      </c>
      <c r="U29" s="46">
        <f>IF(OR($J29="",$F29="不适用"),"",IFERROR(INDEX(_怪物模型!$F$2:$F$4501,(INT($J29)-1)*ROWS(_怪物类型!$A$2:$A$10)+MATCH($F29,_怪物类型!$A$2:$A$10,0))*IF($M29="",1,$M29),""))</f>
        <v>16973</v>
      </c>
      <c r="V29" s="47">
        <f t="shared" si="1"/>
        <v>0.414248407487858</v>
      </c>
      <c r="W29" s="48">
        <f t="shared" si="2"/>
        <v>213873.138050432</v>
      </c>
      <c r="X29" s="48">
        <f t="shared" si="3"/>
        <v>0.588505975288435</v>
      </c>
      <c r="Y29" s="48">
        <f t="shared" si="4"/>
        <v>40.6798329013149</v>
      </c>
      <c r="Z29" s="49" t="str">
        <f t="shared" si="5"/>
        <v/>
      </c>
      <c r="AA29" s="30" t="str">
        <f t="shared" si="6"/>
        <v>已计算</v>
      </c>
      <c r="AB29" s="30" t="str">
        <f t="shared" si="7"/>
        <v>有效</v>
      </c>
      <c r="AC29" s="30" t="str">
        <f t="shared" si="8"/>
        <v/>
      </c>
      <c r="AD29" s="31" t="s">
        <v>538</v>
      </c>
      <c r="AE29">
        <v>191000</v>
      </c>
      <c r="AF29">
        <f>INDEX(_统一战力!$B$2:$B$501,J29)</f>
        <v>502000</v>
      </c>
    </row>
    <row r="30" ht="25" customHeight="1" spans="1:32">
      <c r="A30" s="30" t="s">
        <v>150</v>
      </c>
      <c r="B30" s="30" t="s">
        <v>53</v>
      </c>
      <c r="C30" s="31" t="s">
        <v>539</v>
      </c>
      <c r="D30" s="31" t="s">
        <v>540</v>
      </c>
      <c r="E30" s="31" t="s">
        <v>541</v>
      </c>
      <c r="F30" s="30" t="s">
        <v>154</v>
      </c>
      <c r="G30" s="40">
        <v>96</v>
      </c>
      <c r="H30" s="41"/>
      <c r="I30" s="42">
        <f t="shared" si="0"/>
        <v>96</v>
      </c>
      <c r="J30" s="43">
        <v>183</v>
      </c>
      <c r="K30" s="44">
        <v>0.965746738910535</v>
      </c>
      <c r="L30" s="44">
        <v>1.06962858695769</v>
      </c>
      <c r="M30" s="44">
        <v>1</v>
      </c>
      <c r="N30" s="45"/>
      <c r="O30" s="45"/>
      <c r="P30" s="45"/>
      <c r="Q30" s="46">
        <f>IF($I30="","",IFERROR(INDEX(_玩家曲线!$H$2:$H$286,MATCH($I30,_玩家曲线!$A$2:$A$286,0)),""))</f>
        <v>369825.877110177</v>
      </c>
      <c r="R30" s="46">
        <f>IF($I30="","",IFERROR(INDEX(_玩家曲线!$I$2:$I$286,MATCH($I30,_玩家曲线!$A$2:$A$286,0)),""))</f>
        <v>718515.642412547</v>
      </c>
      <c r="S30" s="46">
        <f>IF(OR($J30="",$F30="不适用"),"",IFERROR(INDEX(_怪物模型!$D$2:$D$4501,(INT($J30)-1)*ROWS(_怪物类型!$A$2:$A$10)+MATCH($F30,_怪物类型!$A$2:$A$10,0))*IF($K30="",1,$K30),""))</f>
        <v>130183.626151879</v>
      </c>
      <c r="T30" s="46">
        <f>IF(OR($J30="",$F30="不适用"),"",IFERROR(INDEX(_怪物模型!$E$2:$E$4501,(INT($J30)-1)*ROWS(_怪物类型!$A$2:$A$10)+MATCH($F30,_怪物类型!$A$2:$A$10,0))*IF($L30="",1,$L30),""))</f>
        <v>17890.6077454543</v>
      </c>
      <c r="U30" s="46">
        <f>IF(OR($J30="",$F30="不适用"),"",IFERROR(INDEX(_怪物模型!$F$2:$F$4501,(INT($J30)-1)*ROWS(_怪物类型!$A$2:$A$10)+MATCH($F30,_怪物类型!$A$2:$A$10,0))*IF($M30="",1,$M30),""))</f>
        <v>17318</v>
      </c>
      <c r="V30" s="47">
        <f t="shared" si="1"/>
        <v>0.419139358148991</v>
      </c>
      <c r="W30" s="48">
        <f t="shared" si="2"/>
        <v>224121.961055972</v>
      </c>
      <c r="X30" s="48">
        <f t="shared" si="3"/>
        <v>0.60602022445607</v>
      </c>
      <c r="Y30" s="48">
        <f t="shared" si="4"/>
        <v>40.1616117593942</v>
      </c>
      <c r="Z30" s="49" t="str">
        <f t="shared" si="5"/>
        <v/>
      </c>
      <c r="AA30" s="30" t="str">
        <f t="shared" si="6"/>
        <v>已计算</v>
      </c>
      <c r="AB30" s="30" t="str">
        <f t="shared" si="7"/>
        <v>有效</v>
      </c>
      <c r="AC30" s="30" t="str">
        <f t="shared" si="8"/>
        <v/>
      </c>
      <c r="AD30" s="31" t="s">
        <v>542</v>
      </c>
      <c r="AE30">
        <v>197000</v>
      </c>
      <c r="AF30">
        <f>INDEX(_统一战力!$B$2:$B$501,J30)</f>
        <v>522000</v>
      </c>
    </row>
    <row r="31" ht="25" customHeight="1" spans="1:32">
      <c r="A31" s="30" t="s">
        <v>150</v>
      </c>
      <c r="B31" s="30" t="s">
        <v>53</v>
      </c>
      <c r="C31" s="31" t="s">
        <v>539</v>
      </c>
      <c r="D31" s="31" t="s">
        <v>543</v>
      </c>
      <c r="E31" s="31" t="s">
        <v>544</v>
      </c>
      <c r="F31" s="30" t="s">
        <v>154</v>
      </c>
      <c r="G31" s="40">
        <v>97</v>
      </c>
      <c r="H31" s="41"/>
      <c r="I31" s="42">
        <f t="shared" si="0"/>
        <v>97</v>
      </c>
      <c r="J31" s="43">
        <v>186</v>
      </c>
      <c r="K31" s="44">
        <v>0.963366110748191</v>
      </c>
      <c r="L31" s="44">
        <v>1.06972801368831</v>
      </c>
      <c r="M31" s="44">
        <v>1</v>
      </c>
      <c r="N31" s="45"/>
      <c r="O31" s="45"/>
      <c r="P31" s="45"/>
      <c r="Q31" s="46">
        <f>IF($I31="","",IFERROR(INDEX(_玩家曲线!$H$2:$H$286,MATCH($I31,_玩家曲线!$A$2:$A$286,0)),""))</f>
        <v>376315.683905898</v>
      </c>
      <c r="R31" s="46">
        <f>IF($I31="","",IFERROR(INDEX(_玩家曲线!$I$2:$I$286,MATCH($I31,_玩家曲线!$A$2:$A$286,0)),""))</f>
        <v>729439.285527569</v>
      </c>
      <c r="S31" s="46">
        <f>IF(OR($J31="",$F31="不适用"),"",IFERROR(INDEX(_怪物模型!$D$2:$D$4501,(INT($J31)-1)*ROWS(_怪物类型!$A$2:$A$10)+MATCH($F31,_怪物类型!$A$2:$A$10,0))*IF($K31="",1,$K31),""))</f>
        <v>134948.324793607</v>
      </c>
      <c r="T31" s="46">
        <f>IF(OR($J31="",$F31="不适用"),"",IFERROR(INDEX(_怪物模型!$E$2:$E$4501,(INT($J31)-1)*ROWS(_怪物类型!$A$2:$A$10)+MATCH($F31,_怪物类型!$A$2:$A$10,0))*IF($L31="",1,$L31),""))</f>
        <v>18396.1126513979</v>
      </c>
      <c r="U31" s="46">
        <f>IF(OR($J31="",$F31="不适用"),"",IFERROR(INDEX(_怪物模型!$F$2:$F$4501,(INT($J31)-1)*ROWS(_怪物类型!$A$2:$A$10)+MATCH($F31,_怪物类型!$A$2:$A$10,0))*IF($M31="",1,$M31),""))</f>
        <v>17665</v>
      </c>
      <c r="V31" s="47">
        <f t="shared" si="1"/>
        <v>0.423976959078363</v>
      </c>
      <c r="W31" s="48">
        <f t="shared" si="2"/>
        <v>234275.914688567</v>
      </c>
      <c r="X31" s="48">
        <f t="shared" si="3"/>
        <v>0.622551556334151</v>
      </c>
      <c r="Y31" s="48">
        <f t="shared" si="4"/>
        <v>39.651816628343</v>
      </c>
      <c r="Z31" s="49" t="str">
        <f t="shared" si="5"/>
        <v/>
      </c>
      <c r="AA31" s="30" t="str">
        <f t="shared" si="6"/>
        <v>已计算</v>
      </c>
      <c r="AB31" s="30" t="str">
        <f t="shared" si="7"/>
        <v>有效</v>
      </c>
      <c r="AC31" s="30" t="str">
        <f t="shared" si="8"/>
        <v/>
      </c>
      <c r="AD31" s="31" t="s">
        <v>545</v>
      </c>
      <c r="AE31">
        <v>204000</v>
      </c>
      <c r="AF31">
        <f>INDEX(_统一战力!$B$2:$B$501,J31)</f>
        <v>542000</v>
      </c>
    </row>
    <row r="32" ht="25" customHeight="1" spans="1:32">
      <c r="A32" s="30" t="s">
        <v>150</v>
      </c>
      <c r="B32" s="30" t="s">
        <v>53</v>
      </c>
      <c r="C32" s="31" t="s">
        <v>539</v>
      </c>
      <c r="D32" s="31" t="s">
        <v>546</v>
      </c>
      <c r="E32" s="31" t="s">
        <v>547</v>
      </c>
      <c r="F32" s="30" t="s">
        <v>154</v>
      </c>
      <c r="G32" s="40">
        <v>98</v>
      </c>
      <c r="H32" s="41"/>
      <c r="I32" s="42">
        <f t="shared" si="0"/>
        <v>98</v>
      </c>
      <c r="J32" s="43">
        <v>188</v>
      </c>
      <c r="K32" s="44">
        <v>0.976345726483203</v>
      </c>
      <c r="L32" s="44">
        <v>1.08154140586632</v>
      </c>
      <c r="M32" s="44">
        <v>1</v>
      </c>
      <c r="N32" s="45"/>
      <c r="O32" s="45"/>
      <c r="P32" s="45"/>
      <c r="Q32" s="46">
        <f>IF($I32="","",IFERROR(INDEX(_玩家曲线!$H$2:$H$286,MATCH($I32,_玩家曲线!$A$2:$A$286,0)),""))</f>
        <v>382887.355974998</v>
      </c>
      <c r="R32" s="46">
        <f>IF($I32="","",IFERROR(INDEX(_玩家曲线!$I$2:$I$286,MATCH($I32,_玩家曲线!$A$2:$A$286,0)),""))</f>
        <v>740463.594501353</v>
      </c>
      <c r="S32" s="46">
        <f>IF(OR($J32="",$F32="不适用"),"",IFERROR(INDEX(_怪物模型!$D$2:$D$4501,(INT($J32)-1)*ROWS(_怪物类型!$A$2:$A$10)+MATCH($F32,_怪物类型!$A$2:$A$10,0))*IF($K32="",1,$K32),""))</f>
        <v>140283.30667256</v>
      </c>
      <c r="T32" s="46">
        <f>IF(OR($J32="",$F32="不适用"),"",IFERROR(INDEX(_怪物模型!$E$2:$E$4501,(INT($J32)-1)*ROWS(_怪物类型!$A$2:$A$10)+MATCH($F32,_怪物类型!$A$2:$A$10,0))*IF($L32="",1,$L32),""))</f>
        <v>18943.1977237486</v>
      </c>
      <c r="U32" s="46">
        <f>IF(OR($J32="",$F32="不适用"),"",IFERROR(INDEX(_怪物模型!$F$2:$F$4501,(INT($J32)-1)*ROWS(_怪物类型!$A$2:$A$10)+MATCH($F32,_怪物类型!$A$2:$A$10,0))*IF($M32="",1,$M32),""))</f>
        <v>17898</v>
      </c>
      <c r="V32" s="47">
        <f t="shared" si="1"/>
        <v>0.427180295002148</v>
      </c>
      <c r="W32" s="48">
        <f t="shared" si="2"/>
        <v>244899.582623621</v>
      </c>
      <c r="X32" s="48">
        <f t="shared" si="3"/>
        <v>0.639612614002361</v>
      </c>
      <c r="Y32" s="48">
        <f t="shared" si="4"/>
        <v>39.0886272370505</v>
      </c>
      <c r="Z32" s="49" t="str">
        <f t="shared" si="5"/>
        <v/>
      </c>
      <c r="AA32" s="30" t="str">
        <f t="shared" si="6"/>
        <v>已计算</v>
      </c>
      <c r="AB32" s="30" t="str">
        <f t="shared" si="7"/>
        <v>有效</v>
      </c>
      <c r="AC32" s="30" t="str">
        <f t="shared" si="8"/>
        <v/>
      </c>
      <c r="AD32" s="31" t="s">
        <v>548</v>
      </c>
      <c r="AE32">
        <v>211000</v>
      </c>
      <c r="AF32">
        <f>INDEX(_统一战力!$B$2:$B$501,J32)</f>
        <v>560000</v>
      </c>
    </row>
    <row r="33" ht="25" customHeight="1" spans="1:32">
      <c r="A33" s="30" t="s">
        <v>150</v>
      </c>
      <c r="B33" s="30" t="s">
        <v>53</v>
      </c>
      <c r="C33" s="31" t="s">
        <v>539</v>
      </c>
      <c r="D33" s="31" t="s">
        <v>549</v>
      </c>
      <c r="E33" s="31" t="s">
        <v>550</v>
      </c>
      <c r="F33" s="30" t="s">
        <v>154</v>
      </c>
      <c r="G33" s="40">
        <v>99</v>
      </c>
      <c r="H33" s="41"/>
      <c r="I33" s="42">
        <f t="shared" si="0"/>
        <v>99</v>
      </c>
      <c r="J33" s="43">
        <v>191</v>
      </c>
      <c r="K33" s="44">
        <v>0.974570086574435</v>
      </c>
      <c r="L33" s="44">
        <v>1.08219296878179</v>
      </c>
      <c r="M33" s="44">
        <v>1</v>
      </c>
      <c r="N33" s="45"/>
      <c r="O33" s="45"/>
      <c r="P33" s="45"/>
      <c r="Q33" s="46">
        <f>IF($I33="","",IFERROR(INDEX(_玩家曲线!$H$2:$H$286,MATCH($I33,_玩家曲线!$A$2:$A$286,0)),""))</f>
        <v>389541.730298325</v>
      </c>
      <c r="R33" s="46">
        <f>IF($I33="","",IFERROR(INDEX(_玩家曲线!$I$2:$I$286,MATCH($I33,_玩家曲线!$A$2:$A$286,0)),""))</f>
        <v>751589.12299661</v>
      </c>
      <c r="S33" s="46">
        <f>IF(OR($J33="",$F33="不适用"),"",IFERROR(INDEX(_怪物模型!$D$2:$D$4501,(INT($J33)-1)*ROWS(_怪物类型!$A$2:$A$10)+MATCH($F33,_怪物类型!$A$2:$A$10,0))*IF($K33="",1,$K33),""))</f>
        <v>145416.577187858</v>
      </c>
      <c r="T33" s="46">
        <f>IF(OR($J33="",$F33="不适用"),"",IFERROR(INDEX(_怪物模型!$E$2:$E$4501,(INT($J33)-1)*ROWS(_怪物类型!$A$2:$A$10)+MATCH($F33,_怪物类型!$A$2:$A$10,0))*IF($L33="",1,$L33),""))</f>
        <v>19480.555631041</v>
      </c>
      <c r="U33" s="46">
        <f>IF(OR($J33="",$F33="不适用"),"",IFERROR(INDEX(_怪物模型!$F$2:$F$4501,(INT($J33)-1)*ROWS(_怪物类型!$A$2:$A$10)+MATCH($F33,_怪物类型!$A$2:$A$10,0))*IF($M33="",1,$M33),""))</f>
        <v>18249</v>
      </c>
      <c r="V33" s="47">
        <f t="shared" si="1"/>
        <v>0.431939217496272</v>
      </c>
      <c r="W33" s="48">
        <f t="shared" si="2"/>
        <v>255987.707067076</v>
      </c>
      <c r="X33" s="48">
        <f t="shared" si="3"/>
        <v>0.657150921599673</v>
      </c>
      <c r="Y33" s="48">
        <f t="shared" si="4"/>
        <v>38.5815033837639</v>
      </c>
      <c r="Z33" s="49" t="str">
        <f t="shared" si="5"/>
        <v/>
      </c>
      <c r="AA33" s="30" t="str">
        <f t="shared" si="6"/>
        <v>已计算</v>
      </c>
      <c r="AB33" s="30" t="str">
        <f t="shared" si="7"/>
        <v>有效</v>
      </c>
      <c r="AC33" s="30" t="str">
        <f t="shared" si="8"/>
        <v/>
      </c>
      <c r="AD33" s="31" t="s">
        <v>551</v>
      </c>
      <c r="AE33">
        <v>218000</v>
      </c>
      <c r="AF33">
        <f>INDEX(_统一战力!$B$2:$B$501,J33)</f>
        <v>577000</v>
      </c>
    </row>
    <row r="34" ht="25" customHeight="1" spans="1:32">
      <c r="A34" s="30" t="s">
        <v>150</v>
      </c>
      <c r="B34" s="30" t="s">
        <v>53</v>
      </c>
      <c r="C34" s="31" t="s">
        <v>539</v>
      </c>
      <c r="D34" s="31" t="s">
        <v>552</v>
      </c>
      <c r="E34" s="31" t="s">
        <v>553</v>
      </c>
      <c r="F34" s="30" t="s">
        <v>154</v>
      </c>
      <c r="G34" s="40">
        <v>100</v>
      </c>
      <c r="H34" s="41"/>
      <c r="I34" s="42">
        <f t="shared" si="0"/>
        <v>100</v>
      </c>
      <c r="J34" s="43">
        <v>193</v>
      </c>
      <c r="K34" s="44">
        <v>0.970769512718545</v>
      </c>
      <c r="L34" s="44">
        <v>1.08091881331408</v>
      </c>
      <c r="M34" s="44">
        <v>1</v>
      </c>
      <c r="N34" s="45"/>
      <c r="O34" s="45"/>
      <c r="P34" s="45"/>
      <c r="Q34" s="46">
        <f>IF($I34="","",IFERROR(INDEX(_玩家曲线!$H$2:$H$286,MATCH($I34,_玩家曲线!$A$2:$A$286,0)),""))</f>
        <v>395331.076252464</v>
      </c>
      <c r="R34" s="46">
        <f>IF($I34="","",IFERROR(INDEX(_玩家曲线!$I$2:$I$286,MATCH($I34,_玩家曲线!$A$2:$A$286,0)),""))</f>
        <v>761253.295545268</v>
      </c>
      <c r="S34" s="46">
        <f>IF(OR($J34="",$F34="不适用"),"",IFERROR(INDEX(_怪物模型!$D$2:$D$4501,(INT($J34)-1)*ROWS(_怪物类型!$A$2:$A$10)+MATCH($F34,_怪物类型!$A$2:$A$10,0))*IF($K34="",1,$K34),""))</f>
        <v>148510.261594708</v>
      </c>
      <c r="T34" s="46">
        <f>IF(OR($J34="",$F34="不适用"),"",IFERROR(INDEX(_怪物模型!$E$2:$E$4501,(INT($J34)-1)*ROWS(_怪物类型!$A$2:$A$10)+MATCH($F34,_怪物类型!$A$2:$A$10,0))*IF($L34="",1,$L34),""))</f>
        <v>19811.0800104205</v>
      </c>
      <c r="U34" s="46">
        <f>IF(OR($J34="",$F34="不适用"),"",IFERROR(INDEX(_怪物模型!$F$2:$F$4501,(INT($J34)-1)*ROWS(_怪物类型!$A$2:$A$10)+MATCH($F34,_怪物类型!$A$2:$A$10,0))*IF($M34="",1,$M34),""))</f>
        <v>18484</v>
      </c>
      <c r="V34" s="47">
        <f t="shared" si="1"/>
        <v>0.435081442425384</v>
      </c>
      <c r="W34" s="48">
        <f t="shared" si="2"/>
        <v>262887.9147329</v>
      </c>
      <c r="X34" s="48">
        <f t="shared" si="3"/>
        <v>0.664981658474569</v>
      </c>
      <c r="Y34" s="48">
        <f t="shared" si="4"/>
        <v>38.4256332892934</v>
      </c>
      <c r="Z34" s="49" t="str">
        <f t="shared" si="5"/>
        <v/>
      </c>
      <c r="AA34" s="30" t="str">
        <f t="shared" si="6"/>
        <v>已计算</v>
      </c>
      <c r="AB34" s="30" t="str">
        <f t="shared" si="7"/>
        <v>有效</v>
      </c>
      <c r="AC34" s="30" t="str">
        <f t="shared" si="8"/>
        <v/>
      </c>
      <c r="AD34" s="31" t="s">
        <v>554</v>
      </c>
      <c r="AE34">
        <v>218000</v>
      </c>
      <c r="AF34">
        <f>INDEX(_统一战力!$B$2:$B$501,J34)</f>
        <v>595000</v>
      </c>
    </row>
    <row r="35" ht="25" customHeight="1" spans="1:32">
      <c r="A35" s="30" t="s">
        <v>150</v>
      </c>
      <c r="B35" s="30" t="s">
        <v>53</v>
      </c>
      <c r="C35" s="31" t="s">
        <v>555</v>
      </c>
      <c r="D35" s="31" t="s">
        <v>556</v>
      </c>
      <c r="E35" s="31" t="s">
        <v>557</v>
      </c>
      <c r="F35" s="30" t="s">
        <v>154</v>
      </c>
      <c r="G35" s="40">
        <v>101</v>
      </c>
      <c r="H35" s="41"/>
      <c r="I35" s="42">
        <f t="shared" si="0"/>
        <v>101</v>
      </c>
      <c r="J35" s="43">
        <v>196</v>
      </c>
      <c r="K35" s="44">
        <v>0.966323352032524</v>
      </c>
      <c r="L35" s="44">
        <v>1.07993654361155</v>
      </c>
      <c r="M35" s="44">
        <v>1</v>
      </c>
      <c r="N35" s="45"/>
      <c r="O35" s="45"/>
      <c r="P35" s="45"/>
      <c r="Q35" s="46">
        <f>IF($I35="","",IFERROR(INDEX(_玩家曲线!$H$2:$H$286,MATCH($I35,_玩家曲线!$A$2:$A$286,0)),""))</f>
        <v>405743.55804063</v>
      </c>
      <c r="R35" s="46">
        <f>IF($I35="","",IFERROR(INDEX(_玩家曲线!$I$2:$I$286,MATCH($I35,_玩家曲线!$A$2:$A$286,0)),""))</f>
        <v>776696.17263262</v>
      </c>
      <c r="S35" s="46">
        <f>IF(OR($J35="",$F35="不适用"),"",IFERROR(INDEX(_怪物模型!$D$2:$D$4501,(INT($J35)-1)*ROWS(_怪物类型!$A$2:$A$10)+MATCH($F35,_怪物类型!$A$2:$A$10,0))*IF($K35="",1,$K35),""))</f>
        <v>153422.192278852</v>
      </c>
      <c r="T35" s="46">
        <f>IF(OR($J35="",$F35="不适用"),"",IFERROR(INDEX(_怪物模型!$E$2:$E$4501,(INT($J35)-1)*ROWS(_怪物类型!$A$2:$A$10)+MATCH($F35,_怪物类型!$A$2:$A$10,0))*IF($L35="",1,$L35),""))</f>
        <v>20333.0452431183</v>
      </c>
      <c r="U35" s="46">
        <f>IF(OR($J35="",$F35="不适用"),"",IFERROR(INDEX(_怪物模型!$F$2:$F$4501,(INT($J35)-1)*ROWS(_怪物类型!$A$2:$A$10)+MATCH($F35,_怪物类型!$A$2:$A$10,0))*IF($M35="",1,$M35),""))</f>
        <v>18838</v>
      </c>
      <c r="V35" s="47">
        <f t="shared" si="1"/>
        <v>0.439749754890518</v>
      </c>
      <c r="W35" s="48">
        <f t="shared" si="2"/>
        <v>273845.828035061</v>
      </c>
      <c r="X35" s="48">
        <f t="shared" si="3"/>
        <v>0.674923415562</v>
      </c>
      <c r="Y35" s="48">
        <f t="shared" si="4"/>
        <v>38.1987136381105</v>
      </c>
      <c r="Z35" s="49" t="str">
        <f t="shared" si="5"/>
        <v/>
      </c>
      <c r="AA35" s="30" t="str">
        <f t="shared" si="6"/>
        <v>已计算</v>
      </c>
      <c r="AB35" s="30" t="str">
        <f t="shared" si="7"/>
        <v>有效</v>
      </c>
      <c r="AC35" s="30" t="str">
        <f t="shared" si="8"/>
        <v/>
      </c>
      <c r="AD35" s="31" t="s">
        <v>558</v>
      </c>
      <c r="AE35">
        <v>225000</v>
      </c>
      <c r="AF35">
        <f>INDEX(_统一战力!$B$2:$B$501,J35)</f>
        <v>613000</v>
      </c>
    </row>
    <row r="36" ht="25" customHeight="1" spans="1:32">
      <c r="A36" s="30" t="s">
        <v>150</v>
      </c>
      <c r="B36" s="30" t="s">
        <v>53</v>
      </c>
      <c r="C36" s="31" t="s">
        <v>555</v>
      </c>
      <c r="D36" s="31" t="s">
        <v>559</v>
      </c>
      <c r="E36" s="31" t="s">
        <v>560</v>
      </c>
      <c r="F36" s="30" t="s">
        <v>154</v>
      </c>
      <c r="G36" s="40">
        <v>102</v>
      </c>
      <c r="H36" s="41"/>
      <c r="I36" s="42">
        <f t="shared" si="0"/>
        <v>102</v>
      </c>
      <c r="J36" s="43">
        <v>199</v>
      </c>
      <c r="K36" s="44">
        <v>0.960198177882008</v>
      </c>
      <c r="L36" s="44">
        <v>1.07910429146781</v>
      </c>
      <c r="M36" s="44">
        <v>1</v>
      </c>
      <c r="N36" s="45"/>
      <c r="O36" s="45"/>
      <c r="P36" s="45"/>
      <c r="Q36" s="46">
        <f>IF($I36="","",IFERROR(INDEX(_玩家曲线!$H$2:$H$286,MATCH($I36,_玩家曲线!$A$2:$A$286,0)),""))</f>
        <v>416356.082201349</v>
      </c>
      <c r="R36" s="46">
        <f>IF($I36="","",IFERROR(INDEX(_玩家曲线!$I$2:$I$286,MATCH($I36,_玩家曲线!$A$2:$A$286,0)),""))</f>
        <v>792319.104933243</v>
      </c>
      <c r="S36" s="46">
        <f>IF(OR($J36="",$F36="不适用"),"",IFERROR(INDEX(_怪物模型!$D$2:$D$4501,(INT($J36)-1)*ROWS(_怪物类型!$A$2:$A$10)+MATCH($F36,_怪物类型!$A$2:$A$10,0))*IF($K36="",1,$K36),""))</f>
        <v>158159.042869835</v>
      </c>
      <c r="T36" s="46">
        <f>IF(OR($J36="",$F36="不适用"),"",IFERROR(INDEX(_怪物模型!$E$2:$E$4501,(INT($J36)-1)*ROWS(_怪物类型!$A$2:$A$10)+MATCH($F36,_怪物类型!$A$2:$A$10,0))*IF($L36="",1,$L36),""))</f>
        <v>20866.639684113</v>
      </c>
      <c r="U36" s="46">
        <f>IF(OR($J36="",$F36="不适用"),"",IFERROR(INDEX(_怪物模型!$F$2:$F$4501,(INT($J36)-1)*ROWS(_怪物类型!$A$2:$A$10)+MATCH($F36,_怪物类型!$A$2:$A$10,0))*IF($M36="",1,$M36),""))</f>
        <v>19194</v>
      </c>
      <c r="V36" s="47">
        <f t="shared" si="1"/>
        <v>0.444367273232393</v>
      </c>
      <c r="W36" s="48">
        <f t="shared" si="2"/>
        <v>284646.737404985</v>
      </c>
      <c r="X36" s="48">
        <f t="shared" si="3"/>
        <v>0.683661773114991</v>
      </c>
      <c r="Y36" s="48">
        <f t="shared" si="4"/>
        <v>37.9706132337389</v>
      </c>
      <c r="Z36" s="49" t="str">
        <f t="shared" si="5"/>
        <v/>
      </c>
      <c r="AA36" s="30" t="str">
        <f t="shared" si="6"/>
        <v>已计算</v>
      </c>
      <c r="AB36" s="30" t="str">
        <f t="shared" si="7"/>
        <v>有效</v>
      </c>
      <c r="AC36" s="30" t="str">
        <f t="shared" si="8"/>
        <v/>
      </c>
      <c r="AD36" s="31" t="s">
        <v>561</v>
      </c>
      <c r="AE36">
        <v>231000</v>
      </c>
      <c r="AF36">
        <f>INDEX(_统一战力!$B$2:$B$501,J36)</f>
        <v>640000</v>
      </c>
    </row>
    <row r="37" ht="25" customHeight="1" spans="1:32">
      <c r="A37" s="30" t="s">
        <v>150</v>
      </c>
      <c r="B37" s="30" t="s">
        <v>53</v>
      </c>
      <c r="C37" s="31" t="s">
        <v>555</v>
      </c>
      <c r="D37" s="31" t="s">
        <v>562</v>
      </c>
      <c r="E37" s="31" t="s">
        <v>563</v>
      </c>
      <c r="F37" s="30" t="s">
        <v>154</v>
      </c>
      <c r="G37" s="40">
        <v>103</v>
      </c>
      <c r="H37" s="41"/>
      <c r="I37" s="42">
        <f t="shared" si="0"/>
        <v>103</v>
      </c>
      <c r="J37" s="43">
        <v>201</v>
      </c>
      <c r="K37" s="44">
        <v>0.971630637566757</v>
      </c>
      <c r="L37" s="44">
        <v>1.09027077260927</v>
      </c>
      <c r="M37" s="44">
        <v>1</v>
      </c>
      <c r="N37" s="45"/>
      <c r="O37" s="45"/>
      <c r="P37" s="45"/>
      <c r="Q37" s="46">
        <f>IF($I37="","",IFERROR(INDEX(_玩家曲线!$H$2:$H$286,MATCH($I37,_玩家曲线!$A$2:$A$286,0)),""))</f>
        <v>427171.772189702</v>
      </c>
      <c r="R37" s="46">
        <f>IF($I37="","",IFERROR(INDEX(_玩家曲线!$I$2:$I$286,MATCH($I37,_玩家曲线!$A$2:$A$286,0)),""))</f>
        <v>808123.253655679</v>
      </c>
      <c r="S37" s="46">
        <f>IF(OR($J37="",$F37="不适用"),"",IFERROR(INDEX(_怪物模型!$D$2:$D$4501,(INT($J37)-1)*ROWS(_怪物类型!$A$2:$A$10)+MATCH($F37,_怪物类型!$A$2:$A$10,0))*IF($K37="",1,$K37),""))</f>
        <v>163981.131071504</v>
      </c>
      <c r="T37" s="46">
        <f>IF(OR($J37="",$F37="不适用"),"",IFERROR(INDEX(_怪物模型!$E$2:$E$4501,(INT($J37)-1)*ROWS(_怪物类型!$A$2:$A$10)+MATCH($F37,_怪物类型!$A$2:$A$10,0))*IF($L37="",1,$L37),""))</f>
        <v>21457.619075723</v>
      </c>
      <c r="U37" s="46">
        <f>IF(OR($J37="",$F37="不适用"),"",IFERROR(INDEX(_怪物模型!$F$2:$F$4501,(INT($J37)-1)*ROWS(_怪物类型!$A$2:$A$10)+MATCH($F37,_怪物类型!$A$2:$A$10,0))*IF($M37="",1,$M37),""))</f>
        <v>19433</v>
      </c>
      <c r="V37" s="47">
        <f t="shared" si="1"/>
        <v>0.447424769184721</v>
      </c>
      <c r="W37" s="48">
        <f t="shared" si="2"/>
        <v>296758.019409526</v>
      </c>
      <c r="X37" s="48">
        <f t="shared" si="3"/>
        <v>0.694704188641331</v>
      </c>
      <c r="Y37" s="48">
        <f t="shared" si="4"/>
        <v>37.6613663801117</v>
      </c>
      <c r="Z37" s="49" t="str">
        <f t="shared" si="5"/>
        <v/>
      </c>
      <c r="AA37" s="30" t="str">
        <f t="shared" si="6"/>
        <v>已计算</v>
      </c>
      <c r="AB37" s="30" t="str">
        <f t="shared" si="7"/>
        <v>有效</v>
      </c>
      <c r="AC37" s="30" t="str">
        <f t="shared" si="8"/>
        <v/>
      </c>
      <c r="AD37" s="31" t="s">
        <v>564</v>
      </c>
      <c r="AE37">
        <v>237000</v>
      </c>
      <c r="AF37">
        <f>INDEX(_统一战力!$B$2:$B$501,J37)</f>
        <v>649000</v>
      </c>
    </row>
    <row r="38" ht="25" customHeight="1" spans="1:32">
      <c r="A38" s="30" t="s">
        <v>150</v>
      </c>
      <c r="B38" s="30" t="s">
        <v>53</v>
      </c>
      <c r="C38" s="31" t="s">
        <v>555</v>
      </c>
      <c r="D38" s="31" t="s">
        <v>565</v>
      </c>
      <c r="E38" s="31" t="s">
        <v>566</v>
      </c>
      <c r="F38" s="30" t="s">
        <v>154</v>
      </c>
      <c r="G38" s="40">
        <v>104</v>
      </c>
      <c r="H38" s="41"/>
      <c r="I38" s="42">
        <f t="shared" si="0"/>
        <v>104</v>
      </c>
      <c r="J38" s="43">
        <v>204</v>
      </c>
      <c r="K38" s="44">
        <v>0.966528329515162</v>
      </c>
      <c r="L38" s="44">
        <v>1.09022464851023</v>
      </c>
      <c r="M38" s="44">
        <v>1</v>
      </c>
      <c r="N38" s="45"/>
      <c r="O38" s="45"/>
      <c r="P38" s="45"/>
      <c r="Q38" s="46">
        <f>IF($I38="","",IFERROR(INDEX(_玩家曲线!$H$2:$H$286,MATCH($I38,_玩家曲线!$A$2:$A$286,0)),""))</f>
        <v>438193.789707759</v>
      </c>
      <c r="R38" s="46">
        <f>IF($I38="","",IFERROR(INDEX(_玩家曲线!$I$2:$I$286,MATCH($I38,_玩家曲线!$A$2:$A$286,0)),""))</f>
        <v>824109.783432818</v>
      </c>
      <c r="S38" s="46">
        <f>IF(OR($J38="",$F38="不适用"),"",IFERROR(INDEX(_怪物模型!$D$2:$D$4501,(INT($J38)-1)*ROWS(_怪物类型!$A$2:$A$10)+MATCH($F38,_怪物类型!$A$2:$A$10,0))*IF($K38="",1,$K38),""))</f>
        <v>169129.89279687</v>
      </c>
      <c r="T38" s="46">
        <f>IF(OR($J38="",$F38="不适用"),"",IFERROR(INDEX(_怪物模型!$E$2:$E$4501,(INT($J38)-1)*ROWS(_怪物类型!$A$2:$A$10)+MATCH($F38,_怪物类型!$A$2:$A$10,0))*IF($L38="",1,$L38),""))</f>
        <v>22026.8987985007</v>
      </c>
      <c r="U38" s="46">
        <f>IF(OR($J38="",$F38="不适用"),"",IFERROR(INDEX(_怪物模型!$F$2:$F$4501,(INT($J38)-1)*ROWS(_怪物类型!$A$2:$A$10)+MATCH($F38,_怪物类型!$A$2:$A$10,0))*IF($M38="",1,$M38),""))</f>
        <v>19792</v>
      </c>
      <c r="V38" s="47">
        <f t="shared" si="1"/>
        <v>0.451954694921447</v>
      </c>
      <c r="W38" s="48">
        <f t="shared" si="2"/>
        <v>308605.677723355</v>
      </c>
      <c r="X38" s="48">
        <f t="shared" si="3"/>
        <v>0.704267575150188</v>
      </c>
      <c r="Y38" s="48">
        <f t="shared" si="4"/>
        <v>37.4137907915077</v>
      </c>
      <c r="Z38" s="49" t="str">
        <f t="shared" si="5"/>
        <v/>
      </c>
      <c r="AA38" s="30" t="str">
        <f t="shared" si="6"/>
        <v>已计算</v>
      </c>
      <c r="AB38" s="30" t="str">
        <f t="shared" si="7"/>
        <v>有效</v>
      </c>
      <c r="AC38" s="30" t="str">
        <f t="shared" si="8"/>
        <v/>
      </c>
      <c r="AD38" s="31" t="s">
        <v>567</v>
      </c>
      <c r="AE38">
        <v>243000</v>
      </c>
      <c r="AF38">
        <f>INDEX(_统一战力!$B$2:$B$501,J38)</f>
        <v>677000</v>
      </c>
    </row>
    <row r="39" ht="25" customHeight="1" spans="1:32">
      <c r="A39" s="30" t="s">
        <v>150</v>
      </c>
      <c r="B39" s="30" t="s">
        <v>53</v>
      </c>
      <c r="C39" s="31" t="s">
        <v>555</v>
      </c>
      <c r="D39" s="31" t="s">
        <v>568</v>
      </c>
      <c r="E39" s="31" t="s">
        <v>569</v>
      </c>
      <c r="F39" s="30" t="s">
        <v>154</v>
      </c>
      <c r="G39" s="40">
        <v>105</v>
      </c>
      <c r="H39" s="41"/>
      <c r="I39" s="42">
        <f t="shared" si="0"/>
        <v>105</v>
      </c>
      <c r="J39" s="43">
        <v>207</v>
      </c>
      <c r="K39" s="44">
        <v>0.964219015410545</v>
      </c>
      <c r="L39" s="44">
        <v>1.09087353806124</v>
      </c>
      <c r="M39" s="44">
        <v>1</v>
      </c>
      <c r="N39" s="45"/>
      <c r="O39" s="45"/>
      <c r="P39" s="45"/>
      <c r="Q39" s="46">
        <f>IF($I39="","",IFERROR(INDEX(_玩家曲线!$H$2:$H$286,MATCH($I39,_玩家曲线!$A$2:$A$286,0)),""))</f>
        <v>449425.335023812</v>
      </c>
      <c r="R39" s="46">
        <f>IF($I39="","",IFERROR(INDEX(_玩家曲线!$I$2:$I$286,MATCH($I39,_玩家曲线!$A$2:$A$286,0)),""))</f>
        <v>840279.862324229</v>
      </c>
      <c r="S39" s="46">
        <f>IF(OR($J39="",$F39="不适用"),"",IFERROR(INDEX(_怪物模型!$D$2:$D$4501,(INT($J39)-1)*ROWS(_怪物类型!$A$2:$A$10)+MATCH($F39,_怪物类型!$A$2:$A$10,0))*IF($K39="",1,$K39),""))</f>
        <v>174881.367044026</v>
      </c>
      <c r="T39" s="46">
        <f>IF(OR($J39="",$F39="不适用"),"",IFERROR(INDEX(_怪物模型!$E$2:$E$4501,(INT($J39)-1)*ROWS(_怪物类型!$A$2:$A$10)+MATCH($F39,_怪物类型!$A$2:$A$10,0))*IF($L39="",1,$L39),""))</f>
        <v>22621.4445587759</v>
      </c>
      <c r="U39" s="46">
        <f>IF(OR($J39="",$F39="不适用"),"",IFERROR(INDEX(_怪物模型!$F$2:$F$4501,(INT($J39)-1)*ROWS(_怪物类型!$A$2:$A$10)+MATCH($F39,_怪物类型!$A$2:$A$10,0))*IF($M39="",1,$M39),""))</f>
        <v>20154</v>
      </c>
      <c r="V39" s="47">
        <f t="shared" si="1"/>
        <v>0.456447886941161</v>
      </c>
      <c r="W39" s="48">
        <f t="shared" si="2"/>
        <v>321737.995019247</v>
      </c>
      <c r="X39" s="48">
        <f t="shared" si="3"/>
        <v>0.715887534471549</v>
      </c>
      <c r="Y39" s="48">
        <f t="shared" si="4"/>
        <v>37.1452786819595</v>
      </c>
      <c r="Z39" s="49" t="str">
        <f t="shared" si="5"/>
        <v/>
      </c>
      <c r="AA39" s="30" t="str">
        <f t="shared" si="6"/>
        <v>已计算</v>
      </c>
      <c r="AB39" s="30" t="str">
        <f t="shared" si="7"/>
        <v>有效</v>
      </c>
      <c r="AC39" s="30" t="str">
        <f t="shared" si="8"/>
        <v/>
      </c>
      <c r="AD39" s="31" t="s">
        <v>570</v>
      </c>
      <c r="AE39">
        <v>249000</v>
      </c>
      <c r="AF39">
        <f>INDEX(_统一战力!$B$2:$B$501,J39)</f>
        <v>702000</v>
      </c>
    </row>
  </sheetData>
  <mergeCells count="3">
    <mergeCell ref="A1:AD1"/>
    <mergeCell ref="A2:AD2"/>
    <mergeCell ref="A3:AD3"/>
  </mergeCells>
  <conditionalFormatting sqref="J5:J39">
    <cfRule type="expression" dxfId="2" priority="1">
      <formula>AND($A5&lt;&gt;"特殊：双方属性对算",$J5="")</formula>
    </cfRule>
  </conditionalFormatting>
  <conditionalFormatting sqref="AA5:AA39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39">
    <cfRule type="expression" dxfId="4" priority="2">
      <formula>$AB5="超范围"</formula>
    </cfRule>
  </conditionalFormatting>
  <conditionalFormatting sqref="AC5:AC39">
    <cfRule type="expression" dxfId="4" priority="7">
      <formula>$AC5="下降"</formula>
    </cfRule>
  </conditionalFormatting>
  <dataValidations count="5">
    <dataValidation type="list" sqref="F5:F39">
      <formula1>_字典!$A$2:$A$11</formula1>
    </dataValidation>
    <dataValidation type="whole" operator="between" allowBlank="1" sqref="H5:H39">
      <formula1>1</formula1>
      <formula2>285</formula2>
    </dataValidation>
    <dataValidation type="whole" operator="between" allowBlank="1" sqref="J5:J39">
      <formula1>1</formula1>
      <formula2>500</formula2>
    </dataValidation>
    <dataValidation type="decimal" operator="between" allowBlank="1" sqref="P5:P39">
      <formula1>0.01</formula1>
      <formula2>3600</formula2>
    </dataValidation>
    <dataValidation type="decimal" operator="between" allowBlank="1" sqref="K5:O39">
      <formula1>0</formula1>
      <formula2>100</formula2>
    </dataValidation>
  </dataValidations>
  <hyperlinks>
    <hyperlink ref="A1" r:id="rId4" display="全玩法难度填写｜困难主线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AF13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  <col min="31" max="32" width="22" customWidth="1"/>
  </cols>
  <sheetData>
    <row r="1" ht="34" customHeight="1" spans="1:32">
      <c r="A1" s="26" t="s">
        <v>571</v>
      </c>
    </row>
    <row r="2" ht="30" customHeight="1" spans="1:32">
      <c r="A2" s="27" t="s">
        <v>119</v>
      </c>
    </row>
    <row r="3" ht="14.25" customHeight="1" spans="1:32">
      <c r="A3" s="28" t="s">
        <v>120</v>
      </c>
    </row>
    <row r="4" ht="30" customHeight="1" spans="1:32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  <c r="AE4" s="8" t="s">
        <v>148</v>
      </c>
      <c r="AF4" s="8" t="s">
        <v>149</v>
      </c>
    </row>
    <row r="5" ht="25" customHeight="1" spans="1:32">
      <c r="A5" s="30" t="s">
        <v>150</v>
      </c>
      <c r="B5" s="30" t="s">
        <v>54</v>
      </c>
      <c r="C5" s="31" t="s">
        <v>572</v>
      </c>
      <c r="D5" s="31" t="s">
        <v>573</v>
      </c>
      <c r="E5" s="31" t="s">
        <v>574</v>
      </c>
      <c r="F5" s="30" t="s">
        <v>154</v>
      </c>
      <c r="G5" s="40">
        <v>16</v>
      </c>
      <c r="H5" s="41"/>
      <c r="I5" s="42">
        <f t="shared" ref="I5:I13" si="0">IF($H5="",$G5,$H5)</f>
        <v>16</v>
      </c>
      <c r="J5" s="43">
        <v>20</v>
      </c>
      <c r="K5" s="44">
        <v>1.08830187415834</v>
      </c>
      <c r="L5" s="44">
        <v>0.874592828608589</v>
      </c>
      <c r="M5" s="44">
        <v>1</v>
      </c>
      <c r="N5" s="45"/>
      <c r="O5" s="45"/>
      <c r="P5" s="45"/>
      <c r="Q5" s="46">
        <f>IF($I5="","",IFERROR(INDEX(_玩家曲线!$H$2:$H$286,MATCH($I5,_玩家曲线!$A$2:$A$286,0)),""))</f>
        <v>12729.4716557661</v>
      </c>
      <c r="R5" s="46">
        <f>IF($I5="","",IFERROR(INDEX(_玩家曲线!$I$2:$I$286,MATCH($I5,_玩家曲线!$A$2:$A$286,0)),""))</f>
        <v>43361.3035091893</v>
      </c>
      <c r="S5" s="46">
        <f>IF(OR($J5="",$F5="不适用"),"",IFERROR(INDEX(_怪物模型!$D$2:$D$4501,(INT($J5)-1)*ROWS(_怪物类型!$A$2:$A$10)+MATCH($F5,_怪物类型!$A$2:$A$10,0))*IF($K5="",1,$K5),""))</f>
        <v>3286.67165995819</v>
      </c>
      <c r="T5" s="46">
        <f>IF(OR($J5="",$F5="不适用"),"",IFERROR(INDEX(_怪物模型!$E$2:$E$4501,(INT($J5)-1)*ROWS(_怪物类型!$A$2:$A$10)+MATCH($F5,_怪物类型!$A$2:$A$10,0))*IF($L5="",1,$L5),""))</f>
        <v>839.609115464245</v>
      </c>
      <c r="U5" s="46">
        <f>IF(OR($J5="",$F5="不适用"),"",IFERROR(INDEX(_怪物模型!$F$2:$F$4501,(INT($J5)-1)*ROWS(_怪物类型!$A$2:$A$10)+MATCH($F5,_怪物类型!$A$2:$A$10,0))*IF($M5="",1,$M5),""))</f>
        <v>1522</v>
      </c>
      <c r="V5" s="47">
        <f t="shared" ref="V5:V13" si="1">IF($U5="","",MIN(0.75,$U5/($U5+24000)))</f>
        <v>0.0596348248569861</v>
      </c>
      <c r="W5" s="48">
        <f t="shared" ref="W5:W13" si="2">IF($S5="","",$S5/(1-$V5)*IF($N5="",1,$N5))</f>
        <v>3495.10142106053</v>
      </c>
      <c r="X5" s="48">
        <f t="shared" ref="X5:X13" si="3">IF(OR($W5="",$Q5="",$Q5=0),"",$W5/$Q5)</f>
        <v>0.274567673786944</v>
      </c>
      <c r="Y5" s="48">
        <f t="shared" ref="Y5:Y13" si="4">IF(OR($R5="",$T5="",$T5=0),"",$R5/($T5*IF($O5="",1,$O5)))</f>
        <v>51.6446316631681</v>
      </c>
      <c r="Z5" s="49" t="str">
        <f t="shared" ref="Z5:Z13" si="5">IF(OR($X5="",$P5="",$P5=0),"",$X5/$P5)</f>
        <v/>
      </c>
      <c r="AA5" s="30" t="str">
        <f t="shared" ref="AA5:AA13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 t="shared" ref="AB5:AB13" si="7">IF($J5="","待填",IF(AND(ISNUMBER($J5),$J5&gt;=1,$J5&lt;=500,MOD($J5,1)=0),"有效","超范围"))</f>
        <v>有效</v>
      </c>
      <c r="AC5" s="30" t="str">
        <f t="shared" ref="AC5:AC13" si="8">IF(OR($J5="",ROW()=5,$B5&lt;&gt;$B4,$J4=""),"",IF($J5&lt;$J4,"下降",""))</f>
        <v/>
      </c>
      <c r="AD5" s="31" t="s">
        <v>575</v>
      </c>
      <c r="AE5">
        <v>7220</v>
      </c>
      <c r="AF5">
        <f>INDEX(_统一战力!$B$2:$B$501,J5)</f>
        <v>11200</v>
      </c>
    </row>
    <row r="6" ht="25" customHeight="1" spans="1:32">
      <c r="A6" s="30" t="s">
        <v>150</v>
      </c>
      <c r="B6" s="30" t="s">
        <v>54</v>
      </c>
      <c r="C6" s="31" t="s">
        <v>572</v>
      </c>
      <c r="D6" s="31" t="s">
        <v>576</v>
      </c>
      <c r="E6" s="31" t="s">
        <v>577</v>
      </c>
      <c r="F6" s="30" t="s">
        <v>154</v>
      </c>
      <c r="G6" s="40">
        <v>20</v>
      </c>
      <c r="H6" s="41"/>
      <c r="I6" s="42">
        <f t="shared" si="0"/>
        <v>20</v>
      </c>
      <c r="J6" s="43">
        <v>24</v>
      </c>
      <c r="K6" s="44">
        <v>1.07226447081797</v>
      </c>
      <c r="L6" s="44">
        <v>0.877882152006833</v>
      </c>
      <c r="M6" s="44">
        <v>1</v>
      </c>
      <c r="N6" s="45"/>
      <c r="O6" s="45"/>
      <c r="P6" s="45"/>
      <c r="Q6" s="46">
        <f>IF($I6="","",IFERROR(INDEX(_玩家曲线!$H$2:$H$286,MATCH($I6,_玩家曲线!$A$2:$A$286,0)),""))</f>
        <v>18422.0658556409</v>
      </c>
      <c r="R6" s="46">
        <f>IF($I6="","",IFERROR(INDEX(_玩家曲线!$I$2:$I$286,MATCH($I6,_玩家曲线!$A$2:$A$286,0)),""))</f>
        <v>58659.1211219852</v>
      </c>
      <c r="S6" s="46">
        <f>IF(OR($J6="",$F6="不适用"),"",IFERROR(INDEX(_怪物模型!$D$2:$D$4501,(INT($J6)-1)*ROWS(_怪物类型!$A$2:$A$10)+MATCH($F6,_怪物类型!$A$2:$A$10,0))*IF($K6="",1,$K6),""))</f>
        <v>4150.73576653636</v>
      </c>
      <c r="T6" s="46">
        <f>IF(OR($J6="",$F6="不适用"),"",IFERROR(INDEX(_怪物模型!$E$2:$E$4501,(INT($J6)-1)*ROWS(_怪物类型!$A$2:$A$10)+MATCH($F6,_怪物类型!$A$2:$A$10,0))*IF($L6="",1,$L6),""))</f>
        <v>1028</v>
      </c>
      <c r="U6" s="46">
        <f>IF(OR($J6="",$F6="不适用"),"",IFERROR(INDEX(_怪物模型!$F$2:$F$4501,(INT($J6)-1)*ROWS(_怪物类型!$A$2:$A$10)+MATCH($F6,_怪物类型!$A$2:$A$10,0))*IF($M6="",1,$M6),""))</f>
        <v>1837</v>
      </c>
      <c r="V6" s="47">
        <f t="shared" si="1"/>
        <v>0.071099585865232</v>
      </c>
      <c r="W6" s="48">
        <f t="shared" si="2"/>
        <v>4468.44</v>
      </c>
      <c r="X6" s="48">
        <f t="shared" si="3"/>
        <v>0.242559115520247</v>
      </c>
      <c r="Y6" s="48">
        <f t="shared" si="4"/>
        <v>57.0614018696353</v>
      </c>
      <c r="Z6" s="49" t="str">
        <f t="shared" si="5"/>
        <v/>
      </c>
      <c r="AA6" s="30" t="str">
        <f t="shared" si="6"/>
        <v>已计算</v>
      </c>
      <c r="AB6" s="30" t="str">
        <f t="shared" si="7"/>
        <v>有效</v>
      </c>
      <c r="AC6" s="30" t="str">
        <f t="shared" si="8"/>
        <v/>
      </c>
      <c r="AD6" s="31" t="s">
        <v>578</v>
      </c>
      <c r="AE6">
        <v>10100</v>
      </c>
      <c r="AF6">
        <f>INDEX(_统一战力!$B$2:$B$501,J6)</f>
        <v>14700</v>
      </c>
    </row>
    <row r="7" ht="25" customHeight="1" spans="1:32">
      <c r="A7" s="30" t="s">
        <v>150</v>
      </c>
      <c r="B7" s="30" t="s">
        <v>54</v>
      </c>
      <c r="C7" s="31" t="s">
        <v>572</v>
      </c>
      <c r="D7" s="31" t="s">
        <v>579</v>
      </c>
      <c r="E7" s="31" t="s">
        <v>580</v>
      </c>
      <c r="F7" s="30" t="s">
        <v>154</v>
      </c>
      <c r="G7" s="40">
        <v>33</v>
      </c>
      <c r="H7" s="41"/>
      <c r="I7" s="42">
        <f t="shared" si="0"/>
        <v>33</v>
      </c>
      <c r="J7" s="43">
        <v>31</v>
      </c>
      <c r="K7" s="44">
        <v>1.0413925891834</v>
      </c>
      <c r="L7" s="44">
        <v>0.885474371240769</v>
      </c>
      <c r="M7" s="44">
        <v>1</v>
      </c>
      <c r="N7" s="45"/>
      <c r="O7" s="45"/>
      <c r="P7" s="45"/>
      <c r="Q7" s="46">
        <f>IF($I7="","",IFERROR(INDEX(_玩家曲线!$H$2:$H$286,MATCH($I7,_玩家曲线!$A$2:$A$286,0)),""))</f>
        <v>42332.3252975087</v>
      </c>
      <c r="R7" s="46">
        <f>IF($I7="","",IFERROR(INDEX(_玩家曲线!$I$2:$I$286,MATCH($I7,_玩家曲线!$A$2:$A$286,0)),""))</f>
        <v>117656.323591464</v>
      </c>
      <c r="S7" s="46">
        <f>IF(OR($J7="",$F7="不适用"),"",IFERROR(INDEX(_怪物模型!$D$2:$D$4501,(INT($J7)-1)*ROWS(_怪物类型!$A$2:$A$10)+MATCH($F7,_怪物类型!$A$2:$A$10,0))*IF($K7="",1,$K7),""))</f>
        <v>5781.81165514624</v>
      </c>
      <c r="T7" s="46">
        <f>IF(OR($J7="",$F7="不适用"),"",IFERROR(INDEX(_怪物模型!$E$2:$E$4501,(INT($J7)-1)*ROWS(_怪物类型!$A$2:$A$10)+MATCH($F7,_怪物类型!$A$2:$A$10,0))*IF($L7="",1,$L7),""))</f>
        <v>1378.68359602188</v>
      </c>
      <c r="U7" s="46">
        <f>IF(OR($J7="",$F7="不适用"),"",IFERROR(INDEX(_怪物模型!$F$2:$F$4501,(INT($J7)-1)*ROWS(_怪物类型!$A$2:$A$10)+MATCH($F7,_怪物类型!$A$2:$A$10,0))*IF($M7="",1,$M7),""))</f>
        <v>2398</v>
      </c>
      <c r="V7" s="47">
        <f t="shared" si="1"/>
        <v>0.0908402151678157</v>
      </c>
      <c r="W7" s="48">
        <f t="shared" si="2"/>
        <v>6359.51100302293</v>
      </c>
      <c r="X7" s="48">
        <f t="shared" si="3"/>
        <v>0.150228246578205</v>
      </c>
      <c r="Y7" s="48">
        <f t="shared" si="4"/>
        <v>85.3396123163831</v>
      </c>
      <c r="Z7" s="49" t="str">
        <f t="shared" si="5"/>
        <v/>
      </c>
      <c r="AA7" s="30" t="str">
        <f t="shared" si="6"/>
        <v>已计算</v>
      </c>
      <c r="AB7" s="30" t="str">
        <f t="shared" si="7"/>
        <v>有效</v>
      </c>
      <c r="AC7" s="30" t="str">
        <f t="shared" si="8"/>
        <v/>
      </c>
      <c r="AD7" s="31" t="s">
        <v>581</v>
      </c>
      <c r="AE7">
        <v>12300</v>
      </c>
      <c r="AF7">
        <f>INDEX(_统一战力!$B$2:$B$501,J7)</f>
        <v>19800</v>
      </c>
    </row>
    <row r="8" ht="25" customHeight="1" spans="1:32">
      <c r="A8" s="30" t="s">
        <v>150</v>
      </c>
      <c r="B8" s="30" t="s">
        <v>54</v>
      </c>
      <c r="C8" s="31" t="s">
        <v>572</v>
      </c>
      <c r="D8" s="31" t="s">
        <v>582</v>
      </c>
      <c r="E8" s="31" t="s">
        <v>583</v>
      </c>
      <c r="F8" s="30" t="s">
        <v>154</v>
      </c>
      <c r="G8" s="40">
        <v>48</v>
      </c>
      <c r="H8" s="41"/>
      <c r="I8" s="42">
        <f t="shared" si="0"/>
        <v>48</v>
      </c>
      <c r="J8" s="43">
        <v>34</v>
      </c>
      <c r="K8" s="44">
        <v>1.03103111729802</v>
      </c>
      <c r="L8" s="44">
        <v>0.885754757003408</v>
      </c>
      <c r="M8" s="44">
        <v>1</v>
      </c>
      <c r="N8" s="45"/>
      <c r="O8" s="45"/>
      <c r="P8" s="45"/>
      <c r="Q8" s="46">
        <f>IF($I8="","",IFERROR(INDEX(_玩家曲线!$H$2:$H$286,MATCH($I8,_玩家曲线!$A$2:$A$286,0)),""))</f>
        <v>90311.5060122421</v>
      </c>
      <c r="R8" s="46">
        <f>IF($I8="","",IFERROR(INDEX(_玩家曲线!$I$2:$I$286,MATCH($I8,_玩家曲线!$A$2:$A$286,0)),""))</f>
        <v>216419.269218726</v>
      </c>
      <c r="S8" s="46">
        <f>IF(OR($J8="",$F8="不适用"),"",IFERROR(INDEX(_怪物模型!$D$2:$D$4501,(INT($J8)-1)*ROWS(_怪物类型!$A$2:$A$10)+MATCH($F8,_怪物类型!$A$2:$A$10,0))*IF($K8="",1,$K8),""))</f>
        <v>6544.98553260783</v>
      </c>
      <c r="T8" s="46">
        <f>IF(OR($J8="",$F8="不适用"),"",IFERROR(INDEX(_怪物模型!$E$2:$E$4501,(INT($J8)-1)*ROWS(_怪物类型!$A$2:$A$10)+MATCH($F8,_怪物类型!$A$2:$A$10,0))*IF($L8="",1,$L8),""))</f>
        <v>1530.58422010189</v>
      </c>
      <c r="U8" s="46">
        <f>IF(OR($J8="",$F8="不适用"),"",IFERROR(INDEX(_怪物模型!$F$2:$F$4501,(INT($J8)-1)*ROWS(_怪物类型!$A$2:$A$10)+MATCH($F8,_怪物类型!$A$2:$A$10,0))*IF($M8="",1,$M8),""))</f>
        <v>2641</v>
      </c>
      <c r="V8" s="47">
        <f t="shared" si="1"/>
        <v>0.0991329154311024</v>
      </c>
      <c r="W8" s="48">
        <f t="shared" si="2"/>
        <v>7265.20664892522</v>
      </c>
      <c r="X8" s="48">
        <f t="shared" si="3"/>
        <v>0.0804460801256087</v>
      </c>
      <c r="Y8" s="48">
        <f t="shared" si="4"/>
        <v>141.396511460388</v>
      </c>
      <c r="Z8" s="49" t="str">
        <f t="shared" si="5"/>
        <v/>
      </c>
      <c r="AA8" s="30" t="str">
        <f t="shared" si="6"/>
        <v>已计算</v>
      </c>
      <c r="AB8" s="30" t="str">
        <f t="shared" si="7"/>
        <v>有效</v>
      </c>
      <c r="AC8" s="30" t="str">
        <f t="shared" si="8"/>
        <v/>
      </c>
      <c r="AD8" s="31" t="s">
        <v>584</v>
      </c>
      <c r="AE8">
        <v>13500</v>
      </c>
      <c r="AF8">
        <f>INDEX(_统一战力!$B$2:$B$501,J8)</f>
        <v>23100</v>
      </c>
    </row>
    <row r="9" ht="25" customHeight="1" spans="1:32">
      <c r="A9" s="30" t="s">
        <v>150</v>
      </c>
      <c r="B9" s="30" t="s">
        <v>54</v>
      </c>
      <c r="C9" s="31" t="s">
        <v>572</v>
      </c>
      <c r="D9" s="31" t="s">
        <v>585</v>
      </c>
      <c r="E9" s="31" t="s">
        <v>586</v>
      </c>
      <c r="F9" s="30" t="s">
        <v>154</v>
      </c>
      <c r="G9" s="40">
        <v>64</v>
      </c>
      <c r="H9" s="41"/>
      <c r="I9" s="42">
        <f t="shared" si="0"/>
        <v>64</v>
      </c>
      <c r="J9" s="43">
        <v>42</v>
      </c>
      <c r="K9" s="44">
        <v>1.05578471016559</v>
      </c>
      <c r="L9" s="44">
        <v>0.933132403197277</v>
      </c>
      <c r="M9" s="44">
        <v>1</v>
      </c>
      <c r="N9" s="45"/>
      <c r="O9" s="45"/>
      <c r="P9" s="45"/>
      <c r="Q9" s="46">
        <f>IF($I9="","",IFERROR(INDEX(_玩家曲线!$H$2:$H$286,MATCH($I9,_玩家曲线!$A$2:$A$286,0)),""))</f>
        <v>165656.324811522</v>
      </c>
      <c r="R9" s="46">
        <f>IF($I9="","",IFERROR(INDEX(_玩家曲线!$I$2:$I$286,MATCH($I9,_玩家曲线!$A$2:$A$286,0)),""))</f>
        <v>352956.471884879</v>
      </c>
      <c r="S9" s="46">
        <f>IF(OR($J9="",$F9="不适用"),"",IFERROR(INDEX(_怪物模型!$D$2:$D$4501,(INT($J9)-1)*ROWS(_怪物类型!$A$2:$A$10)+MATCH($F9,_怪物类型!$A$2:$A$10,0))*IF($K9="",1,$K9),""))</f>
        <v>9183.2154090203</v>
      </c>
      <c r="T9" s="46">
        <f>IF(OR($J9="",$F9="不适用"),"",IFERROR(INDEX(_怪物模型!$E$2:$E$4501,(INT($J9)-1)*ROWS(_怪物类型!$A$2:$A$10)+MATCH($F9,_怪物类型!$A$2:$A$10,0))*IF($L9="",1,$L9),""))</f>
        <v>2058.49008145319</v>
      </c>
      <c r="U9" s="46">
        <f>IF(OR($J9="",$F9="不适用"),"",IFERROR(INDEX(_怪物模型!$F$2:$F$4501,(INT($J9)-1)*ROWS(_怪物类型!$A$2:$A$10)+MATCH($F9,_怪物类型!$A$2:$A$10,0))*IF($M9="",1,$M9),""))</f>
        <v>3301</v>
      </c>
      <c r="V9" s="47">
        <f t="shared" si="1"/>
        <v>0.1209113219296</v>
      </c>
      <c r="W9" s="48">
        <f t="shared" si="2"/>
        <v>10446.290161736</v>
      </c>
      <c r="X9" s="48">
        <f t="shared" si="3"/>
        <v>0.0630600139995946</v>
      </c>
      <c r="Y9" s="48">
        <f t="shared" si="4"/>
        <v>171.463770977079</v>
      </c>
      <c r="Z9" s="49" t="str">
        <f t="shared" si="5"/>
        <v/>
      </c>
      <c r="AA9" s="30" t="str">
        <f t="shared" si="6"/>
        <v>已计算</v>
      </c>
      <c r="AB9" s="30" t="str">
        <f t="shared" si="7"/>
        <v>有效</v>
      </c>
      <c r="AC9" s="30" t="str">
        <f t="shared" si="8"/>
        <v/>
      </c>
      <c r="AD9" s="31" t="s">
        <v>587</v>
      </c>
      <c r="AE9">
        <v>18200</v>
      </c>
      <c r="AF9">
        <f>INDEX(_统一战力!$B$2:$B$501,J9)</f>
        <v>32800</v>
      </c>
    </row>
    <row r="10" ht="25" customHeight="1" spans="1:32">
      <c r="A10" s="30" t="s">
        <v>588</v>
      </c>
      <c r="B10" s="30" t="s">
        <v>54</v>
      </c>
      <c r="C10" s="31" t="s">
        <v>572</v>
      </c>
      <c r="D10" s="31" t="s">
        <v>589</v>
      </c>
      <c r="E10" s="31" t="s">
        <v>590</v>
      </c>
      <c r="F10" s="30" t="s">
        <v>154</v>
      </c>
      <c r="G10" s="40">
        <v>85</v>
      </c>
      <c r="H10" s="41"/>
      <c r="I10" s="42">
        <f t="shared" si="0"/>
        <v>85</v>
      </c>
      <c r="J10" s="43">
        <v>74</v>
      </c>
      <c r="K10" s="45"/>
      <c r="L10" s="45"/>
      <c r="M10" s="45"/>
      <c r="N10" s="45"/>
      <c r="O10" s="45"/>
      <c r="P10" s="45"/>
      <c r="Q10" s="46">
        <f>IF($I10="","",IFERROR(INDEX(_玩家曲线!$H$2:$H$286,MATCH($I10,_玩家曲线!$A$2:$A$286,0)),""))</f>
        <v>303608.455403675</v>
      </c>
      <c r="R10" s="46">
        <f>IF($I10="","",IFERROR(INDEX(_玩家曲线!$I$2:$I$286,MATCH($I10,_玩家曲线!$A$2:$A$286,0)),""))</f>
        <v>604842.67487879</v>
      </c>
      <c r="S10" s="46">
        <f>IF(OR($J10="",$F10="不适用"),"",IFERROR(INDEX(_怪物模型!$D$2:$D$4501,(INT($J10)-1)*ROWS(_怪物类型!$A$2:$A$10)+MATCH($F10,_怪物类型!$A$2:$A$10,0))*IF($K10="",1,$K10),""))</f>
        <v>21730</v>
      </c>
      <c r="T10" s="46">
        <f>IF(OR($J10="",$F10="不适用"),"",IFERROR(INDEX(_怪物模型!$E$2:$E$4501,(INT($J10)-1)*ROWS(_怪物类型!$A$2:$A$10)+MATCH($F10,_怪物类型!$A$2:$A$10,0))*IF($L10="",1,$L10),""))</f>
        <v>4420</v>
      </c>
      <c r="U10" s="46">
        <f>IF(OR($J10="",$F10="不适用"),"",IFERROR(INDEX(_怪物模型!$F$2:$F$4501,(INT($J10)-1)*ROWS(_怪物类型!$A$2:$A$10)+MATCH($F10,_怪物类型!$A$2:$A$10,0))*IF($M10="",1,$M10),""))</f>
        <v>6085</v>
      </c>
      <c r="V10" s="47">
        <f t="shared" si="1"/>
        <v>0.20226026258933</v>
      </c>
      <c r="W10" s="48">
        <f t="shared" si="2"/>
        <v>27239.4604166667</v>
      </c>
      <c r="X10" s="48">
        <f t="shared" si="3"/>
        <v>0.0897190441565579</v>
      </c>
      <c r="Y10" s="48">
        <f t="shared" si="4"/>
        <v>136.842234135473</v>
      </c>
      <c r="Z10" s="49" t="str">
        <f t="shared" si="5"/>
        <v/>
      </c>
      <c r="AA10" s="30" t="str">
        <f t="shared" si="6"/>
        <v>已计算</v>
      </c>
      <c r="AB10" s="30" t="str">
        <f t="shared" si="7"/>
        <v>有效</v>
      </c>
      <c r="AC10" s="30" t="str">
        <f t="shared" si="8"/>
        <v/>
      </c>
      <c r="AD10" s="31" t="s">
        <v>591</v>
      </c>
      <c r="AE10">
        <v>41300</v>
      </c>
    </row>
    <row r="11" ht="25" customHeight="1" spans="1:32">
      <c r="A11" s="30" t="s">
        <v>588</v>
      </c>
      <c r="B11" s="30" t="s">
        <v>54</v>
      </c>
      <c r="C11" s="31" t="s">
        <v>572</v>
      </c>
      <c r="D11" s="31" t="s">
        <v>592</v>
      </c>
      <c r="E11" s="31" t="s">
        <v>593</v>
      </c>
      <c r="F11" s="30" t="s">
        <v>154</v>
      </c>
      <c r="G11" s="40">
        <v>108</v>
      </c>
      <c r="H11" s="41"/>
      <c r="I11" s="42">
        <f t="shared" si="0"/>
        <v>108</v>
      </c>
      <c r="J11" s="43">
        <v>90</v>
      </c>
      <c r="K11" s="45"/>
      <c r="L11" s="45"/>
      <c r="M11" s="45"/>
      <c r="N11" s="45"/>
      <c r="O11" s="45"/>
      <c r="P11" s="45"/>
      <c r="Q11" s="46">
        <f>IF($I11="","",IFERROR(INDEX(_玩家曲线!$H$2:$H$286,MATCH($I11,_玩家曲线!$A$2:$A$286,0)),""))</f>
        <v>484409.725686147</v>
      </c>
      <c r="R11" s="46">
        <f>IF($I11="","",IFERROR(INDEX(_玩家曲线!$I$2:$I$286,MATCH($I11,_玩家曲线!$A$2:$A$286,0)),""))</f>
        <v>889903.12572888</v>
      </c>
      <c r="S11" s="46">
        <f>IF(OR($J11="",$F11="不适用"),"",IFERROR(INDEX(_怪物模型!$D$2:$D$4501,(INT($J11)-1)*ROWS(_怪物类型!$A$2:$A$10)+MATCH($F11,_怪物类型!$A$2:$A$10,0))*IF($K11="",1,$K11),""))</f>
        <v>30804</v>
      </c>
      <c r="T11" s="46">
        <f>IF(OR($J11="",$F11="不适用"),"",IFERROR(INDEX(_怪物模型!$E$2:$E$4501,(INT($J11)-1)*ROWS(_怪物类型!$A$2:$A$10)+MATCH($F11,_怪物类型!$A$2:$A$10,0))*IF($L11="",1,$L11),""))</f>
        <v>5728</v>
      </c>
      <c r="U11" s="46">
        <f>IF(OR($J11="",$F11="不适用"),"",IFERROR(INDEX(_怪物模型!$F$2:$F$4501,(INT($J11)-1)*ROWS(_怪物类型!$A$2:$A$10)+MATCH($F11,_怪物类型!$A$2:$A$10,0))*IF($M11="",1,$M11),""))</f>
        <v>7565</v>
      </c>
      <c r="V11" s="47">
        <f t="shared" si="1"/>
        <v>0.239664185015048</v>
      </c>
      <c r="W11" s="48">
        <f t="shared" si="2"/>
        <v>40513.6775</v>
      </c>
      <c r="X11" s="48">
        <f t="shared" si="3"/>
        <v>0.0836351446961846</v>
      </c>
      <c r="Y11" s="48">
        <f t="shared" si="4"/>
        <v>155.360182564399</v>
      </c>
      <c r="Z11" s="49" t="str">
        <f t="shared" si="5"/>
        <v/>
      </c>
      <c r="AA11" s="30" t="str">
        <f t="shared" si="6"/>
        <v>已计算</v>
      </c>
      <c r="AB11" s="30" t="str">
        <f t="shared" si="7"/>
        <v>有效</v>
      </c>
      <c r="AC11" s="30" t="str">
        <f t="shared" si="8"/>
        <v/>
      </c>
      <c r="AD11" s="31" t="s">
        <v>594</v>
      </c>
      <c r="AE11">
        <v>54100</v>
      </c>
    </row>
    <row r="12" ht="25" customHeight="1" spans="1:32">
      <c r="A12" s="30" t="s">
        <v>588</v>
      </c>
      <c r="B12" s="30" t="s">
        <v>54</v>
      </c>
      <c r="C12" s="31" t="s">
        <v>572</v>
      </c>
      <c r="D12" s="31" t="s">
        <v>595</v>
      </c>
      <c r="E12" s="31" t="s">
        <v>596</v>
      </c>
      <c r="F12" s="30" t="s">
        <v>154</v>
      </c>
      <c r="G12" s="40">
        <v>124</v>
      </c>
      <c r="H12" s="41"/>
      <c r="I12" s="42">
        <f t="shared" si="0"/>
        <v>124</v>
      </c>
      <c r="J12" s="43">
        <v>107</v>
      </c>
      <c r="K12" s="45"/>
      <c r="L12" s="45"/>
      <c r="M12" s="45"/>
      <c r="N12" s="45"/>
      <c r="O12" s="45"/>
      <c r="P12" s="45"/>
      <c r="Q12" s="46">
        <f>IF($I12="","",IFERROR(INDEX(_玩家曲线!$H$2:$H$286,MATCH($I12,_玩家曲线!$A$2:$A$286,0)),""))</f>
        <v>679690.332421241</v>
      </c>
      <c r="R12" s="46">
        <f>IF($I12="","",IFERROR(INDEX(_玩家曲线!$I$2:$I$286,MATCH($I12,_玩家曲线!$A$2:$A$286,0)),""))</f>
        <v>1149922.97980537</v>
      </c>
      <c r="S12" s="46">
        <f>IF(OR($J12="",$F12="不适用"),"",IFERROR(INDEX(_怪物模型!$D$2:$D$4501,(INT($J12)-1)*ROWS(_怪物类型!$A$2:$A$10)+MATCH($F12,_怪物类型!$A$2:$A$10,0))*IF($K12="",1,$K12),""))</f>
        <v>42710</v>
      </c>
      <c r="T12" s="46">
        <f>IF(OR($J12="",$F12="不适用"),"",IFERROR(INDEX(_怪物模型!$E$2:$E$4501,(INT($J12)-1)*ROWS(_怪物类型!$A$2:$A$10)+MATCH($F12,_怪物类型!$A$2:$A$10,0))*IF($L12="",1,$L12),""))</f>
        <v>7283</v>
      </c>
      <c r="U12" s="46">
        <f>IF(OR($J12="",$F12="不适用"),"",IFERROR(INDEX(_怪物模型!$F$2:$F$4501,(INT($J12)-1)*ROWS(_怪物类型!$A$2:$A$10)+MATCH($F12,_怪物类型!$A$2:$A$10,0))*IF($M12="",1,$M12),""))</f>
        <v>9201</v>
      </c>
      <c r="V12" s="47">
        <f t="shared" si="1"/>
        <v>0.277130206921478</v>
      </c>
      <c r="W12" s="48">
        <f t="shared" si="2"/>
        <v>59083.94625</v>
      </c>
      <c r="X12" s="48">
        <f t="shared" si="3"/>
        <v>0.0869277425787814</v>
      </c>
      <c r="Y12" s="48">
        <f t="shared" si="4"/>
        <v>157.891388137494</v>
      </c>
      <c r="Z12" s="49" t="str">
        <f t="shared" si="5"/>
        <v/>
      </c>
      <c r="AA12" s="30" t="str">
        <f t="shared" si="6"/>
        <v>已计算</v>
      </c>
      <c r="AB12" s="30" t="str">
        <f t="shared" si="7"/>
        <v>有效</v>
      </c>
      <c r="AC12" s="30" t="str">
        <f t="shared" si="8"/>
        <v/>
      </c>
      <c r="AD12" s="31" t="s">
        <v>597</v>
      </c>
      <c r="AE12">
        <v>71400</v>
      </c>
    </row>
    <row r="13" ht="25" customHeight="1" spans="1:32">
      <c r="A13" s="30" t="s">
        <v>588</v>
      </c>
      <c r="B13" s="30" t="s">
        <v>54</v>
      </c>
      <c r="C13" s="31" t="s">
        <v>572</v>
      </c>
      <c r="D13" s="31" t="s">
        <v>598</v>
      </c>
      <c r="E13" s="31" t="s">
        <v>599</v>
      </c>
      <c r="F13" s="30" t="s">
        <v>154</v>
      </c>
      <c r="G13" s="40">
        <v>146</v>
      </c>
      <c r="H13" s="41"/>
      <c r="I13" s="42">
        <f t="shared" si="0"/>
        <v>146</v>
      </c>
      <c r="J13" s="43">
        <v>126</v>
      </c>
      <c r="K13" s="45"/>
      <c r="L13" s="45"/>
      <c r="M13" s="45"/>
      <c r="N13" s="45"/>
      <c r="O13" s="45"/>
      <c r="P13" s="45"/>
      <c r="Q13" s="46">
        <f>IF($I13="","",IFERROR(INDEX(_玩家曲线!$H$2:$H$286,MATCH($I13,_玩家曲线!$A$2:$A$286,0)),""))</f>
        <v>956281.237189549</v>
      </c>
      <c r="R13" s="46">
        <f>IF($I13="","",IFERROR(INDEX(_玩家曲线!$I$2:$I$286,MATCH($I13,_玩家曲线!$A$2:$A$286,0)),""))</f>
        <v>1482216.44272426</v>
      </c>
      <c r="S13" s="46">
        <f>IF(OR($J13="",$F13="不适用"),"",IFERROR(INDEX(_怪物模型!$D$2:$D$4501,(INT($J13)-1)*ROWS(_怪物类型!$A$2:$A$10)+MATCH($F13,_怪物类型!$A$2:$A$10,0))*IF($K13="",1,$K13),""))</f>
        <v>59227</v>
      </c>
      <c r="T13" s="46">
        <f>IF(OR($J13="",$F13="不适用"),"",IFERROR(INDEX(_怪物模型!$E$2:$E$4501,(INT($J13)-1)*ROWS(_怪物类型!$A$2:$A$10)+MATCH($F13,_怪物类型!$A$2:$A$10,0))*IF($L13="",1,$L13),""))</f>
        <v>9239</v>
      </c>
      <c r="U13" s="46">
        <f>IF(OR($J13="",$F13="不适用"),"",IFERROR(INDEX(_怪物模型!$F$2:$F$4501,(INT($J13)-1)*ROWS(_怪物类型!$A$2:$A$10)+MATCH($F13,_怪物类型!$A$2:$A$10,0))*IF($M13="",1,$M13),""))</f>
        <v>11107</v>
      </c>
      <c r="V13" s="47">
        <f t="shared" si="1"/>
        <v>0.316375651579457</v>
      </c>
      <c r="W13" s="48">
        <f t="shared" si="2"/>
        <v>86636.7620416667</v>
      </c>
      <c r="X13" s="48">
        <f t="shared" si="3"/>
        <v>0.0905975759770073</v>
      </c>
      <c r="Y13" s="48">
        <f t="shared" si="4"/>
        <v>160.430397524003</v>
      </c>
      <c r="Z13" s="49" t="str">
        <f t="shared" si="5"/>
        <v/>
      </c>
      <c r="AA13" s="30" t="str">
        <f t="shared" si="6"/>
        <v>已计算</v>
      </c>
      <c r="AB13" s="30" t="str">
        <f t="shared" si="7"/>
        <v>有效</v>
      </c>
      <c r="AC13" s="30" t="str">
        <f t="shared" si="8"/>
        <v/>
      </c>
      <c r="AD13" s="31" t="s">
        <v>600</v>
      </c>
      <c r="AE13">
        <v>95900</v>
      </c>
    </row>
  </sheetData>
  <mergeCells count="3">
    <mergeCell ref="A1:AD1"/>
    <mergeCell ref="A2:AD2"/>
    <mergeCell ref="A3:AD3"/>
  </mergeCells>
  <conditionalFormatting sqref="J5:J13">
    <cfRule type="expression" dxfId="2" priority="1">
      <formula>AND($A5&lt;&gt;"特殊：双方属性对算",$J5="")</formula>
    </cfRule>
  </conditionalFormatting>
  <conditionalFormatting sqref="AA5:AA13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13">
    <cfRule type="expression" dxfId="4" priority="2">
      <formula>$AB5="超范围"</formula>
    </cfRule>
  </conditionalFormatting>
  <conditionalFormatting sqref="AC5:AC13">
    <cfRule type="expression" dxfId="4" priority="7">
      <formula>$AC5="下降"</formula>
    </cfRule>
  </conditionalFormatting>
  <dataValidations count="5">
    <dataValidation type="list" sqref="F5:F13">
      <formula1>_字典!$A$2:$A$11</formula1>
    </dataValidation>
    <dataValidation type="whole" operator="between" allowBlank="1" sqref="H5:H13">
      <formula1>1</formula1>
      <formula2>285</formula2>
    </dataValidation>
    <dataValidation type="whole" operator="between" allowBlank="1" sqref="J5:J13">
      <formula1>1</formula1>
      <formula2>500</formula2>
    </dataValidation>
    <dataValidation type="decimal" operator="between" allowBlank="1" sqref="P5:P13">
      <formula1>0.01</formula1>
      <formula2>3600</formula2>
    </dataValidation>
    <dataValidation type="decimal" operator="between" allowBlank="1" sqref="K5:O13">
      <formula1>0</formula1>
      <formula2>100</formula2>
    </dataValidation>
  </dataValidations>
  <hyperlinks>
    <hyperlink ref="A1" r:id="rId4" display="全玩法难度填写｜角色经验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A9D18E"/>
  </sheetPr>
  <dimension ref="A1:AF13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  <col min="31" max="32" width="22" customWidth="1"/>
  </cols>
  <sheetData>
    <row r="1" ht="34" customHeight="1" spans="1:32">
      <c r="A1" s="26" t="s">
        <v>601</v>
      </c>
    </row>
    <row r="2" ht="30" customHeight="1" spans="1:32">
      <c r="A2" s="27" t="s">
        <v>119</v>
      </c>
    </row>
    <row r="3" ht="14.25" customHeight="1" spans="1:32">
      <c r="A3" s="28" t="s">
        <v>120</v>
      </c>
    </row>
    <row r="4" ht="30" customHeight="1" spans="1:32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  <c r="AE4" s="8" t="s">
        <v>148</v>
      </c>
      <c r="AF4" s="8" t="s">
        <v>149</v>
      </c>
    </row>
    <row r="5" ht="25" customHeight="1" spans="1:32">
      <c r="A5" s="30" t="s">
        <v>150</v>
      </c>
      <c r="B5" s="30" t="s">
        <v>55</v>
      </c>
      <c r="C5" s="31" t="s">
        <v>572</v>
      </c>
      <c r="D5" s="31" t="s">
        <v>573</v>
      </c>
      <c r="E5" s="31" t="s">
        <v>602</v>
      </c>
      <c r="F5" s="30" t="s">
        <v>154</v>
      </c>
      <c r="G5" s="40">
        <v>16</v>
      </c>
      <c r="H5" s="41"/>
      <c r="I5" s="42">
        <f t="shared" ref="I5:I13" si="0">IF($H5="",$G5,$H5)</f>
        <v>16</v>
      </c>
      <c r="J5" s="43">
        <v>20</v>
      </c>
      <c r="K5" s="44">
        <v>1.08830187415834</v>
      </c>
      <c r="L5" s="44">
        <v>0.874592828608589</v>
      </c>
      <c r="M5" s="44">
        <v>1</v>
      </c>
      <c r="N5" s="45"/>
      <c r="O5" s="45"/>
      <c r="P5" s="45"/>
      <c r="Q5" s="46">
        <f>IF($I5="","",IFERROR(INDEX(_玩家曲线!$H$2:$H$286,MATCH($I5,_玩家曲线!$A$2:$A$286,0)),""))</f>
        <v>12729.4716557661</v>
      </c>
      <c r="R5" s="46">
        <f>IF($I5="","",IFERROR(INDEX(_玩家曲线!$I$2:$I$286,MATCH($I5,_玩家曲线!$A$2:$A$286,0)),""))</f>
        <v>43361.3035091893</v>
      </c>
      <c r="S5" s="46">
        <f>IF(OR($J5="",$F5="不适用"),"",IFERROR(INDEX(_怪物模型!$D$2:$D$4501,(INT($J5)-1)*ROWS(_怪物类型!$A$2:$A$10)+MATCH($F5,_怪物类型!$A$2:$A$10,0))*IF($K5="",1,$K5),""))</f>
        <v>3286.67165995819</v>
      </c>
      <c r="T5" s="46">
        <f>IF(OR($J5="",$F5="不适用"),"",IFERROR(INDEX(_怪物模型!$E$2:$E$4501,(INT($J5)-1)*ROWS(_怪物类型!$A$2:$A$10)+MATCH($F5,_怪物类型!$A$2:$A$10,0))*IF($L5="",1,$L5),""))</f>
        <v>839.609115464245</v>
      </c>
      <c r="U5" s="46">
        <f>IF(OR($J5="",$F5="不适用"),"",IFERROR(INDEX(_怪物模型!$F$2:$F$4501,(INT($J5)-1)*ROWS(_怪物类型!$A$2:$A$10)+MATCH($F5,_怪物类型!$A$2:$A$10,0))*IF($M5="",1,$M5),""))</f>
        <v>1522</v>
      </c>
      <c r="V5" s="47">
        <f t="shared" ref="V5:V13" si="1">IF($U5="","",MIN(0.75,$U5/($U5+24000)))</f>
        <v>0.0596348248569861</v>
      </c>
      <c r="W5" s="48">
        <f t="shared" ref="W5:W13" si="2">IF($S5="","",$S5/(1-$V5)*IF($N5="",1,$N5))</f>
        <v>3495.10142106053</v>
      </c>
      <c r="X5" s="48">
        <f t="shared" ref="X5:X13" si="3">IF(OR($W5="",$Q5="",$Q5=0),"",$W5/$Q5)</f>
        <v>0.274567673786944</v>
      </c>
      <c r="Y5" s="48">
        <f t="shared" ref="Y5:Y13" si="4">IF(OR($R5="",$T5="",$T5=0),"",$R5/($T5*IF($O5="",1,$O5)))</f>
        <v>51.6446316631681</v>
      </c>
      <c r="Z5" s="49" t="str">
        <f t="shared" ref="Z5:Z13" si="5">IF(OR($X5="",$P5="",$P5=0),"",$X5/$P5)</f>
        <v/>
      </c>
      <c r="AA5" s="30" t="str">
        <f t="shared" ref="AA5:AA13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 t="shared" ref="AB5:AB13" si="7">IF($J5="","待填",IF(AND(ISNUMBER($J5),$J5&gt;=1,$J5&lt;=500,MOD($J5,1)=0),"有效","超范围"))</f>
        <v>有效</v>
      </c>
      <c r="AC5" s="30" t="str">
        <f t="shared" ref="AC5:AC13" si="8">IF(OR($J5="",ROW()=5,$B5&lt;&gt;$B4,$J4=""),"",IF($J5&lt;$J4,"下降",""))</f>
        <v/>
      </c>
      <c r="AD5" s="31" t="s">
        <v>575</v>
      </c>
      <c r="AE5">
        <v>7220</v>
      </c>
      <c r="AF5">
        <f>INDEX(_统一战力!$B$2:$B$501,J5)</f>
        <v>11200</v>
      </c>
    </row>
    <row r="6" ht="25" customHeight="1" spans="1:32">
      <c r="A6" s="30" t="s">
        <v>150</v>
      </c>
      <c r="B6" s="30" t="s">
        <v>55</v>
      </c>
      <c r="C6" s="31" t="s">
        <v>572</v>
      </c>
      <c r="D6" s="31" t="s">
        <v>576</v>
      </c>
      <c r="E6" s="31" t="s">
        <v>603</v>
      </c>
      <c r="F6" s="30" t="s">
        <v>154</v>
      </c>
      <c r="G6" s="40">
        <v>20</v>
      </c>
      <c r="H6" s="41"/>
      <c r="I6" s="42">
        <f t="shared" si="0"/>
        <v>20</v>
      </c>
      <c r="J6" s="43">
        <v>24</v>
      </c>
      <c r="K6" s="44">
        <v>1.07226447081797</v>
      </c>
      <c r="L6" s="44">
        <v>0.877882152006833</v>
      </c>
      <c r="M6" s="44">
        <v>1</v>
      </c>
      <c r="N6" s="45"/>
      <c r="O6" s="45"/>
      <c r="P6" s="45"/>
      <c r="Q6" s="46">
        <f>IF($I6="","",IFERROR(INDEX(_玩家曲线!$H$2:$H$286,MATCH($I6,_玩家曲线!$A$2:$A$286,0)),""))</f>
        <v>18422.0658556409</v>
      </c>
      <c r="R6" s="46">
        <f>IF($I6="","",IFERROR(INDEX(_玩家曲线!$I$2:$I$286,MATCH($I6,_玩家曲线!$A$2:$A$286,0)),""))</f>
        <v>58659.1211219852</v>
      </c>
      <c r="S6" s="46">
        <f>IF(OR($J6="",$F6="不适用"),"",IFERROR(INDEX(_怪物模型!$D$2:$D$4501,(INT($J6)-1)*ROWS(_怪物类型!$A$2:$A$10)+MATCH($F6,_怪物类型!$A$2:$A$10,0))*IF($K6="",1,$K6),""))</f>
        <v>4150.73576653636</v>
      </c>
      <c r="T6" s="46">
        <f>IF(OR($J6="",$F6="不适用"),"",IFERROR(INDEX(_怪物模型!$E$2:$E$4501,(INT($J6)-1)*ROWS(_怪物类型!$A$2:$A$10)+MATCH($F6,_怪物类型!$A$2:$A$10,0))*IF($L6="",1,$L6),""))</f>
        <v>1028</v>
      </c>
      <c r="U6" s="46">
        <f>IF(OR($J6="",$F6="不适用"),"",IFERROR(INDEX(_怪物模型!$F$2:$F$4501,(INT($J6)-1)*ROWS(_怪物类型!$A$2:$A$10)+MATCH($F6,_怪物类型!$A$2:$A$10,0))*IF($M6="",1,$M6),""))</f>
        <v>1837</v>
      </c>
      <c r="V6" s="47">
        <f t="shared" si="1"/>
        <v>0.071099585865232</v>
      </c>
      <c r="W6" s="48">
        <f t="shared" si="2"/>
        <v>4468.44</v>
      </c>
      <c r="X6" s="48">
        <f t="shared" si="3"/>
        <v>0.242559115520247</v>
      </c>
      <c r="Y6" s="48">
        <f t="shared" si="4"/>
        <v>57.0614018696353</v>
      </c>
      <c r="Z6" s="49" t="str">
        <f t="shared" si="5"/>
        <v/>
      </c>
      <c r="AA6" s="30" t="str">
        <f t="shared" si="6"/>
        <v>已计算</v>
      </c>
      <c r="AB6" s="30" t="str">
        <f t="shared" si="7"/>
        <v>有效</v>
      </c>
      <c r="AC6" s="30" t="str">
        <f t="shared" si="8"/>
        <v/>
      </c>
      <c r="AD6" s="31" t="s">
        <v>578</v>
      </c>
      <c r="AE6">
        <v>10100</v>
      </c>
      <c r="AF6">
        <f>INDEX(_统一战力!$B$2:$B$501,J6)</f>
        <v>14700</v>
      </c>
    </row>
    <row r="7" ht="25" customHeight="1" spans="1:32">
      <c r="A7" s="30" t="s">
        <v>150</v>
      </c>
      <c r="B7" s="30" t="s">
        <v>55</v>
      </c>
      <c r="C7" s="31" t="s">
        <v>572</v>
      </c>
      <c r="D7" s="31" t="s">
        <v>579</v>
      </c>
      <c r="E7" s="31" t="s">
        <v>604</v>
      </c>
      <c r="F7" s="30" t="s">
        <v>154</v>
      </c>
      <c r="G7" s="40">
        <v>33</v>
      </c>
      <c r="H7" s="41"/>
      <c r="I7" s="42">
        <f t="shared" si="0"/>
        <v>33</v>
      </c>
      <c r="J7" s="43">
        <v>31</v>
      </c>
      <c r="K7" s="44">
        <v>1.0413925891834</v>
      </c>
      <c r="L7" s="44">
        <v>0.885474371240769</v>
      </c>
      <c r="M7" s="44">
        <v>1</v>
      </c>
      <c r="N7" s="45"/>
      <c r="O7" s="45"/>
      <c r="P7" s="45"/>
      <c r="Q7" s="46">
        <f>IF($I7="","",IFERROR(INDEX(_玩家曲线!$H$2:$H$286,MATCH($I7,_玩家曲线!$A$2:$A$286,0)),""))</f>
        <v>42332.3252975087</v>
      </c>
      <c r="R7" s="46">
        <f>IF($I7="","",IFERROR(INDEX(_玩家曲线!$I$2:$I$286,MATCH($I7,_玩家曲线!$A$2:$A$286,0)),""))</f>
        <v>117656.323591464</v>
      </c>
      <c r="S7" s="46">
        <f>IF(OR($J7="",$F7="不适用"),"",IFERROR(INDEX(_怪物模型!$D$2:$D$4501,(INT($J7)-1)*ROWS(_怪物类型!$A$2:$A$10)+MATCH($F7,_怪物类型!$A$2:$A$10,0))*IF($K7="",1,$K7),""))</f>
        <v>5781.81165514624</v>
      </c>
      <c r="T7" s="46">
        <f>IF(OR($J7="",$F7="不适用"),"",IFERROR(INDEX(_怪物模型!$E$2:$E$4501,(INT($J7)-1)*ROWS(_怪物类型!$A$2:$A$10)+MATCH($F7,_怪物类型!$A$2:$A$10,0))*IF($L7="",1,$L7),""))</f>
        <v>1378.68359602188</v>
      </c>
      <c r="U7" s="46">
        <f>IF(OR($J7="",$F7="不适用"),"",IFERROR(INDEX(_怪物模型!$F$2:$F$4501,(INT($J7)-1)*ROWS(_怪物类型!$A$2:$A$10)+MATCH($F7,_怪物类型!$A$2:$A$10,0))*IF($M7="",1,$M7),""))</f>
        <v>2398</v>
      </c>
      <c r="V7" s="47">
        <f t="shared" si="1"/>
        <v>0.0908402151678157</v>
      </c>
      <c r="W7" s="48">
        <f t="shared" si="2"/>
        <v>6359.51100302293</v>
      </c>
      <c r="X7" s="48">
        <f t="shared" si="3"/>
        <v>0.150228246578205</v>
      </c>
      <c r="Y7" s="48">
        <f t="shared" si="4"/>
        <v>85.3396123163831</v>
      </c>
      <c r="Z7" s="49" t="str">
        <f t="shared" si="5"/>
        <v/>
      </c>
      <c r="AA7" s="30" t="str">
        <f t="shared" si="6"/>
        <v>已计算</v>
      </c>
      <c r="AB7" s="30" t="str">
        <f t="shared" si="7"/>
        <v>有效</v>
      </c>
      <c r="AC7" s="30" t="str">
        <f t="shared" si="8"/>
        <v/>
      </c>
      <c r="AD7" s="31" t="s">
        <v>581</v>
      </c>
      <c r="AE7">
        <v>12300</v>
      </c>
      <c r="AF7">
        <f>INDEX(_统一战力!$B$2:$B$501,J7)</f>
        <v>19800</v>
      </c>
    </row>
    <row r="8" ht="25" customHeight="1" spans="1:32">
      <c r="A8" s="30" t="s">
        <v>150</v>
      </c>
      <c r="B8" s="30" t="s">
        <v>55</v>
      </c>
      <c r="C8" s="31" t="s">
        <v>572</v>
      </c>
      <c r="D8" s="31" t="s">
        <v>582</v>
      </c>
      <c r="E8" s="31" t="s">
        <v>605</v>
      </c>
      <c r="F8" s="30" t="s">
        <v>154</v>
      </c>
      <c r="G8" s="40">
        <v>48</v>
      </c>
      <c r="H8" s="41"/>
      <c r="I8" s="42">
        <f t="shared" si="0"/>
        <v>48</v>
      </c>
      <c r="J8" s="43">
        <v>34</v>
      </c>
      <c r="K8" s="44">
        <v>1.03103111729802</v>
      </c>
      <c r="L8" s="44">
        <v>0.885754757003408</v>
      </c>
      <c r="M8" s="44">
        <v>1</v>
      </c>
      <c r="N8" s="45"/>
      <c r="O8" s="45"/>
      <c r="P8" s="45"/>
      <c r="Q8" s="46">
        <f>IF($I8="","",IFERROR(INDEX(_玩家曲线!$H$2:$H$286,MATCH($I8,_玩家曲线!$A$2:$A$286,0)),""))</f>
        <v>90311.5060122421</v>
      </c>
      <c r="R8" s="46">
        <f>IF($I8="","",IFERROR(INDEX(_玩家曲线!$I$2:$I$286,MATCH($I8,_玩家曲线!$A$2:$A$286,0)),""))</f>
        <v>216419.269218726</v>
      </c>
      <c r="S8" s="46">
        <f>IF(OR($J8="",$F8="不适用"),"",IFERROR(INDEX(_怪物模型!$D$2:$D$4501,(INT($J8)-1)*ROWS(_怪物类型!$A$2:$A$10)+MATCH($F8,_怪物类型!$A$2:$A$10,0))*IF($K8="",1,$K8),""))</f>
        <v>6544.98553260783</v>
      </c>
      <c r="T8" s="46">
        <f>IF(OR($J8="",$F8="不适用"),"",IFERROR(INDEX(_怪物模型!$E$2:$E$4501,(INT($J8)-1)*ROWS(_怪物类型!$A$2:$A$10)+MATCH($F8,_怪物类型!$A$2:$A$10,0))*IF($L8="",1,$L8),""))</f>
        <v>1530.58422010189</v>
      </c>
      <c r="U8" s="46">
        <f>IF(OR($J8="",$F8="不适用"),"",IFERROR(INDEX(_怪物模型!$F$2:$F$4501,(INT($J8)-1)*ROWS(_怪物类型!$A$2:$A$10)+MATCH($F8,_怪物类型!$A$2:$A$10,0))*IF($M8="",1,$M8),""))</f>
        <v>2641</v>
      </c>
      <c r="V8" s="47">
        <f t="shared" si="1"/>
        <v>0.0991329154311024</v>
      </c>
      <c r="W8" s="48">
        <f t="shared" si="2"/>
        <v>7265.20664892522</v>
      </c>
      <c r="X8" s="48">
        <f t="shared" si="3"/>
        <v>0.0804460801256087</v>
      </c>
      <c r="Y8" s="48">
        <f t="shared" si="4"/>
        <v>141.396511460388</v>
      </c>
      <c r="Z8" s="49" t="str">
        <f t="shared" si="5"/>
        <v/>
      </c>
      <c r="AA8" s="30" t="str">
        <f t="shared" si="6"/>
        <v>已计算</v>
      </c>
      <c r="AB8" s="30" t="str">
        <f t="shared" si="7"/>
        <v>有效</v>
      </c>
      <c r="AC8" s="30" t="str">
        <f t="shared" si="8"/>
        <v/>
      </c>
      <c r="AD8" s="31" t="s">
        <v>584</v>
      </c>
      <c r="AE8">
        <v>13500</v>
      </c>
      <c r="AF8">
        <f>INDEX(_统一战力!$B$2:$B$501,J8)</f>
        <v>23100</v>
      </c>
    </row>
    <row r="9" ht="25" customHeight="1" spans="1:32">
      <c r="A9" s="30" t="s">
        <v>150</v>
      </c>
      <c r="B9" s="30" t="s">
        <v>55</v>
      </c>
      <c r="C9" s="31" t="s">
        <v>572</v>
      </c>
      <c r="D9" s="31" t="s">
        <v>585</v>
      </c>
      <c r="E9" s="31" t="s">
        <v>606</v>
      </c>
      <c r="F9" s="30" t="s">
        <v>154</v>
      </c>
      <c r="G9" s="40">
        <v>64</v>
      </c>
      <c r="H9" s="41"/>
      <c r="I9" s="42">
        <f t="shared" si="0"/>
        <v>64</v>
      </c>
      <c r="J9" s="43">
        <v>42</v>
      </c>
      <c r="K9" s="44">
        <v>1.05578471016559</v>
      </c>
      <c r="L9" s="44">
        <v>0.933132403197277</v>
      </c>
      <c r="M9" s="44">
        <v>1</v>
      </c>
      <c r="N9" s="45"/>
      <c r="O9" s="45"/>
      <c r="P9" s="45"/>
      <c r="Q9" s="46">
        <f>IF($I9="","",IFERROR(INDEX(_玩家曲线!$H$2:$H$286,MATCH($I9,_玩家曲线!$A$2:$A$286,0)),""))</f>
        <v>165656.324811522</v>
      </c>
      <c r="R9" s="46">
        <f>IF($I9="","",IFERROR(INDEX(_玩家曲线!$I$2:$I$286,MATCH($I9,_玩家曲线!$A$2:$A$286,0)),""))</f>
        <v>352956.471884879</v>
      </c>
      <c r="S9" s="46">
        <f>IF(OR($J9="",$F9="不适用"),"",IFERROR(INDEX(_怪物模型!$D$2:$D$4501,(INT($J9)-1)*ROWS(_怪物类型!$A$2:$A$10)+MATCH($F9,_怪物类型!$A$2:$A$10,0))*IF($K9="",1,$K9),""))</f>
        <v>9183.2154090203</v>
      </c>
      <c r="T9" s="46">
        <f>IF(OR($J9="",$F9="不适用"),"",IFERROR(INDEX(_怪物模型!$E$2:$E$4501,(INT($J9)-1)*ROWS(_怪物类型!$A$2:$A$10)+MATCH($F9,_怪物类型!$A$2:$A$10,0))*IF($L9="",1,$L9),""))</f>
        <v>2058.49008145319</v>
      </c>
      <c r="U9" s="46">
        <f>IF(OR($J9="",$F9="不适用"),"",IFERROR(INDEX(_怪物模型!$F$2:$F$4501,(INT($J9)-1)*ROWS(_怪物类型!$A$2:$A$10)+MATCH($F9,_怪物类型!$A$2:$A$10,0))*IF($M9="",1,$M9),""))</f>
        <v>3301</v>
      </c>
      <c r="V9" s="47">
        <f t="shared" si="1"/>
        <v>0.1209113219296</v>
      </c>
      <c r="W9" s="48">
        <f t="shared" si="2"/>
        <v>10446.290161736</v>
      </c>
      <c r="X9" s="48">
        <f t="shared" si="3"/>
        <v>0.0630600139995946</v>
      </c>
      <c r="Y9" s="48">
        <f t="shared" si="4"/>
        <v>171.463770977079</v>
      </c>
      <c r="Z9" s="49" t="str">
        <f t="shared" si="5"/>
        <v/>
      </c>
      <c r="AA9" s="30" t="str">
        <f t="shared" si="6"/>
        <v>已计算</v>
      </c>
      <c r="AB9" s="30" t="str">
        <f t="shared" si="7"/>
        <v>有效</v>
      </c>
      <c r="AC9" s="30" t="str">
        <f t="shared" si="8"/>
        <v/>
      </c>
      <c r="AD9" s="31" t="s">
        <v>587</v>
      </c>
      <c r="AE9">
        <v>18200</v>
      </c>
      <c r="AF9">
        <f>INDEX(_统一战力!$B$2:$B$501,J9)</f>
        <v>32800</v>
      </c>
    </row>
    <row r="10" ht="25" customHeight="1" spans="1:32">
      <c r="A10" s="30" t="s">
        <v>588</v>
      </c>
      <c r="B10" s="30" t="s">
        <v>55</v>
      </c>
      <c r="C10" s="31" t="s">
        <v>572</v>
      </c>
      <c r="D10" s="31" t="s">
        <v>589</v>
      </c>
      <c r="E10" s="31" t="s">
        <v>607</v>
      </c>
      <c r="F10" s="30" t="s">
        <v>154</v>
      </c>
      <c r="G10" s="40">
        <v>85</v>
      </c>
      <c r="H10" s="41"/>
      <c r="I10" s="42">
        <f t="shared" si="0"/>
        <v>85</v>
      </c>
      <c r="J10" s="43">
        <v>74</v>
      </c>
      <c r="K10" s="45"/>
      <c r="L10" s="45"/>
      <c r="M10" s="45"/>
      <c r="N10" s="45"/>
      <c r="O10" s="45"/>
      <c r="P10" s="45"/>
      <c r="Q10" s="46">
        <f>IF($I10="","",IFERROR(INDEX(_玩家曲线!$H$2:$H$286,MATCH($I10,_玩家曲线!$A$2:$A$286,0)),""))</f>
        <v>303608.455403675</v>
      </c>
      <c r="R10" s="46">
        <f>IF($I10="","",IFERROR(INDEX(_玩家曲线!$I$2:$I$286,MATCH($I10,_玩家曲线!$A$2:$A$286,0)),""))</f>
        <v>604842.67487879</v>
      </c>
      <c r="S10" s="46">
        <f>IF(OR($J10="",$F10="不适用"),"",IFERROR(INDEX(_怪物模型!$D$2:$D$4501,(INT($J10)-1)*ROWS(_怪物类型!$A$2:$A$10)+MATCH($F10,_怪物类型!$A$2:$A$10,0))*IF($K10="",1,$K10),""))</f>
        <v>21730</v>
      </c>
      <c r="T10" s="46">
        <f>IF(OR($J10="",$F10="不适用"),"",IFERROR(INDEX(_怪物模型!$E$2:$E$4501,(INT($J10)-1)*ROWS(_怪物类型!$A$2:$A$10)+MATCH($F10,_怪物类型!$A$2:$A$10,0))*IF($L10="",1,$L10),""))</f>
        <v>4420</v>
      </c>
      <c r="U10" s="46">
        <f>IF(OR($J10="",$F10="不适用"),"",IFERROR(INDEX(_怪物模型!$F$2:$F$4501,(INT($J10)-1)*ROWS(_怪物类型!$A$2:$A$10)+MATCH($F10,_怪物类型!$A$2:$A$10,0))*IF($M10="",1,$M10),""))</f>
        <v>6085</v>
      </c>
      <c r="V10" s="47">
        <f t="shared" si="1"/>
        <v>0.20226026258933</v>
      </c>
      <c r="W10" s="48">
        <f t="shared" si="2"/>
        <v>27239.4604166667</v>
      </c>
      <c r="X10" s="48">
        <f t="shared" si="3"/>
        <v>0.0897190441565579</v>
      </c>
      <c r="Y10" s="48">
        <f t="shared" si="4"/>
        <v>136.842234135473</v>
      </c>
      <c r="Z10" s="49" t="str">
        <f t="shared" si="5"/>
        <v/>
      </c>
      <c r="AA10" s="30" t="str">
        <f t="shared" si="6"/>
        <v>已计算</v>
      </c>
      <c r="AB10" s="30" t="str">
        <f t="shared" si="7"/>
        <v>有效</v>
      </c>
      <c r="AC10" s="30" t="str">
        <f t="shared" si="8"/>
        <v/>
      </c>
      <c r="AD10" s="31" t="s">
        <v>591</v>
      </c>
      <c r="AE10">
        <v>41300</v>
      </c>
    </row>
    <row r="11" ht="25" customHeight="1" spans="1:32">
      <c r="A11" s="30" t="s">
        <v>588</v>
      </c>
      <c r="B11" s="30" t="s">
        <v>55</v>
      </c>
      <c r="C11" s="31" t="s">
        <v>572</v>
      </c>
      <c r="D11" s="31" t="s">
        <v>592</v>
      </c>
      <c r="E11" s="31" t="s">
        <v>608</v>
      </c>
      <c r="F11" s="30" t="s">
        <v>154</v>
      </c>
      <c r="G11" s="40">
        <v>108</v>
      </c>
      <c r="H11" s="41"/>
      <c r="I11" s="42">
        <f t="shared" si="0"/>
        <v>108</v>
      </c>
      <c r="J11" s="43">
        <v>90</v>
      </c>
      <c r="K11" s="45"/>
      <c r="L11" s="45"/>
      <c r="M11" s="45"/>
      <c r="N11" s="45"/>
      <c r="O11" s="45"/>
      <c r="P11" s="45"/>
      <c r="Q11" s="46">
        <f>IF($I11="","",IFERROR(INDEX(_玩家曲线!$H$2:$H$286,MATCH($I11,_玩家曲线!$A$2:$A$286,0)),""))</f>
        <v>484409.725686147</v>
      </c>
      <c r="R11" s="46">
        <f>IF($I11="","",IFERROR(INDEX(_玩家曲线!$I$2:$I$286,MATCH($I11,_玩家曲线!$A$2:$A$286,0)),""))</f>
        <v>889903.12572888</v>
      </c>
      <c r="S11" s="46">
        <f>IF(OR($J11="",$F11="不适用"),"",IFERROR(INDEX(_怪物模型!$D$2:$D$4501,(INT($J11)-1)*ROWS(_怪物类型!$A$2:$A$10)+MATCH($F11,_怪物类型!$A$2:$A$10,0))*IF($K11="",1,$K11),""))</f>
        <v>30804</v>
      </c>
      <c r="T11" s="46">
        <f>IF(OR($J11="",$F11="不适用"),"",IFERROR(INDEX(_怪物模型!$E$2:$E$4501,(INT($J11)-1)*ROWS(_怪物类型!$A$2:$A$10)+MATCH($F11,_怪物类型!$A$2:$A$10,0))*IF($L11="",1,$L11),""))</f>
        <v>5728</v>
      </c>
      <c r="U11" s="46">
        <f>IF(OR($J11="",$F11="不适用"),"",IFERROR(INDEX(_怪物模型!$F$2:$F$4501,(INT($J11)-1)*ROWS(_怪物类型!$A$2:$A$10)+MATCH($F11,_怪物类型!$A$2:$A$10,0))*IF($M11="",1,$M11),""))</f>
        <v>7565</v>
      </c>
      <c r="V11" s="47">
        <f t="shared" si="1"/>
        <v>0.239664185015048</v>
      </c>
      <c r="W11" s="48">
        <f t="shared" si="2"/>
        <v>40513.6775</v>
      </c>
      <c r="X11" s="48">
        <f t="shared" si="3"/>
        <v>0.0836351446961846</v>
      </c>
      <c r="Y11" s="48">
        <f t="shared" si="4"/>
        <v>155.360182564399</v>
      </c>
      <c r="Z11" s="49" t="str">
        <f t="shared" si="5"/>
        <v/>
      </c>
      <c r="AA11" s="30" t="str">
        <f t="shared" si="6"/>
        <v>已计算</v>
      </c>
      <c r="AB11" s="30" t="str">
        <f t="shared" si="7"/>
        <v>有效</v>
      </c>
      <c r="AC11" s="30" t="str">
        <f t="shared" si="8"/>
        <v/>
      </c>
      <c r="AD11" s="31" t="s">
        <v>594</v>
      </c>
      <c r="AE11">
        <v>54100</v>
      </c>
    </row>
    <row r="12" ht="25" customHeight="1" spans="1:32">
      <c r="A12" s="30" t="s">
        <v>588</v>
      </c>
      <c r="B12" s="30" t="s">
        <v>55</v>
      </c>
      <c r="C12" s="31" t="s">
        <v>572</v>
      </c>
      <c r="D12" s="31" t="s">
        <v>595</v>
      </c>
      <c r="E12" s="31" t="s">
        <v>609</v>
      </c>
      <c r="F12" s="30" t="s">
        <v>154</v>
      </c>
      <c r="G12" s="40">
        <v>124</v>
      </c>
      <c r="H12" s="41"/>
      <c r="I12" s="42">
        <f t="shared" si="0"/>
        <v>124</v>
      </c>
      <c r="J12" s="43">
        <v>107</v>
      </c>
      <c r="K12" s="45"/>
      <c r="L12" s="45"/>
      <c r="M12" s="45"/>
      <c r="N12" s="45"/>
      <c r="O12" s="45"/>
      <c r="P12" s="45"/>
      <c r="Q12" s="46">
        <f>IF($I12="","",IFERROR(INDEX(_玩家曲线!$H$2:$H$286,MATCH($I12,_玩家曲线!$A$2:$A$286,0)),""))</f>
        <v>679690.332421241</v>
      </c>
      <c r="R12" s="46">
        <f>IF($I12="","",IFERROR(INDEX(_玩家曲线!$I$2:$I$286,MATCH($I12,_玩家曲线!$A$2:$A$286,0)),""))</f>
        <v>1149922.97980537</v>
      </c>
      <c r="S12" s="46">
        <f>IF(OR($J12="",$F12="不适用"),"",IFERROR(INDEX(_怪物模型!$D$2:$D$4501,(INT($J12)-1)*ROWS(_怪物类型!$A$2:$A$10)+MATCH($F12,_怪物类型!$A$2:$A$10,0))*IF($K12="",1,$K12),""))</f>
        <v>42710</v>
      </c>
      <c r="T12" s="46">
        <f>IF(OR($J12="",$F12="不适用"),"",IFERROR(INDEX(_怪物模型!$E$2:$E$4501,(INT($J12)-1)*ROWS(_怪物类型!$A$2:$A$10)+MATCH($F12,_怪物类型!$A$2:$A$10,0))*IF($L12="",1,$L12),""))</f>
        <v>7283</v>
      </c>
      <c r="U12" s="46">
        <f>IF(OR($J12="",$F12="不适用"),"",IFERROR(INDEX(_怪物模型!$F$2:$F$4501,(INT($J12)-1)*ROWS(_怪物类型!$A$2:$A$10)+MATCH($F12,_怪物类型!$A$2:$A$10,0))*IF($M12="",1,$M12),""))</f>
        <v>9201</v>
      </c>
      <c r="V12" s="47">
        <f t="shared" si="1"/>
        <v>0.277130206921478</v>
      </c>
      <c r="W12" s="48">
        <f t="shared" si="2"/>
        <v>59083.94625</v>
      </c>
      <c r="X12" s="48">
        <f t="shared" si="3"/>
        <v>0.0869277425787814</v>
      </c>
      <c r="Y12" s="48">
        <f t="shared" si="4"/>
        <v>157.891388137494</v>
      </c>
      <c r="Z12" s="49" t="str">
        <f t="shared" si="5"/>
        <v/>
      </c>
      <c r="AA12" s="30" t="str">
        <f t="shared" si="6"/>
        <v>已计算</v>
      </c>
      <c r="AB12" s="30" t="str">
        <f t="shared" si="7"/>
        <v>有效</v>
      </c>
      <c r="AC12" s="30" t="str">
        <f t="shared" si="8"/>
        <v/>
      </c>
      <c r="AD12" s="31" t="s">
        <v>597</v>
      </c>
      <c r="AE12">
        <v>71400</v>
      </c>
    </row>
    <row r="13" ht="25" customHeight="1" spans="1:32">
      <c r="A13" s="30" t="s">
        <v>588</v>
      </c>
      <c r="B13" s="30" t="s">
        <v>55</v>
      </c>
      <c r="C13" s="31" t="s">
        <v>572</v>
      </c>
      <c r="D13" s="31" t="s">
        <v>598</v>
      </c>
      <c r="E13" s="31" t="s">
        <v>610</v>
      </c>
      <c r="F13" s="30" t="s">
        <v>154</v>
      </c>
      <c r="G13" s="40">
        <v>146</v>
      </c>
      <c r="H13" s="41"/>
      <c r="I13" s="42">
        <f t="shared" si="0"/>
        <v>146</v>
      </c>
      <c r="J13" s="43">
        <v>126</v>
      </c>
      <c r="K13" s="45"/>
      <c r="L13" s="45"/>
      <c r="M13" s="45"/>
      <c r="N13" s="45"/>
      <c r="O13" s="45"/>
      <c r="P13" s="45"/>
      <c r="Q13" s="46">
        <f>IF($I13="","",IFERROR(INDEX(_玩家曲线!$H$2:$H$286,MATCH($I13,_玩家曲线!$A$2:$A$286,0)),""))</f>
        <v>956281.237189549</v>
      </c>
      <c r="R13" s="46">
        <f>IF($I13="","",IFERROR(INDEX(_玩家曲线!$I$2:$I$286,MATCH($I13,_玩家曲线!$A$2:$A$286,0)),""))</f>
        <v>1482216.44272426</v>
      </c>
      <c r="S13" s="46">
        <f>IF(OR($J13="",$F13="不适用"),"",IFERROR(INDEX(_怪物模型!$D$2:$D$4501,(INT($J13)-1)*ROWS(_怪物类型!$A$2:$A$10)+MATCH($F13,_怪物类型!$A$2:$A$10,0))*IF($K13="",1,$K13),""))</f>
        <v>59227</v>
      </c>
      <c r="T13" s="46">
        <f>IF(OR($J13="",$F13="不适用"),"",IFERROR(INDEX(_怪物模型!$E$2:$E$4501,(INT($J13)-1)*ROWS(_怪物类型!$A$2:$A$10)+MATCH($F13,_怪物类型!$A$2:$A$10,0))*IF($L13="",1,$L13),""))</f>
        <v>9239</v>
      </c>
      <c r="U13" s="46">
        <f>IF(OR($J13="",$F13="不适用"),"",IFERROR(INDEX(_怪物模型!$F$2:$F$4501,(INT($J13)-1)*ROWS(_怪物类型!$A$2:$A$10)+MATCH($F13,_怪物类型!$A$2:$A$10,0))*IF($M13="",1,$M13),""))</f>
        <v>11107</v>
      </c>
      <c r="V13" s="47">
        <f t="shared" si="1"/>
        <v>0.316375651579457</v>
      </c>
      <c r="W13" s="48">
        <f t="shared" si="2"/>
        <v>86636.7620416667</v>
      </c>
      <c r="X13" s="48">
        <f t="shared" si="3"/>
        <v>0.0905975759770073</v>
      </c>
      <c r="Y13" s="48">
        <f t="shared" si="4"/>
        <v>160.430397524003</v>
      </c>
      <c r="Z13" s="49" t="str">
        <f t="shared" si="5"/>
        <v/>
      </c>
      <c r="AA13" s="30" t="str">
        <f t="shared" si="6"/>
        <v>已计算</v>
      </c>
      <c r="AB13" s="30" t="str">
        <f t="shared" si="7"/>
        <v>有效</v>
      </c>
      <c r="AC13" s="30" t="str">
        <f t="shared" si="8"/>
        <v/>
      </c>
      <c r="AD13" s="31" t="s">
        <v>600</v>
      </c>
      <c r="AE13">
        <v>95900</v>
      </c>
    </row>
  </sheetData>
  <mergeCells count="3">
    <mergeCell ref="A1:AD1"/>
    <mergeCell ref="A2:AD2"/>
    <mergeCell ref="A3:AD3"/>
  </mergeCells>
  <conditionalFormatting sqref="J5:J13">
    <cfRule type="expression" dxfId="2" priority="1">
      <formula>AND($A5&lt;&gt;"特殊：双方属性对算",$J5="")</formula>
    </cfRule>
  </conditionalFormatting>
  <conditionalFormatting sqref="AA5:AA13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13">
    <cfRule type="expression" dxfId="4" priority="2">
      <formula>$AB5="超范围"</formula>
    </cfRule>
  </conditionalFormatting>
  <conditionalFormatting sqref="AC5:AC13">
    <cfRule type="expression" dxfId="4" priority="7">
      <formula>$AC5="下降"</formula>
    </cfRule>
  </conditionalFormatting>
  <dataValidations count="5">
    <dataValidation type="list" sqref="F5:F13">
      <formula1>_字典!$A$2:$A$11</formula1>
    </dataValidation>
    <dataValidation type="whole" operator="between" allowBlank="1" sqref="H5:H13">
      <formula1>1</formula1>
      <formula2>285</formula2>
    </dataValidation>
    <dataValidation type="whole" operator="between" allowBlank="1" sqref="J5:J13">
      <formula1>1</formula1>
      <formula2>500</formula2>
    </dataValidation>
    <dataValidation type="decimal" operator="between" allowBlank="1" sqref="P5:P13">
      <formula1>0.01</formula1>
      <formula2>3600</formula2>
    </dataValidation>
    <dataValidation type="decimal" operator="between" allowBlank="1" sqref="K5:O13">
      <formula1>0</formula1>
      <formula2>100</formula2>
    </dataValidation>
  </dataValidations>
  <hyperlinks>
    <hyperlink ref="A1" r:id="rId4" display="全玩法难度填写｜金币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48235"/>
  </sheetPr>
  <dimension ref="A1:AF13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  <col min="31" max="32" width="22" customWidth="1"/>
  </cols>
  <sheetData>
    <row r="1" ht="34" customHeight="1" spans="1:32">
      <c r="A1" s="26" t="s">
        <v>611</v>
      </c>
    </row>
    <row r="2" ht="30" customHeight="1" spans="1:32">
      <c r="A2" s="27" t="s">
        <v>119</v>
      </c>
    </row>
    <row r="3" ht="14.25" customHeight="1" spans="1:32">
      <c r="A3" s="28" t="s">
        <v>120</v>
      </c>
    </row>
    <row r="4" ht="30" customHeight="1" spans="1:32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  <c r="AE4" s="8" t="s">
        <v>148</v>
      </c>
      <c r="AF4" s="8" t="s">
        <v>149</v>
      </c>
    </row>
    <row r="5" ht="25" customHeight="1" spans="1:32">
      <c r="A5" s="30" t="s">
        <v>150</v>
      </c>
      <c r="B5" s="30" t="s">
        <v>56</v>
      </c>
      <c r="C5" s="31" t="s">
        <v>572</v>
      </c>
      <c r="D5" s="31" t="s">
        <v>573</v>
      </c>
      <c r="E5" s="31" t="s">
        <v>612</v>
      </c>
      <c r="F5" s="30" t="s">
        <v>154</v>
      </c>
      <c r="G5" s="40">
        <v>16</v>
      </c>
      <c r="H5" s="41"/>
      <c r="I5" s="42">
        <f t="shared" ref="I5:I13" si="0">IF($H5="",$G5,$H5)</f>
        <v>16</v>
      </c>
      <c r="J5" s="43">
        <v>20</v>
      </c>
      <c r="K5" s="44">
        <v>1.08830187415834</v>
      </c>
      <c r="L5" s="44">
        <v>0.874592828608589</v>
      </c>
      <c r="M5" s="44">
        <v>1</v>
      </c>
      <c r="N5" s="45"/>
      <c r="O5" s="45"/>
      <c r="P5" s="45"/>
      <c r="Q5" s="46">
        <f>IF($I5="","",IFERROR(INDEX(_玩家曲线!$H$2:$H$286,MATCH($I5,_玩家曲线!$A$2:$A$286,0)),""))</f>
        <v>12729.4716557661</v>
      </c>
      <c r="R5" s="46">
        <f>IF($I5="","",IFERROR(INDEX(_玩家曲线!$I$2:$I$286,MATCH($I5,_玩家曲线!$A$2:$A$286,0)),""))</f>
        <v>43361.3035091893</v>
      </c>
      <c r="S5" s="46">
        <f>IF(OR($J5="",$F5="不适用"),"",IFERROR(INDEX(_怪物模型!$D$2:$D$4501,(INT($J5)-1)*ROWS(_怪物类型!$A$2:$A$10)+MATCH($F5,_怪物类型!$A$2:$A$10,0))*IF($K5="",1,$K5),""))</f>
        <v>3286.67165995819</v>
      </c>
      <c r="T5" s="46">
        <f>IF(OR($J5="",$F5="不适用"),"",IFERROR(INDEX(_怪物模型!$E$2:$E$4501,(INT($J5)-1)*ROWS(_怪物类型!$A$2:$A$10)+MATCH($F5,_怪物类型!$A$2:$A$10,0))*IF($L5="",1,$L5),""))</f>
        <v>839.609115464245</v>
      </c>
      <c r="U5" s="46">
        <f>IF(OR($J5="",$F5="不适用"),"",IFERROR(INDEX(_怪物模型!$F$2:$F$4501,(INT($J5)-1)*ROWS(_怪物类型!$A$2:$A$10)+MATCH($F5,_怪物类型!$A$2:$A$10,0))*IF($M5="",1,$M5),""))</f>
        <v>1522</v>
      </c>
      <c r="V5" s="47">
        <f t="shared" ref="V5:V13" si="1">IF($U5="","",MIN(0.75,$U5/($U5+24000)))</f>
        <v>0.0596348248569861</v>
      </c>
      <c r="W5" s="48">
        <f t="shared" ref="W5:W13" si="2">IF($S5="","",$S5/(1-$V5)*IF($N5="",1,$N5))</f>
        <v>3495.10142106053</v>
      </c>
      <c r="X5" s="48">
        <f t="shared" ref="X5:X13" si="3">IF(OR($W5="",$Q5="",$Q5=0),"",$W5/$Q5)</f>
        <v>0.274567673786944</v>
      </c>
      <c r="Y5" s="48">
        <f t="shared" ref="Y5:Y13" si="4">IF(OR($R5="",$T5="",$T5=0),"",$R5/($T5*IF($O5="",1,$O5)))</f>
        <v>51.6446316631681</v>
      </c>
      <c r="Z5" s="49" t="str">
        <f t="shared" ref="Z5:Z13" si="5">IF(OR($X5="",$P5="",$P5=0),"",$X5/$P5)</f>
        <v/>
      </c>
      <c r="AA5" s="30" t="str">
        <f t="shared" ref="AA5:AA13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 t="shared" ref="AB5:AB13" si="7">IF($J5="","待填",IF(AND(ISNUMBER($J5),$J5&gt;=1,$J5&lt;=500,MOD($J5,1)=0),"有效","超范围"))</f>
        <v>有效</v>
      </c>
      <c r="AC5" s="30" t="str">
        <f t="shared" ref="AC5:AC13" si="8">IF(OR($J5="",ROW()=5,$B5&lt;&gt;$B4,$J4=""),"",IF($J5&lt;$J4,"下降",""))</f>
        <v/>
      </c>
      <c r="AD5" s="31" t="s">
        <v>575</v>
      </c>
      <c r="AE5">
        <v>7220</v>
      </c>
      <c r="AF5">
        <f>INDEX(_统一战力!$B$2:$B$501,J5)</f>
        <v>11200</v>
      </c>
    </row>
    <row r="6" ht="25" customHeight="1" spans="1:32">
      <c r="A6" s="30" t="s">
        <v>150</v>
      </c>
      <c r="B6" s="30" t="s">
        <v>56</v>
      </c>
      <c r="C6" s="31" t="s">
        <v>572</v>
      </c>
      <c r="D6" s="31" t="s">
        <v>576</v>
      </c>
      <c r="E6" s="31" t="s">
        <v>613</v>
      </c>
      <c r="F6" s="30" t="s">
        <v>154</v>
      </c>
      <c r="G6" s="40">
        <v>20</v>
      </c>
      <c r="H6" s="41"/>
      <c r="I6" s="42">
        <f t="shared" si="0"/>
        <v>20</v>
      </c>
      <c r="J6" s="43">
        <v>24</v>
      </c>
      <c r="K6" s="44">
        <v>1.07226447081797</v>
      </c>
      <c r="L6" s="44">
        <v>0.877882152006833</v>
      </c>
      <c r="M6" s="44">
        <v>1</v>
      </c>
      <c r="N6" s="45"/>
      <c r="O6" s="45"/>
      <c r="P6" s="45"/>
      <c r="Q6" s="46">
        <f>IF($I6="","",IFERROR(INDEX(_玩家曲线!$H$2:$H$286,MATCH($I6,_玩家曲线!$A$2:$A$286,0)),""))</f>
        <v>18422.0658556409</v>
      </c>
      <c r="R6" s="46">
        <f>IF($I6="","",IFERROR(INDEX(_玩家曲线!$I$2:$I$286,MATCH($I6,_玩家曲线!$A$2:$A$286,0)),""))</f>
        <v>58659.1211219852</v>
      </c>
      <c r="S6" s="46">
        <f>IF(OR($J6="",$F6="不适用"),"",IFERROR(INDEX(_怪物模型!$D$2:$D$4501,(INT($J6)-1)*ROWS(_怪物类型!$A$2:$A$10)+MATCH($F6,_怪物类型!$A$2:$A$10,0))*IF($K6="",1,$K6),""))</f>
        <v>4150.73576653636</v>
      </c>
      <c r="T6" s="46">
        <f>IF(OR($J6="",$F6="不适用"),"",IFERROR(INDEX(_怪物模型!$E$2:$E$4501,(INT($J6)-1)*ROWS(_怪物类型!$A$2:$A$10)+MATCH($F6,_怪物类型!$A$2:$A$10,0))*IF($L6="",1,$L6),""))</f>
        <v>1028</v>
      </c>
      <c r="U6" s="46">
        <f>IF(OR($J6="",$F6="不适用"),"",IFERROR(INDEX(_怪物模型!$F$2:$F$4501,(INT($J6)-1)*ROWS(_怪物类型!$A$2:$A$10)+MATCH($F6,_怪物类型!$A$2:$A$10,0))*IF($M6="",1,$M6),""))</f>
        <v>1837</v>
      </c>
      <c r="V6" s="47">
        <f t="shared" si="1"/>
        <v>0.071099585865232</v>
      </c>
      <c r="W6" s="48">
        <f t="shared" si="2"/>
        <v>4468.44</v>
      </c>
      <c r="X6" s="48">
        <f t="shared" si="3"/>
        <v>0.242559115520247</v>
      </c>
      <c r="Y6" s="48">
        <f t="shared" si="4"/>
        <v>57.0614018696353</v>
      </c>
      <c r="Z6" s="49" t="str">
        <f t="shared" si="5"/>
        <v/>
      </c>
      <c r="AA6" s="30" t="str">
        <f t="shared" si="6"/>
        <v>已计算</v>
      </c>
      <c r="AB6" s="30" t="str">
        <f t="shared" si="7"/>
        <v>有效</v>
      </c>
      <c r="AC6" s="30" t="str">
        <f t="shared" si="8"/>
        <v/>
      </c>
      <c r="AD6" s="31" t="s">
        <v>578</v>
      </c>
      <c r="AE6">
        <v>10100</v>
      </c>
      <c r="AF6">
        <f>INDEX(_统一战力!$B$2:$B$501,J6)</f>
        <v>14700</v>
      </c>
    </row>
    <row r="7" ht="25" customHeight="1" spans="1:32">
      <c r="A7" s="30" t="s">
        <v>150</v>
      </c>
      <c r="B7" s="30" t="s">
        <v>56</v>
      </c>
      <c r="C7" s="31" t="s">
        <v>572</v>
      </c>
      <c r="D7" s="31" t="s">
        <v>579</v>
      </c>
      <c r="E7" s="31" t="s">
        <v>614</v>
      </c>
      <c r="F7" s="30" t="s">
        <v>154</v>
      </c>
      <c r="G7" s="40">
        <v>33</v>
      </c>
      <c r="H7" s="41"/>
      <c r="I7" s="42">
        <f t="shared" si="0"/>
        <v>33</v>
      </c>
      <c r="J7" s="43">
        <v>31</v>
      </c>
      <c r="K7" s="44">
        <v>1.0413925891834</v>
      </c>
      <c r="L7" s="44">
        <v>0.885474371240769</v>
      </c>
      <c r="M7" s="44">
        <v>1</v>
      </c>
      <c r="N7" s="45"/>
      <c r="O7" s="45"/>
      <c r="P7" s="45"/>
      <c r="Q7" s="46">
        <f>IF($I7="","",IFERROR(INDEX(_玩家曲线!$H$2:$H$286,MATCH($I7,_玩家曲线!$A$2:$A$286,0)),""))</f>
        <v>42332.3252975087</v>
      </c>
      <c r="R7" s="46">
        <f>IF($I7="","",IFERROR(INDEX(_玩家曲线!$I$2:$I$286,MATCH($I7,_玩家曲线!$A$2:$A$286,0)),""))</f>
        <v>117656.323591464</v>
      </c>
      <c r="S7" s="46">
        <f>IF(OR($J7="",$F7="不适用"),"",IFERROR(INDEX(_怪物模型!$D$2:$D$4501,(INT($J7)-1)*ROWS(_怪物类型!$A$2:$A$10)+MATCH($F7,_怪物类型!$A$2:$A$10,0))*IF($K7="",1,$K7),""))</f>
        <v>5781.81165514624</v>
      </c>
      <c r="T7" s="46">
        <f>IF(OR($J7="",$F7="不适用"),"",IFERROR(INDEX(_怪物模型!$E$2:$E$4501,(INT($J7)-1)*ROWS(_怪物类型!$A$2:$A$10)+MATCH($F7,_怪物类型!$A$2:$A$10,0))*IF($L7="",1,$L7),""))</f>
        <v>1378.68359602188</v>
      </c>
      <c r="U7" s="46">
        <f>IF(OR($J7="",$F7="不适用"),"",IFERROR(INDEX(_怪物模型!$F$2:$F$4501,(INT($J7)-1)*ROWS(_怪物类型!$A$2:$A$10)+MATCH($F7,_怪物类型!$A$2:$A$10,0))*IF($M7="",1,$M7),""))</f>
        <v>2398</v>
      </c>
      <c r="V7" s="47">
        <f t="shared" si="1"/>
        <v>0.0908402151678157</v>
      </c>
      <c r="W7" s="48">
        <f t="shared" si="2"/>
        <v>6359.51100302293</v>
      </c>
      <c r="X7" s="48">
        <f t="shared" si="3"/>
        <v>0.150228246578205</v>
      </c>
      <c r="Y7" s="48">
        <f t="shared" si="4"/>
        <v>85.3396123163831</v>
      </c>
      <c r="Z7" s="49" t="str">
        <f t="shared" si="5"/>
        <v/>
      </c>
      <c r="AA7" s="30" t="str">
        <f t="shared" si="6"/>
        <v>已计算</v>
      </c>
      <c r="AB7" s="30" t="str">
        <f t="shared" si="7"/>
        <v>有效</v>
      </c>
      <c r="AC7" s="30" t="str">
        <f t="shared" si="8"/>
        <v/>
      </c>
      <c r="AD7" s="31" t="s">
        <v>581</v>
      </c>
      <c r="AE7">
        <v>12300</v>
      </c>
      <c r="AF7">
        <f>INDEX(_统一战力!$B$2:$B$501,J7)</f>
        <v>19800</v>
      </c>
    </row>
    <row r="8" ht="25" customHeight="1" spans="1:32">
      <c r="A8" s="30" t="s">
        <v>150</v>
      </c>
      <c r="B8" s="30" t="s">
        <v>56</v>
      </c>
      <c r="C8" s="31" t="s">
        <v>572</v>
      </c>
      <c r="D8" s="31" t="s">
        <v>582</v>
      </c>
      <c r="E8" s="31" t="s">
        <v>615</v>
      </c>
      <c r="F8" s="30" t="s">
        <v>154</v>
      </c>
      <c r="G8" s="40">
        <v>48</v>
      </c>
      <c r="H8" s="41"/>
      <c r="I8" s="42">
        <f t="shared" si="0"/>
        <v>48</v>
      </c>
      <c r="J8" s="43">
        <v>34</v>
      </c>
      <c r="K8" s="44">
        <v>1.03103111729802</v>
      </c>
      <c r="L8" s="44">
        <v>0.885754757003408</v>
      </c>
      <c r="M8" s="44">
        <v>1</v>
      </c>
      <c r="N8" s="45"/>
      <c r="O8" s="45"/>
      <c r="P8" s="45"/>
      <c r="Q8" s="46">
        <f>IF($I8="","",IFERROR(INDEX(_玩家曲线!$H$2:$H$286,MATCH($I8,_玩家曲线!$A$2:$A$286,0)),""))</f>
        <v>90311.5060122421</v>
      </c>
      <c r="R8" s="46">
        <f>IF($I8="","",IFERROR(INDEX(_玩家曲线!$I$2:$I$286,MATCH($I8,_玩家曲线!$A$2:$A$286,0)),""))</f>
        <v>216419.269218726</v>
      </c>
      <c r="S8" s="46">
        <f>IF(OR($J8="",$F8="不适用"),"",IFERROR(INDEX(_怪物模型!$D$2:$D$4501,(INT($J8)-1)*ROWS(_怪物类型!$A$2:$A$10)+MATCH($F8,_怪物类型!$A$2:$A$10,0))*IF($K8="",1,$K8),""))</f>
        <v>6544.98553260783</v>
      </c>
      <c r="T8" s="46">
        <f>IF(OR($J8="",$F8="不适用"),"",IFERROR(INDEX(_怪物模型!$E$2:$E$4501,(INT($J8)-1)*ROWS(_怪物类型!$A$2:$A$10)+MATCH($F8,_怪物类型!$A$2:$A$10,0))*IF($L8="",1,$L8),""))</f>
        <v>1530.58422010189</v>
      </c>
      <c r="U8" s="46">
        <f>IF(OR($J8="",$F8="不适用"),"",IFERROR(INDEX(_怪物模型!$F$2:$F$4501,(INT($J8)-1)*ROWS(_怪物类型!$A$2:$A$10)+MATCH($F8,_怪物类型!$A$2:$A$10,0))*IF($M8="",1,$M8),""))</f>
        <v>2641</v>
      </c>
      <c r="V8" s="47">
        <f t="shared" si="1"/>
        <v>0.0991329154311024</v>
      </c>
      <c r="W8" s="48">
        <f t="shared" si="2"/>
        <v>7265.20664892522</v>
      </c>
      <c r="X8" s="48">
        <f t="shared" si="3"/>
        <v>0.0804460801256087</v>
      </c>
      <c r="Y8" s="48">
        <f t="shared" si="4"/>
        <v>141.396511460388</v>
      </c>
      <c r="Z8" s="49" t="str">
        <f t="shared" si="5"/>
        <v/>
      </c>
      <c r="AA8" s="30" t="str">
        <f t="shared" si="6"/>
        <v>已计算</v>
      </c>
      <c r="AB8" s="30" t="str">
        <f t="shared" si="7"/>
        <v>有效</v>
      </c>
      <c r="AC8" s="30" t="str">
        <f t="shared" si="8"/>
        <v/>
      </c>
      <c r="AD8" s="31" t="s">
        <v>584</v>
      </c>
      <c r="AE8">
        <v>13500</v>
      </c>
      <c r="AF8">
        <f>INDEX(_统一战力!$B$2:$B$501,J8)</f>
        <v>23100</v>
      </c>
    </row>
    <row r="9" ht="25" customHeight="1" spans="1:32">
      <c r="A9" s="30" t="s">
        <v>150</v>
      </c>
      <c r="B9" s="30" t="s">
        <v>56</v>
      </c>
      <c r="C9" s="31" t="s">
        <v>572</v>
      </c>
      <c r="D9" s="31" t="s">
        <v>585</v>
      </c>
      <c r="E9" s="31" t="s">
        <v>616</v>
      </c>
      <c r="F9" s="30" t="s">
        <v>154</v>
      </c>
      <c r="G9" s="40">
        <v>64</v>
      </c>
      <c r="H9" s="41"/>
      <c r="I9" s="42">
        <f t="shared" si="0"/>
        <v>64</v>
      </c>
      <c r="J9" s="43">
        <v>42</v>
      </c>
      <c r="K9" s="44">
        <v>1.05578471016559</v>
      </c>
      <c r="L9" s="44">
        <v>0.933132403197277</v>
      </c>
      <c r="M9" s="44">
        <v>1</v>
      </c>
      <c r="N9" s="45"/>
      <c r="O9" s="45"/>
      <c r="P9" s="45"/>
      <c r="Q9" s="46">
        <f>IF($I9="","",IFERROR(INDEX(_玩家曲线!$H$2:$H$286,MATCH($I9,_玩家曲线!$A$2:$A$286,0)),""))</f>
        <v>165656.324811522</v>
      </c>
      <c r="R9" s="46">
        <f>IF($I9="","",IFERROR(INDEX(_玩家曲线!$I$2:$I$286,MATCH($I9,_玩家曲线!$A$2:$A$286,0)),""))</f>
        <v>352956.471884879</v>
      </c>
      <c r="S9" s="46">
        <f>IF(OR($J9="",$F9="不适用"),"",IFERROR(INDEX(_怪物模型!$D$2:$D$4501,(INT($J9)-1)*ROWS(_怪物类型!$A$2:$A$10)+MATCH($F9,_怪物类型!$A$2:$A$10,0))*IF($K9="",1,$K9),""))</f>
        <v>9183.2154090203</v>
      </c>
      <c r="T9" s="46">
        <f>IF(OR($J9="",$F9="不适用"),"",IFERROR(INDEX(_怪物模型!$E$2:$E$4501,(INT($J9)-1)*ROWS(_怪物类型!$A$2:$A$10)+MATCH($F9,_怪物类型!$A$2:$A$10,0))*IF($L9="",1,$L9),""))</f>
        <v>2058.49008145319</v>
      </c>
      <c r="U9" s="46">
        <f>IF(OR($J9="",$F9="不适用"),"",IFERROR(INDEX(_怪物模型!$F$2:$F$4501,(INT($J9)-1)*ROWS(_怪物类型!$A$2:$A$10)+MATCH($F9,_怪物类型!$A$2:$A$10,0))*IF($M9="",1,$M9),""))</f>
        <v>3301</v>
      </c>
      <c r="V9" s="47">
        <f t="shared" si="1"/>
        <v>0.1209113219296</v>
      </c>
      <c r="W9" s="48">
        <f t="shared" si="2"/>
        <v>10446.290161736</v>
      </c>
      <c r="X9" s="48">
        <f t="shared" si="3"/>
        <v>0.0630600139995946</v>
      </c>
      <c r="Y9" s="48">
        <f t="shared" si="4"/>
        <v>171.463770977079</v>
      </c>
      <c r="Z9" s="49" t="str">
        <f t="shared" si="5"/>
        <v/>
      </c>
      <c r="AA9" s="30" t="str">
        <f t="shared" si="6"/>
        <v>已计算</v>
      </c>
      <c r="AB9" s="30" t="str">
        <f t="shared" si="7"/>
        <v>有效</v>
      </c>
      <c r="AC9" s="30" t="str">
        <f t="shared" si="8"/>
        <v/>
      </c>
      <c r="AD9" s="31" t="s">
        <v>587</v>
      </c>
      <c r="AE9">
        <v>18200</v>
      </c>
      <c r="AF9">
        <f>INDEX(_统一战力!$B$2:$B$501,J9)</f>
        <v>32800</v>
      </c>
    </row>
    <row r="10" ht="25" customHeight="1" spans="1:32">
      <c r="A10" s="30" t="s">
        <v>588</v>
      </c>
      <c r="B10" s="30" t="s">
        <v>56</v>
      </c>
      <c r="C10" s="31" t="s">
        <v>572</v>
      </c>
      <c r="D10" s="31" t="s">
        <v>589</v>
      </c>
      <c r="E10" s="31" t="s">
        <v>617</v>
      </c>
      <c r="F10" s="30" t="s">
        <v>154</v>
      </c>
      <c r="G10" s="40">
        <v>85</v>
      </c>
      <c r="H10" s="41"/>
      <c r="I10" s="42">
        <f t="shared" si="0"/>
        <v>85</v>
      </c>
      <c r="J10" s="43">
        <v>74</v>
      </c>
      <c r="K10" s="45"/>
      <c r="L10" s="45"/>
      <c r="M10" s="45"/>
      <c r="N10" s="45"/>
      <c r="O10" s="45"/>
      <c r="P10" s="45"/>
      <c r="Q10" s="46">
        <f>IF($I10="","",IFERROR(INDEX(_玩家曲线!$H$2:$H$286,MATCH($I10,_玩家曲线!$A$2:$A$286,0)),""))</f>
        <v>303608.455403675</v>
      </c>
      <c r="R10" s="46">
        <f>IF($I10="","",IFERROR(INDEX(_玩家曲线!$I$2:$I$286,MATCH($I10,_玩家曲线!$A$2:$A$286,0)),""))</f>
        <v>604842.67487879</v>
      </c>
      <c r="S10" s="46">
        <f>IF(OR($J10="",$F10="不适用"),"",IFERROR(INDEX(_怪物模型!$D$2:$D$4501,(INT($J10)-1)*ROWS(_怪物类型!$A$2:$A$10)+MATCH($F10,_怪物类型!$A$2:$A$10,0))*IF($K10="",1,$K10),""))</f>
        <v>21730</v>
      </c>
      <c r="T10" s="46">
        <f>IF(OR($J10="",$F10="不适用"),"",IFERROR(INDEX(_怪物模型!$E$2:$E$4501,(INT($J10)-1)*ROWS(_怪物类型!$A$2:$A$10)+MATCH($F10,_怪物类型!$A$2:$A$10,0))*IF($L10="",1,$L10),""))</f>
        <v>4420</v>
      </c>
      <c r="U10" s="46">
        <f>IF(OR($J10="",$F10="不适用"),"",IFERROR(INDEX(_怪物模型!$F$2:$F$4501,(INT($J10)-1)*ROWS(_怪物类型!$A$2:$A$10)+MATCH($F10,_怪物类型!$A$2:$A$10,0))*IF($M10="",1,$M10),""))</f>
        <v>6085</v>
      </c>
      <c r="V10" s="47">
        <f t="shared" si="1"/>
        <v>0.20226026258933</v>
      </c>
      <c r="W10" s="48">
        <f t="shared" si="2"/>
        <v>27239.4604166667</v>
      </c>
      <c r="X10" s="48">
        <f t="shared" si="3"/>
        <v>0.0897190441565579</v>
      </c>
      <c r="Y10" s="48">
        <f t="shared" si="4"/>
        <v>136.842234135473</v>
      </c>
      <c r="Z10" s="49" t="str">
        <f t="shared" si="5"/>
        <v/>
      </c>
      <c r="AA10" s="30" t="str">
        <f t="shared" si="6"/>
        <v>已计算</v>
      </c>
      <c r="AB10" s="30" t="str">
        <f t="shared" si="7"/>
        <v>有效</v>
      </c>
      <c r="AC10" s="30" t="str">
        <f t="shared" si="8"/>
        <v/>
      </c>
      <c r="AD10" s="31" t="s">
        <v>591</v>
      </c>
      <c r="AE10">
        <v>41300</v>
      </c>
    </row>
    <row r="11" ht="25" customHeight="1" spans="1:32">
      <c r="A11" s="30" t="s">
        <v>588</v>
      </c>
      <c r="B11" s="30" t="s">
        <v>56</v>
      </c>
      <c r="C11" s="31" t="s">
        <v>572</v>
      </c>
      <c r="D11" s="31" t="s">
        <v>592</v>
      </c>
      <c r="E11" s="31" t="s">
        <v>618</v>
      </c>
      <c r="F11" s="30" t="s">
        <v>154</v>
      </c>
      <c r="G11" s="40">
        <v>108</v>
      </c>
      <c r="H11" s="41"/>
      <c r="I11" s="42">
        <f t="shared" si="0"/>
        <v>108</v>
      </c>
      <c r="J11" s="43">
        <v>90</v>
      </c>
      <c r="K11" s="45"/>
      <c r="L11" s="45"/>
      <c r="M11" s="45"/>
      <c r="N11" s="45"/>
      <c r="O11" s="45"/>
      <c r="P11" s="45"/>
      <c r="Q11" s="46">
        <f>IF($I11="","",IFERROR(INDEX(_玩家曲线!$H$2:$H$286,MATCH($I11,_玩家曲线!$A$2:$A$286,0)),""))</f>
        <v>484409.725686147</v>
      </c>
      <c r="R11" s="46">
        <f>IF($I11="","",IFERROR(INDEX(_玩家曲线!$I$2:$I$286,MATCH($I11,_玩家曲线!$A$2:$A$286,0)),""))</f>
        <v>889903.12572888</v>
      </c>
      <c r="S11" s="46">
        <f>IF(OR($J11="",$F11="不适用"),"",IFERROR(INDEX(_怪物模型!$D$2:$D$4501,(INT($J11)-1)*ROWS(_怪物类型!$A$2:$A$10)+MATCH($F11,_怪物类型!$A$2:$A$10,0))*IF($K11="",1,$K11),""))</f>
        <v>30804</v>
      </c>
      <c r="T11" s="46">
        <f>IF(OR($J11="",$F11="不适用"),"",IFERROR(INDEX(_怪物模型!$E$2:$E$4501,(INT($J11)-1)*ROWS(_怪物类型!$A$2:$A$10)+MATCH($F11,_怪物类型!$A$2:$A$10,0))*IF($L11="",1,$L11),""))</f>
        <v>5728</v>
      </c>
      <c r="U11" s="46">
        <f>IF(OR($J11="",$F11="不适用"),"",IFERROR(INDEX(_怪物模型!$F$2:$F$4501,(INT($J11)-1)*ROWS(_怪物类型!$A$2:$A$10)+MATCH($F11,_怪物类型!$A$2:$A$10,0))*IF($M11="",1,$M11),""))</f>
        <v>7565</v>
      </c>
      <c r="V11" s="47">
        <f t="shared" si="1"/>
        <v>0.239664185015048</v>
      </c>
      <c r="W11" s="48">
        <f t="shared" si="2"/>
        <v>40513.6775</v>
      </c>
      <c r="X11" s="48">
        <f t="shared" si="3"/>
        <v>0.0836351446961846</v>
      </c>
      <c r="Y11" s="48">
        <f t="shared" si="4"/>
        <v>155.360182564399</v>
      </c>
      <c r="Z11" s="49" t="str">
        <f t="shared" si="5"/>
        <v/>
      </c>
      <c r="AA11" s="30" t="str">
        <f t="shared" si="6"/>
        <v>已计算</v>
      </c>
      <c r="AB11" s="30" t="str">
        <f t="shared" si="7"/>
        <v>有效</v>
      </c>
      <c r="AC11" s="30" t="str">
        <f t="shared" si="8"/>
        <v/>
      </c>
      <c r="AD11" s="31" t="s">
        <v>594</v>
      </c>
      <c r="AE11">
        <v>54100</v>
      </c>
    </row>
    <row r="12" ht="25" customHeight="1" spans="1:32">
      <c r="A12" s="30" t="s">
        <v>588</v>
      </c>
      <c r="B12" s="30" t="s">
        <v>56</v>
      </c>
      <c r="C12" s="31" t="s">
        <v>572</v>
      </c>
      <c r="D12" s="31" t="s">
        <v>595</v>
      </c>
      <c r="E12" s="31" t="s">
        <v>619</v>
      </c>
      <c r="F12" s="30" t="s">
        <v>154</v>
      </c>
      <c r="G12" s="40">
        <v>124</v>
      </c>
      <c r="H12" s="41"/>
      <c r="I12" s="42">
        <f t="shared" si="0"/>
        <v>124</v>
      </c>
      <c r="J12" s="43">
        <v>107</v>
      </c>
      <c r="K12" s="45"/>
      <c r="L12" s="45"/>
      <c r="M12" s="45"/>
      <c r="N12" s="45"/>
      <c r="O12" s="45"/>
      <c r="P12" s="45"/>
      <c r="Q12" s="46">
        <f>IF($I12="","",IFERROR(INDEX(_玩家曲线!$H$2:$H$286,MATCH($I12,_玩家曲线!$A$2:$A$286,0)),""))</f>
        <v>679690.332421241</v>
      </c>
      <c r="R12" s="46">
        <f>IF($I12="","",IFERROR(INDEX(_玩家曲线!$I$2:$I$286,MATCH($I12,_玩家曲线!$A$2:$A$286,0)),""))</f>
        <v>1149922.97980537</v>
      </c>
      <c r="S12" s="46">
        <f>IF(OR($J12="",$F12="不适用"),"",IFERROR(INDEX(_怪物模型!$D$2:$D$4501,(INT($J12)-1)*ROWS(_怪物类型!$A$2:$A$10)+MATCH($F12,_怪物类型!$A$2:$A$10,0))*IF($K12="",1,$K12),""))</f>
        <v>42710</v>
      </c>
      <c r="T12" s="46">
        <f>IF(OR($J12="",$F12="不适用"),"",IFERROR(INDEX(_怪物模型!$E$2:$E$4501,(INT($J12)-1)*ROWS(_怪物类型!$A$2:$A$10)+MATCH($F12,_怪物类型!$A$2:$A$10,0))*IF($L12="",1,$L12),""))</f>
        <v>7283</v>
      </c>
      <c r="U12" s="46">
        <f>IF(OR($J12="",$F12="不适用"),"",IFERROR(INDEX(_怪物模型!$F$2:$F$4501,(INT($J12)-1)*ROWS(_怪物类型!$A$2:$A$10)+MATCH($F12,_怪物类型!$A$2:$A$10,0))*IF($M12="",1,$M12),""))</f>
        <v>9201</v>
      </c>
      <c r="V12" s="47">
        <f t="shared" si="1"/>
        <v>0.277130206921478</v>
      </c>
      <c r="W12" s="48">
        <f t="shared" si="2"/>
        <v>59083.94625</v>
      </c>
      <c r="X12" s="48">
        <f t="shared" si="3"/>
        <v>0.0869277425787814</v>
      </c>
      <c r="Y12" s="48">
        <f t="shared" si="4"/>
        <v>157.891388137494</v>
      </c>
      <c r="Z12" s="49" t="str">
        <f t="shared" si="5"/>
        <v/>
      </c>
      <c r="AA12" s="30" t="str">
        <f t="shared" si="6"/>
        <v>已计算</v>
      </c>
      <c r="AB12" s="30" t="str">
        <f t="shared" si="7"/>
        <v>有效</v>
      </c>
      <c r="AC12" s="30" t="str">
        <f t="shared" si="8"/>
        <v/>
      </c>
      <c r="AD12" s="31" t="s">
        <v>597</v>
      </c>
      <c r="AE12">
        <v>71400</v>
      </c>
    </row>
    <row r="13" ht="25" customHeight="1" spans="1:32">
      <c r="A13" s="30" t="s">
        <v>588</v>
      </c>
      <c r="B13" s="30" t="s">
        <v>56</v>
      </c>
      <c r="C13" s="31" t="s">
        <v>572</v>
      </c>
      <c r="D13" s="31" t="s">
        <v>598</v>
      </c>
      <c r="E13" s="31" t="s">
        <v>620</v>
      </c>
      <c r="F13" s="30" t="s">
        <v>154</v>
      </c>
      <c r="G13" s="40">
        <v>146</v>
      </c>
      <c r="H13" s="41"/>
      <c r="I13" s="42">
        <f t="shared" si="0"/>
        <v>146</v>
      </c>
      <c r="J13" s="43">
        <v>126</v>
      </c>
      <c r="K13" s="45"/>
      <c r="L13" s="45"/>
      <c r="M13" s="45"/>
      <c r="N13" s="45"/>
      <c r="O13" s="45"/>
      <c r="P13" s="45"/>
      <c r="Q13" s="46">
        <f>IF($I13="","",IFERROR(INDEX(_玩家曲线!$H$2:$H$286,MATCH($I13,_玩家曲线!$A$2:$A$286,0)),""))</f>
        <v>956281.237189549</v>
      </c>
      <c r="R13" s="46">
        <f>IF($I13="","",IFERROR(INDEX(_玩家曲线!$I$2:$I$286,MATCH($I13,_玩家曲线!$A$2:$A$286,0)),""))</f>
        <v>1482216.44272426</v>
      </c>
      <c r="S13" s="46">
        <f>IF(OR($J13="",$F13="不适用"),"",IFERROR(INDEX(_怪物模型!$D$2:$D$4501,(INT($J13)-1)*ROWS(_怪物类型!$A$2:$A$10)+MATCH($F13,_怪物类型!$A$2:$A$10,0))*IF($K13="",1,$K13),""))</f>
        <v>59227</v>
      </c>
      <c r="T13" s="46">
        <f>IF(OR($J13="",$F13="不适用"),"",IFERROR(INDEX(_怪物模型!$E$2:$E$4501,(INT($J13)-1)*ROWS(_怪物类型!$A$2:$A$10)+MATCH($F13,_怪物类型!$A$2:$A$10,0))*IF($L13="",1,$L13),""))</f>
        <v>9239</v>
      </c>
      <c r="U13" s="46">
        <f>IF(OR($J13="",$F13="不适用"),"",IFERROR(INDEX(_怪物模型!$F$2:$F$4501,(INT($J13)-1)*ROWS(_怪物类型!$A$2:$A$10)+MATCH($F13,_怪物类型!$A$2:$A$10,0))*IF($M13="",1,$M13),""))</f>
        <v>11107</v>
      </c>
      <c r="V13" s="47">
        <f t="shared" si="1"/>
        <v>0.316375651579457</v>
      </c>
      <c r="W13" s="48">
        <f t="shared" si="2"/>
        <v>86636.7620416667</v>
      </c>
      <c r="X13" s="48">
        <f t="shared" si="3"/>
        <v>0.0905975759770073</v>
      </c>
      <c r="Y13" s="48">
        <f t="shared" si="4"/>
        <v>160.430397524003</v>
      </c>
      <c r="Z13" s="49" t="str">
        <f t="shared" si="5"/>
        <v/>
      </c>
      <c r="AA13" s="30" t="str">
        <f t="shared" si="6"/>
        <v>已计算</v>
      </c>
      <c r="AB13" s="30" t="str">
        <f t="shared" si="7"/>
        <v>有效</v>
      </c>
      <c r="AC13" s="30" t="str">
        <f t="shared" si="8"/>
        <v/>
      </c>
      <c r="AD13" s="31" t="s">
        <v>600</v>
      </c>
      <c r="AE13">
        <v>95900</v>
      </c>
    </row>
  </sheetData>
  <mergeCells count="3">
    <mergeCell ref="A1:AD1"/>
    <mergeCell ref="A2:AD2"/>
    <mergeCell ref="A3:AD3"/>
  </mergeCells>
  <conditionalFormatting sqref="J5:J13">
    <cfRule type="expression" dxfId="2" priority="1">
      <formula>AND($A5&lt;&gt;"特殊：双方属性对算",$J5="")</formula>
    </cfRule>
  </conditionalFormatting>
  <conditionalFormatting sqref="AA5:AA13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13">
    <cfRule type="expression" dxfId="4" priority="2">
      <formula>$AB5="超范围"</formula>
    </cfRule>
  </conditionalFormatting>
  <conditionalFormatting sqref="AC5:AC13">
    <cfRule type="expression" dxfId="4" priority="7">
      <formula>$AC5="下降"</formula>
    </cfRule>
  </conditionalFormatting>
  <dataValidations count="5">
    <dataValidation type="list" sqref="F5:F13">
      <formula1>_字典!$A$2:$A$11</formula1>
    </dataValidation>
    <dataValidation type="whole" operator="between" allowBlank="1" sqref="H5:H13">
      <formula1>1</formula1>
      <formula2>285</formula2>
    </dataValidation>
    <dataValidation type="whole" operator="between" allowBlank="1" sqref="J5:J13">
      <formula1>1</formula1>
      <formula2>500</formula2>
    </dataValidation>
    <dataValidation type="decimal" operator="between" allowBlank="1" sqref="P5:P13">
      <formula1>0.01</formula1>
      <formula2>3600</formula2>
    </dataValidation>
    <dataValidation type="decimal" operator="between" allowBlank="1" sqref="K5:O13">
      <formula1>0</formula1>
      <formula2>100</formula2>
    </dataValidation>
  </dataValidations>
  <hyperlinks>
    <hyperlink ref="A1" r:id="rId4" display="全玩法难度填写｜收容经验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D7D31"/>
  </sheetPr>
  <dimension ref="A1:AF14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  <col min="31" max="32" width="22" customWidth="1"/>
  </cols>
  <sheetData>
    <row r="1" ht="34" customHeight="1" spans="1:32">
      <c r="A1" s="26" t="s">
        <v>621</v>
      </c>
    </row>
    <row r="2" ht="30" customHeight="1" spans="1:32">
      <c r="A2" s="27" t="s">
        <v>119</v>
      </c>
    </row>
    <row r="3" ht="14.25" customHeight="1" spans="1:32">
      <c r="A3" s="28" t="s">
        <v>120</v>
      </c>
    </row>
    <row r="4" ht="30" customHeight="1" spans="1:32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  <c r="AE4" s="8" t="s">
        <v>148</v>
      </c>
      <c r="AF4" s="8" t="s">
        <v>149</v>
      </c>
    </row>
    <row r="5" ht="25" customHeight="1" spans="1:32">
      <c r="A5" s="30" t="s">
        <v>150</v>
      </c>
      <c r="B5" s="30" t="s">
        <v>57</v>
      </c>
      <c r="C5" s="31" t="s">
        <v>622</v>
      </c>
      <c r="D5" s="31" t="s">
        <v>573</v>
      </c>
      <c r="E5" s="31" t="s">
        <v>623</v>
      </c>
      <c r="F5" s="30" t="s">
        <v>164</v>
      </c>
      <c r="G5" s="40">
        <v>100</v>
      </c>
      <c r="H5" s="41"/>
      <c r="I5" s="42">
        <f t="shared" ref="I5:I14" si="0">IF($H5="",$G5,$H5)</f>
        <v>100</v>
      </c>
      <c r="J5" s="43">
        <v>102</v>
      </c>
      <c r="K5" s="44">
        <v>1.07990869802304</v>
      </c>
      <c r="L5" s="44">
        <v>0.793456501955126</v>
      </c>
      <c r="M5" s="44">
        <v>1</v>
      </c>
      <c r="N5" s="45"/>
      <c r="O5" s="45"/>
      <c r="P5" s="45"/>
      <c r="Q5" s="46">
        <f>IF($I5="","",IFERROR(INDEX(_玩家曲线!$H$2:$H$286,MATCH($I5,_玩家曲线!$A$2:$A$286,0)),""))</f>
        <v>395331.076252464</v>
      </c>
      <c r="R5" s="46">
        <f>IF($I5="","",IFERROR(INDEX(_玩家曲线!$I$2:$I$286,MATCH($I5,_玩家曲线!$A$2:$A$286,0)),""))</f>
        <v>761253.295545268</v>
      </c>
      <c r="S5" s="46">
        <f>IF(OR($J5="",$F5="不适用"),"",IFERROR(INDEX(_怪物模型!$D$2:$D$4501,(INT($J5)-1)*ROWS(_怪物类型!$A$2:$A$10)+MATCH($F5,_怪物类型!$A$2:$A$10,0))*IF($K5="",1,$K5),""))</f>
        <v>3266232.4530621</v>
      </c>
      <c r="T5" s="46">
        <f>IF(OR($J5="",$F5="不适用"),"",IFERROR(INDEX(_怪物模型!$E$2:$E$4501,(INT($J5)-1)*ROWS(_怪物类型!$A$2:$A$10)+MATCH($F5,_怪物类型!$A$2:$A$10,0))*IF($L5="",1,$L5),""))</f>
        <v>6350.03238514687</v>
      </c>
      <c r="U5" s="46">
        <f>IF(OR($J5="",$F5="不适用"),"",IFERROR(INDEX(_怪物模型!$F$2:$F$4501,(INT($J5)-1)*ROWS(_怪物类型!$A$2:$A$10)+MATCH($F5,_怪物类型!$A$2:$A$10,0))*IF($M5="",1,$M5),""))</f>
        <v>8713</v>
      </c>
      <c r="V5" s="47">
        <f t="shared" ref="V5:V14" si="1">IF($U5="","",MIN(0.75,$U5/($U5+24000)))</f>
        <v>0.266346712316205</v>
      </c>
      <c r="W5" s="48">
        <f t="shared" ref="W5:W14" si="2">IF($S5="","",$S5/(1-$V5)*IF($N5="",1,$N5))</f>
        <v>4452010.92654251</v>
      </c>
      <c r="X5" s="48">
        <f t="shared" ref="X5:X14" si="3">IF(OR($W5="",$Q5="",$Q5=0),"",$W5/$Q5)</f>
        <v>11.2614747333938</v>
      </c>
      <c r="Y5" s="48">
        <f t="shared" ref="Y5:Y14" si="4">IF(OR($R5="",$T5="",$T5=0),"",$R5/($T5*IF($O5="",1,$O5)))</f>
        <v>119.881797347347</v>
      </c>
      <c r="Z5" s="49" t="str">
        <f t="shared" ref="Z5:Z14" si="5">IF(OR($X5="",$P5="",$P5=0),"",$X5/$P5)</f>
        <v/>
      </c>
      <c r="AA5" s="30" t="str">
        <f t="shared" ref="AA5:AA14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 t="shared" ref="AB5:AB14" si="7">IF($J5="","待填",IF(AND(ISNUMBER($J5),$J5&gt;=1,$J5&lt;=500,MOD($J5,1)=0),"有效","超范围"))</f>
        <v>有效</v>
      </c>
      <c r="AC5" s="30" t="str">
        <f t="shared" ref="AC5:AC14" si="8">IF(OR($J5="",ROW()=5,$B5&lt;&gt;$B4,$J4=""),"",IF($J5&lt;$J4,"下降",""))</f>
        <v/>
      </c>
      <c r="AD5" s="31" t="s">
        <v>624</v>
      </c>
      <c r="AE5">
        <v>71400</v>
      </c>
      <c r="AF5">
        <f>INDEX(_统一战力!$B$2:$B$501,J5)</f>
        <v>191000</v>
      </c>
    </row>
    <row r="6" ht="25" customHeight="1" spans="1:32">
      <c r="A6" s="30" t="s">
        <v>150</v>
      </c>
      <c r="B6" s="30" t="s">
        <v>57</v>
      </c>
      <c r="C6" s="31" t="s">
        <v>622</v>
      </c>
      <c r="D6" s="31" t="s">
        <v>576</v>
      </c>
      <c r="E6" s="31" t="s">
        <v>625</v>
      </c>
      <c r="F6" s="30" t="s">
        <v>164</v>
      </c>
      <c r="G6" s="40">
        <v>112</v>
      </c>
      <c r="H6" s="41"/>
      <c r="I6" s="42">
        <f t="shared" si="0"/>
        <v>112</v>
      </c>
      <c r="J6" s="43">
        <v>135</v>
      </c>
      <c r="K6" s="44">
        <v>1.06534064398689</v>
      </c>
      <c r="L6" s="44">
        <v>0.858799015312246</v>
      </c>
      <c r="M6" s="44">
        <v>1</v>
      </c>
      <c r="N6" s="45"/>
      <c r="O6" s="45"/>
      <c r="P6" s="45"/>
      <c r="Q6" s="46">
        <f>IF($I6="","",IFERROR(INDEX(_玩家曲线!$H$2:$H$286,MATCH($I6,_玩家曲线!$A$2:$A$286,0)),""))</f>
        <v>534190.001028219</v>
      </c>
      <c r="R6" s="46">
        <f>IF($I6="","",IFERROR(INDEX(_玩家曲线!$I$2:$I$286,MATCH($I6,_玩家曲线!$A$2:$A$286,0)),""))</f>
        <v>958708.627446248</v>
      </c>
      <c r="S6" s="46">
        <f>IF(OR($J6="",$F6="不适用"),"",IFERROR(INDEX(_怪物模型!$D$2:$D$4501,(INT($J6)-1)*ROWS(_怪物类型!$A$2:$A$10)+MATCH($F6,_怪物类型!$A$2:$A$10,0))*IF($K6="",1,$K6),""))</f>
        <v>6028740.33216829</v>
      </c>
      <c r="T6" s="46">
        <f>IF(OR($J6="",$F6="不适用"),"",IFERROR(INDEX(_怪物模型!$E$2:$E$4501,(INT($J6)-1)*ROWS(_怪物类型!$A$2:$A$10)+MATCH($F6,_怪物类型!$A$2:$A$10,0))*IF($L6="",1,$L6),""))</f>
        <v>10190.5091156951</v>
      </c>
      <c r="U6" s="46">
        <f>IF(OR($J6="",$F6="不适用"),"",IFERROR(INDEX(_怪物模型!$F$2:$F$4501,(INT($J6)-1)*ROWS(_怪物类型!$A$2:$A$10)+MATCH($F6,_怪物类型!$A$2:$A$10,0))*IF($M6="",1,$M6),""))</f>
        <v>12038</v>
      </c>
      <c r="V6" s="47">
        <f t="shared" si="1"/>
        <v>0.334036295021921</v>
      </c>
      <c r="W6" s="48">
        <f t="shared" si="2"/>
        <v>9052656.00377836</v>
      </c>
      <c r="X6" s="48">
        <f t="shared" si="3"/>
        <v>16.9465096432985</v>
      </c>
      <c r="Y6" s="48">
        <f t="shared" si="4"/>
        <v>94.078580035778</v>
      </c>
      <c r="Z6" s="49" t="str">
        <f t="shared" si="5"/>
        <v/>
      </c>
      <c r="AA6" s="30" t="str">
        <f t="shared" si="6"/>
        <v>已计算</v>
      </c>
      <c r="AB6" s="30" t="str">
        <f t="shared" si="7"/>
        <v>有效</v>
      </c>
      <c r="AC6" s="30" t="str">
        <f t="shared" si="8"/>
        <v/>
      </c>
      <c r="AD6" s="31" t="s">
        <v>626</v>
      </c>
      <c r="AE6">
        <v>125000</v>
      </c>
      <c r="AF6">
        <f>INDEX(_统一战力!$B$2:$B$501,J6)</f>
        <v>353000</v>
      </c>
    </row>
    <row r="7" ht="25" customHeight="1" spans="1:32">
      <c r="A7" s="30" t="s">
        <v>150</v>
      </c>
      <c r="B7" s="30" t="s">
        <v>57</v>
      </c>
      <c r="C7" s="31" t="s">
        <v>622</v>
      </c>
      <c r="D7" s="31" t="s">
        <v>579</v>
      </c>
      <c r="E7" s="31" t="s">
        <v>627</v>
      </c>
      <c r="F7" s="30" t="s">
        <v>164</v>
      </c>
      <c r="G7" s="40">
        <v>126</v>
      </c>
      <c r="H7" s="41"/>
      <c r="I7" s="42">
        <f t="shared" si="0"/>
        <v>126</v>
      </c>
      <c r="J7" s="43">
        <v>172</v>
      </c>
      <c r="K7" s="44">
        <v>1.02745540139657</v>
      </c>
      <c r="L7" s="44">
        <v>0.913314398239222</v>
      </c>
      <c r="M7" s="44">
        <v>1</v>
      </c>
      <c r="N7" s="45"/>
      <c r="O7" s="45"/>
      <c r="P7" s="45"/>
      <c r="Q7" s="46">
        <f>IF($I7="","",IFERROR(INDEX(_玩家曲线!$H$2:$H$286,MATCH($I7,_玩家曲线!$A$2:$A$286,0)),""))</f>
        <v>705450.39317277</v>
      </c>
      <c r="R7" s="46">
        <f>IF($I7="","",IFERROR(INDEX(_玩家曲线!$I$2:$I$286,MATCH($I7,_玩家曲线!$A$2:$A$286,0)),""))</f>
        <v>1182407.18366855</v>
      </c>
      <c r="S7" s="46">
        <f>IF(OR($J7="",$F7="不适用"),"",IFERROR(INDEX(_怪物模型!$D$2:$D$4501,(INT($J7)-1)*ROWS(_怪物类型!$A$2:$A$10)+MATCH($F7,_怪物类型!$A$2:$A$10,0))*IF($K7="",1,$K7),""))</f>
        <v>10446367.161098</v>
      </c>
      <c r="T7" s="46">
        <f>IF(OR($J7="",$F7="不适用"),"",IFERROR(INDEX(_怪物模型!$E$2:$E$4501,(INT($J7)-1)*ROWS(_怪物类型!$A$2:$A$10)+MATCH($F7,_怪物类型!$A$2:$A$10,0))*IF($L7="",1,$L7),""))</f>
        <v>15684.3481609622</v>
      </c>
      <c r="U7" s="46">
        <f>IF(OR($J7="",$F7="不适用"),"",IFERROR(INDEX(_怪物模型!$F$2:$F$4501,(INT($J7)-1)*ROWS(_怪物类型!$A$2:$A$10)+MATCH($F7,_怪物类型!$A$2:$A$10,0))*IF($M7="",1,$M7),""))</f>
        <v>16062</v>
      </c>
      <c r="V7" s="47">
        <f t="shared" si="1"/>
        <v>0.400928560730867</v>
      </c>
      <c r="W7" s="48">
        <f t="shared" si="2"/>
        <v>17437598.3836629</v>
      </c>
      <c r="X7" s="48">
        <f t="shared" si="3"/>
        <v>24.7183906230984</v>
      </c>
      <c r="Y7" s="48">
        <f t="shared" si="4"/>
        <v>75.3877159276229</v>
      </c>
      <c r="Z7" s="49" t="str">
        <f t="shared" si="5"/>
        <v/>
      </c>
      <c r="AA7" s="30" t="str">
        <f t="shared" si="6"/>
        <v>已计算</v>
      </c>
      <c r="AB7" s="30" t="str">
        <f t="shared" si="7"/>
        <v>有效</v>
      </c>
      <c r="AC7" s="30" t="str">
        <f t="shared" si="8"/>
        <v/>
      </c>
      <c r="AD7" s="31" t="s">
        <v>628</v>
      </c>
      <c r="AE7">
        <v>204000</v>
      </c>
      <c r="AF7">
        <f>INDEX(_统一战力!$B$2:$B$501,J7)</f>
        <v>454000</v>
      </c>
    </row>
    <row r="8" ht="25" customHeight="1" spans="1:32">
      <c r="A8" s="30" t="s">
        <v>150</v>
      </c>
      <c r="B8" s="30" t="s">
        <v>57</v>
      </c>
      <c r="C8" s="31" t="s">
        <v>622</v>
      </c>
      <c r="D8" s="31" t="s">
        <v>582</v>
      </c>
      <c r="E8" s="31" t="s">
        <v>629</v>
      </c>
      <c r="F8" s="30" t="s">
        <v>164</v>
      </c>
      <c r="G8" s="40">
        <v>142</v>
      </c>
      <c r="H8" s="41"/>
      <c r="I8" s="42">
        <f t="shared" si="0"/>
        <v>142</v>
      </c>
      <c r="J8" s="43">
        <v>199</v>
      </c>
      <c r="K8" s="44">
        <v>1.01486632057472</v>
      </c>
      <c r="L8" s="44">
        <v>0.958559057747547</v>
      </c>
      <c r="M8" s="44">
        <v>1</v>
      </c>
      <c r="N8" s="45"/>
      <c r="O8" s="45"/>
      <c r="P8" s="45"/>
      <c r="Q8" s="46">
        <f>IF($I8="","",IFERROR(INDEX(_玩家曲线!$H$2:$H$286,MATCH($I8,_玩家曲线!$A$2:$A$286,0)),""))</f>
        <v>905644.755644088</v>
      </c>
      <c r="R8" s="46">
        <f>IF($I8="","",IFERROR(INDEX(_玩家曲线!$I$2:$I$286,MATCH($I8,_玩家曲线!$A$2:$A$286,0)),""))</f>
        <v>1423866.78356194</v>
      </c>
      <c r="S8" s="46">
        <f>IF(OR($J8="",$F8="不适用"),"",IFERROR(INDEX(_怪物模型!$D$2:$D$4501,(INT($J8)-1)*ROWS(_怪物类型!$A$2:$A$10)+MATCH($F8,_怪物类型!$A$2:$A$10,0))*IF($K8="",1,$K8),""))</f>
        <v>14994460.1064895</v>
      </c>
      <c r="T8" s="46">
        <f>IF(OR($J8="",$F8="不适用"),"",IFERROR(INDEX(_怪物模型!$E$2:$E$4501,(INT($J8)-1)*ROWS(_怪物类型!$A$2:$A$10)+MATCH($F8,_怪物类型!$A$2:$A$10,0))*IF($L8="",1,$L8),""))</f>
        <v>20906.173049474</v>
      </c>
      <c r="U8" s="46">
        <f>IF(OR($J8="",$F8="不适用"),"",IFERROR(INDEX(_怪物模型!$F$2:$F$4501,(INT($J8)-1)*ROWS(_怪物类型!$A$2:$A$10)+MATCH($F8,_怪物类型!$A$2:$A$10,0))*IF($M8="",1,$M8),""))</f>
        <v>19194</v>
      </c>
      <c r="V8" s="47">
        <f t="shared" si="1"/>
        <v>0.444367273232393</v>
      </c>
      <c r="W8" s="48">
        <f t="shared" si="2"/>
        <v>26986279.5766545</v>
      </c>
      <c r="X8" s="48">
        <f t="shared" si="3"/>
        <v>29.7978643485459</v>
      </c>
      <c r="Y8" s="48">
        <f t="shared" si="4"/>
        <v>68.1074809910159</v>
      </c>
      <c r="Z8" s="49" t="str">
        <f t="shared" si="5"/>
        <v/>
      </c>
      <c r="AA8" s="30" t="str">
        <f t="shared" si="6"/>
        <v>已计算</v>
      </c>
      <c r="AB8" s="30" t="str">
        <f t="shared" si="7"/>
        <v>有效</v>
      </c>
      <c r="AC8" s="30" t="str">
        <f t="shared" si="8"/>
        <v/>
      </c>
      <c r="AD8" s="31" t="s">
        <v>630</v>
      </c>
      <c r="AE8">
        <v>280000</v>
      </c>
      <c r="AF8">
        <f>INDEX(_统一战力!$B$2:$B$501,J8)</f>
        <v>640000</v>
      </c>
    </row>
    <row r="9" ht="25" customHeight="1" spans="1:32">
      <c r="A9" s="30" t="s">
        <v>150</v>
      </c>
      <c r="B9" s="30" t="s">
        <v>57</v>
      </c>
      <c r="C9" s="31" t="s">
        <v>622</v>
      </c>
      <c r="D9" s="31" t="s">
        <v>585</v>
      </c>
      <c r="E9" s="31" t="s">
        <v>631</v>
      </c>
      <c r="F9" s="30" t="s">
        <v>164</v>
      </c>
      <c r="G9" s="40">
        <v>160</v>
      </c>
      <c r="H9" s="41"/>
      <c r="I9" s="42">
        <f t="shared" si="0"/>
        <v>160</v>
      </c>
      <c r="J9" s="43">
        <v>220</v>
      </c>
      <c r="K9" s="44">
        <v>1.00817636214388</v>
      </c>
      <c r="L9" s="44">
        <v>0.995146825475285</v>
      </c>
      <c r="M9" s="44">
        <v>1</v>
      </c>
      <c r="N9" s="45"/>
      <c r="O9" s="45"/>
      <c r="P9" s="45"/>
      <c r="Q9" s="46">
        <f>IF($I9="","",IFERROR(INDEX(_玩家曲线!$H$2:$H$286,MATCH($I9,_玩家曲线!$A$2:$A$286,0)),""))</f>
        <v>1129115.08125373</v>
      </c>
      <c r="R9" s="46">
        <f>IF($I9="","",IFERROR(INDEX(_玩家曲线!$I$2:$I$286,MATCH($I9,_玩家曲线!$A$2:$A$286,0)),""))</f>
        <v>1674690.4784511</v>
      </c>
      <c r="S9" s="46">
        <f>IF(OR($J9="",$F9="不适用"),"",IFERROR(INDEX(_怪物模型!$D$2:$D$4501,(INT($J9)-1)*ROWS(_怪物类型!$A$2:$A$10)+MATCH($F9,_怪物类型!$A$2:$A$10,0))*IF($K9="",1,$K9),""))</f>
        <v>19456995.2319344</v>
      </c>
      <c r="T9" s="46">
        <f>IF(OR($J9="",$F9="不适用"),"",IFERROR(INDEX(_怪物模型!$E$2:$E$4501,(INT($J9)-1)*ROWS(_怪物类型!$A$2:$A$10)+MATCH($F9,_怪物类型!$A$2:$A$10,0))*IF($L9="",1,$L9),""))</f>
        <v>25801.1717440977</v>
      </c>
      <c r="U9" s="46">
        <f>IF(OR($J9="",$F9="不适用"),"",IFERROR(INDEX(_怪物模型!$F$2:$F$4501,(INT($J9)-1)*ROWS(_怪物类型!$A$2:$A$10)+MATCH($F9,_怪物类型!$A$2:$A$10,0))*IF($M9="",1,$M9),""))</f>
        <v>21745</v>
      </c>
      <c r="V9" s="47">
        <f t="shared" si="1"/>
        <v>0.475352497540715</v>
      </c>
      <c r="W9" s="48">
        <f t="shared" si="2"/>
        <v>37085843.6202017</v>
      </c>
      <c r="X9" s="48">
        <f t="shared" si="3"/>
        <v>32.8450520552988</v>
      </c>
      <c r="Y9" s="48">
        <f t="shared" si="4"/>
        <v>64.9075357918271</v>
      </c>
      <c r="Z9" s="49" t="str">
        <f t="shared" si="5"/>
        <v/>
      </c>
      <c r="AA9" s="30" t="str">
        <f t="shared" si="6"/>
        <v>已计算</v>
      </c>
      <c r="AB9" s="30" t="str">
        <f t="shared" si="7"/>
        <v>有效</v>
      </c>
      <c r="AC9" s="30" t="str">
        <f t="shared" si="8"/>
        <v/>
      </c>
      <c r="AD9" s="31" t="s">
        <v>632</v>
      </c>
      <c r="AE9">
        <v>347000</v>
      </c>
      <c r="AF9">
        <f>INDEX(_统一战力!$B$2:$B$501,J9)</f>
        <v>802000</v>
      </c>
    </row>
    <row r="10" ht="25" customHeight="1" spans="1:32">
      <c r="A10" s="30" t="s">
        <v>150</v>
      </c>
      <c r="B10" s="30" t="s">
        <v>57</v>
      </c>
      <c r="C10" s="31" t="s">
        <v>622</v>
      </c>
      <c r="D10" s="31" t="s">
        <v>589</v>
      </c>
      <c r="E10" s="31" t="s">
        <v>633</v>
      </c>
      <c r="F10" s="30" t="s">
        <v>164</v>
      </c>
      <c r="G10" s="40">
        <v>180</v>
      </c>
      <c r="H10" s="41"/>
      <c r="I10" s="42">
        <f t="shared" si="0"/>
        <v>180</v>
      </c>
      <c r="J10" s="43">
        <v>241</v>
      </c>
      <c r="K10" s="44">
        <v>0.992571601701453</v>
      </c>
      <c r="L10" s="44">
        <v>1.02342753184361</v>
      </c>
      <c r="M10" s="44">
        <v>1</v>
      </c>
      <c r="N10" s="45"/>
      <c r="O10" s="45"/>
      <c r="P10" s="45"/>
      <c r="Q10" s="46">
        <f>IF($I10="","",IFERROR(INDEX(_玩家曲线!$H$2:$H$286,MATCH($I10,_玩家曲线!$A$2:$A$286,0)),""))</f>
        <v>1366279.85747347</v>
      </c>
      <c r="R10" s="46">
        <f>IF($I10="","",IFERROR(INDEX(_玩家曲线!$I$2:$I$286,MATCH($I10,_玩家曲线!$A$2:$A$286,0)),""))</f>
        <v>1924715.5377002</v>
      </c>
      <c r="S10" s="46">
        <f>IF(OR($J10="",$F10="不适用"),"",IFERROR(INDEX(_怪物模型!$D$2:$D$4501,(INT($J10)-1)*ROWS(_怪物类型!$A$2:$A$10)+MATCH($F10,_怪物类型!$A$2:$A$10,0))*IF($K10="",1,$K10),""))</f>
        <v>24604884.2340106</v>
      </c>
      <c r="T10" s="46">
        <f>IF(OR($J10="",$F10="不适用"),"",IFERROR(INDEX(_怪物模型!$E$2:$E$4501,(INT($J10)-1)*ROWS(_怪物类型!$A$2:$A$10)+MATCH($F10,_怪物类型!$A$2:$A$10,0))*IF($L10="",1,$L10),""))</f>
        <v>31260.5939601631</v>
      </c>
      <c r="U10" s="46">
        <f>IF(OR($J10="",$F10="不适用"),"",IFERROR(INDEX(_怪物模型!$F$2:$F$4501,(INT($J10)-1)*ROWS(_怪物类型!$A$2:$A$10)+MATCH($F10,_怪物类型!$A$2:$A$10,0))*IF($M10="",1,$M10),""))</f>
        <v>24396</v>
      </c>
      <c r="V10" s="47">
        <f t="shared" si="1"/>
        <v>0.504091247210513</v>
      </c>
      <c r="W10" s="48">
        <f t="shared" si="2"/>
        <v>49615749.0578823</v>
      </c>
      <c r="X10" s="48">
        <f t="shared" si="3"/>
        <v>36.3144847569018</v>
      </c>
      <c r="Y10" s="48">
        <f t="shared" si="4"/>
        <v>61.5700245540108</v>
      </c>
      <c r="Z10" s="49" t="str">
        <f t="shared" si="5"/>
        <v/>
      </c>
      <c r="AA10" s="30" t="str">
        <f t="shared" si="6"/>
        <v>已计算</v>
      </c>
      <c r="AB10" s="30" t="str">
        <f t="shared" si="7"/>
        <v>有效</v>
      </c>
      <c r="AC10" s="30" t="str">
        <f t="shared" si="8"/>
        <v/>
      </c>
      <c r="AD10" s="31" t="s">
        <v>634</v>
      </c>
      <c r="AE10">
        <v>426000</v>
      </c>
      <c r="AF10">
        <f>INDEX(_统一战力!$B$2:$B$501,J10)</f>
        <v>979000</v>
      </c>
    </row>
    <row r="11" ht="25" customHeight="1" spans="1:32">
      <c r="A11" s="30" t="s">
        <v>150</v>
      </c>
      <c r="B11" s="30" t="s">
        <v>57</v>
      </c>
      <c r="C11" s="31" t="s">
        <v>622</v>
      </c>
      <c r="D11" s="31" t="s">
        <v>592</v>
      </c>
      <c r="E11" s="31" t="s">
        <v>635</v>
      </c>
      <c r="F11" s="30" t="s">
        <v>164</v>
      </c>
      <c r="G11" s="40">
        <v>202</v>
      </c>
      <c r="H11" s="41"/>
      <c r="I11" s="42">
        <f t="shared" si="0"/>
        <v>202</v>
      </c>
      <c r="J11" s="43">
        <v>258</v>
      </c>
      <c r="K11" s="44">
        <v>0.988982179292714</v>
      </c>
      <c r="L11" s="44">
        <v>1.05281333148257</v>
      </c>
      <c r="M11" s="44">
        <v>1</v>
      </c>
      <c r="N11" s="45"/>
      <c r="O11" s="45"/>
      <c r="P11" s="45"/>
      <c r="Q11" s="46">
        <f>IF($I11="","",IFERROR(INDEX(_玩家曲线!$H$2:$H$286,MATCH($I11,_玩家曲线!$A$2:$A$286,0)),""))</f>
        <v>1622429.54423439</v>
      </c>
      <c r="R11" s="46">
        <f>IF($I11="","",IFERROR(INDEX(_玩家曲线!$I$2:$I$286,MATCH($I11,_玩家曲线!$A$2:$A$286,0)),""))</f>
        <v>2180057.5945393</v>
      </c>
      <c r="S11" s="46">
        <f>IF(OR($J11="",$F11="不适用"),"",IFERROR(INDEX(_怪物模型!$D$2:$D$4501,(INT($J11)-1)*ROWS(_怪物类型!$A$2:$A$10)+MATCH($F11,_怪物类型!$A$2:$A$10,0))*IF($K11="",1,$K11),""))</f>
        <v>29709685.3060489</v>
      </c>
      <c r="T11" s="46">
        <f>IF(OR($J11="",$F11="不适用"),"",IFERROR(INDEX(_怪物模型!$E$2:$E$4501,(INT($J11)-1)*ROWS(_怪物类型!$A$2:$A$10)+MATCH($F11,_怪物类型!$A$2:$A$10,0))*IF($L11="",1,$L11),""))</f>
        <v>36517.8832158044</v>
      </c>
      <c r="U11" s="46">
        <f>IF(OR($J11="",$F11="不适用"),"",IFERROR(INDEX(_怪物模型!$F$2:$F$4501,(INT($J11)-1)*ROWS(_怪物类型!$A$2:$A$10)+MATCH($F11,_怪物类型!$A$2:$A$10,0))*IF($M11="",1,$M11),""))</f>
        <v>26616</v>
      </c>
      <c r="V11" s="47">
        <f t="shared" si="1"/>
        <v>0.525841631104789</v>
      </c>
      <c r="W11" s="48">
        <f t="shared" si="2"/>
        <v>62657726.3104571</v>
      </c>
      <c r="X11" s="48">
        <f t="shared" si="3"/>
        <v>38.6196901635101</v>
      </c>
      <c r="Y11" s="48">
        <f t="shared" si="4"/>
        <v>59.6983560535569</v>
      </c>
      <c r="Z11" s="49" t="str">
        <f t="shared" si="5"/>
        <v/>
      </c>
      <c r="AA11" s="30" t="str">
        <f t="shared" si="6"/>
        <v>已计算</v>
      </c>
      <c r="AB11" s="30" t="str">
        <f t="shared" si="7"/>
        <v>有效</v>
      </c>
      <c r="AC11" s="30" t="str">
        <f t="shared" si="8"/>
        <v/>
      </c>
      <c r="AD11" s="31" t="s">
        <v>636</v>
      </c>
      <c r="AE11">
        <v>492000</v>
      </c>
      <c r="AF11">
        <f>INDEX(_统一战力!$B$2:$B$501,J11)</f>
        <v>1120000</v>
      </c>
    </row>
    <row r="12" ht="25" customHeight="1" spans="1:32">
      <c r="A12" s="30" t="s">
        <v>150</v>
      </c>
      <c r="B12" s="30" t="s">
        <v>57</v>
      </c>
      <c r="C12" s="31" t="s">
        <v>622</v>
      </c>
      <c r="D12" s="31" t="s">
        <v>595</v>
      </c>
      <c r="E12" s="31" t="s">
        <v>637</v>
      </c>
      <c r="F12" s="30" t="s">
        <v>164</v>
      </c>
      <c r="G12" s="40">
        <v>226</v>
      </c>
      <c r="H12" s="41"/>
      <c r="I12" s="42">
        <f t="shared" si="0"/>
        <v>226</v>
      </c>
      <c r="J12" s="43">
        <v>275</v>
      </c>
      <c r="K12" s="44">
        <v>0.974640081454633</v>
      </c>
      <c r="L12" s="44">
        <v>1.07385458010427</v>
      </c>
      <c r="M12" s="44">
        <v>1</v>
      </c>
      <c r="N12" s="45"/>
      <c r="O12" s="45"/>
      <c r="P12" s="45"/>
      <c r="Q12" s="46">
        <f>IF($I12="","",IFERROR(INDEX(_玩家曲线!$H$2:$H$286,MATCH($I12,_玩家曲线!$A$2:$A$286,0)),""))</f>
        <v>1893559.36803586</v>
      </c>
      <c r="R12" s="46">
        <f>IF($I12="","",IFERROR(INDEX(_玩家曲线!$I$2:$I$286,MATCH($I12,_玩家曲线!$A$2:$A$286,0)),""))</f>
        <v>2437067.78239048</v>
      </c>
      <c r="S12" s="46">
        <f>IF(OR($J12="",$F12="不适用"),"",IFERROR(INDEX(_怪物模型!$D$2:$D$4501,(INT($J12)-1)*ROWS(_怪物类型!$A$2:$A$10)+MATCH($F12,_怪物类型!$A$2:$A$10,0))*IF($K12="",1,$K12),""))</f>
        <v>35191699.7843134</v>
      </c>
      <c r="T12" s="46">
        <f>IF(OR($J12="",$F12="不适用"),"",IFERROR(INDEX(_怪物模型!$E$2:$E$4501,(INT($J12)-1)*ROWS(_怪物类型!$A$2:$A$10)+MATCH($F12,_怪物类型!$A$2:$A$10,0))*IF($L12="",1,$L12),""))</f>
        <v>42115.5027771094</v>
      </c>
      <c r="U12" s="46">
        <f>IF(OR($J12="",$F12="不适用"),"",IFERROR(INDEX(_怪物模型!$F$2:$F$4501,(INT($J12)-1)*ROWS(_怪物类型!$A$2:$A$10)+MATCH($F12,_怪物类型!$A$2:$A$10,0))*IF($M12="",1,$M12),""))</f>
        <v>28901</v>
      </c>
      <c r="V12" s="47">
        <f t="shared" si="1"/>
        <v>0.546322375758492</v>
      </c>
      <c r="W12" s="48">
        <f t="shared" si="2"/>
        <v>77569837.9287484</v>
      </c>
      <c r="X12" s="48">
        <f t="shared" si="3"/>
        <v>40.9650942231664</v>
      </c>
      <c r="Y12" s="48">
        <f t="shared" si="4"/>
        <v>57.8662872740314</v>
      </c>
      <c r="Z12" s="49" t="str">
        <f t="shared" si="5"/>
        <v/>
      </c>
      <c r="AA12" s="30" t="str">
        <f t="shared" si="6"/>
        <v>已计算</v>
      </c>
      <c r="AB12" s="30" t="str">
        <f t="shared" si="7"/>
        <v>有效</v>
      </c>
      <c r="AC12" s="30" t="str">
        <f t="shared" si="8"/>
        <v/>
      </c>
      <c r="AD12" s="31" t="s">
        <v>638</v>
      </c>
      <c r="AE12">
        <v>569000</v>
      </c>
      <c r="AF12">
        <f>INDEX(_统一战力!$B$2:$B$501,J12)</f>
        <v>1270000</v>
      </c>
    </row>
    <row r="13" ht="25" customHeight="1" spans="1:32">
      <c r="A13" s="30" t="s">
        <v>150</v>
      </c>
      <c r="B13" s="30" t="s">
        <v>57</v>
      </c>
      <c r="C13" s="31" t="s">
        <v>622</v>
      </c>
      <c r="D13" s="31" t="s">
        <v>598</v>
      </c>
      <c r="E13" s="31" t="s">
        <v>639</v>
      </c>
      <c r="F13" s="30" t="s">
        <v>164</v>
      </c>
      <c r="G13" s="40">
        <v>252</v>
      </c>
      <c r="H13" s="41"/>
      <c r="I13" s="42">
        <f t="shared" si="0"/>
        <v>252</v>
      </c>
      <c r="J13" s="43">
        <v>292</v>
      </c>
      <c r="K13" s="44">
        <v>0.962898761335162</v>
      </c>
      <c r="L13" s="44">
        <v>1.09553933422662</v>
      </c>
      <c r="M13" s="44">
        <v>1</v>
      </c>
      <c r="N13" s="45"/>
      <c r="O13" s="45"/>
      <c r="P13" s="45"/>
      <c r="Q13" s="46">
        <f>IF($I13="","",IFERROR(INDEX(_玩家曲线!$H$2:$H$286,MATCH($I13,_玩家曲线!$A$2:$A$286,0)),""))</f>
        <v>2187097.54412049</v>
      </c>
      <c r="R13" s="46">
        <f>IF($I13="","",IFERROR(INDEX(_玩家曲线!$I$2:$I$286,MATCH($I13,_玩家曲线!$A$2:$A$286,0)),""))</f>
        <v>2702546.22836956</v>
      </c>
      <c r="S13" s="46">
        <f>IF(OR($J13="",$F13="不适用"),"",IFERROR(INDEX(_怪物模型!$D$2:$D$4501,(INT($J13)-1)*ROWS(_怪物类型!$A$2:$A$10)+MATCH($F13,_怪物类型!$A$2:$A$10,0))*IF($K13="",1,$K13),""))</f>
        <v>41485044.9323884</v>
      </c>
      <c r="T13" s="46">
        <f>IF(OR($J13="",$F13="不适用"),"",IFERROR(INDEX(_怪物模型!$E$2:$E$4501,(INT($J13)-1)*ROWS(_怪物类型!$A$2:$A$10)+MATCH($F13,_怪物类型!$A$2:$A$10,0))*IF($L13="",1,$L13),""))</f>
        <v>48400.9277861321</v>
      </c>
      <c r="U13" s="46">
        <f>IF(OR($J13="",$F13="不适用"),"",IFERROR(INDEX(_怪物模型!$F$2:$F$4501,(INT($J13)-1)*ROWS(_怪物类型!$A$2:$A$10)+MATCH($F13,_怪物类型!$A$2:$A$10,0))*IF($M13="",1,$M13),""))</f>
        <v>31252</v>
      </c>
      <c r="V13" s="47">
        <f t="shared" si="1"/>
        <v>0.56562658365308</v>
      </c>
      <c r="W13" s="48">
        <f t="shared" si="2"/>
        <v>95505487.6085135</v>
      </c>
      <c r="X13" s="48">
        <f t="shared" si="3"/>
        <v>43.6676854515511</v>
      </c>
      <c r="Y13" s="48">
        <f t="shared" si="4"/>
        <v>55.8366616506037</v>
      </c>
      <c r="Z13" s="49" t="str">
        <f t="shared" si="5"/>
        <v/>
      </c>
      <c r="AA13" s="30" t="str">
        <f t="shared" si="6"/>
        <v>已计算</v>
      </c>
      <c r="AB13" s="30" t="str">
        <f t="shared" si="7"/>
        <v>有效</v>
      </c>
      <c r="AC13" s="30" t="str">
        <f t="shared" si="8"/>
        <v/>
      </c>
      <c r="AD13" s="31" t="s">
        <v>640</v>
      </c>
      <c r="AE13">
        <v>640000</v>
      </c>
      <c r="AF13">
        <f>INDEX(_统一战力!$B$2:$B$501,J13)</f>
        <v>1410000</v>
      </c>
    </row>
    <row r="14" ht="25" customHeight="1" spans="1:32">
      <c r="A14" s="30" t="s">
        <v>150</v>
      </c>
      <c r="B14" s="30" t="s">
        <v>57</v>
      </c>
      <c r="C14" s="31" t="s">
        <v>622</v>
      </c>
      <c r="D14" s="31" t="s">
        <v>641</v>
      </c>
      <c r="E14" s="31" t="s">
        <v>642</v>
      </c>
      <c r="F14" s="30" t="s">
        <v>164</v>
      </c>
      <c r="G14" s="40">
        <v>279</v>
      </c>
      <c r="H14" s="41"/>
      <c r="I14" s="42">
        <f t="shared" si="0"/>
        <v>279</v>
      </c>
      <c r="J14" s="43">
        <v>312</v>
      </c>
      <c r="K14" s="44">
        <v>0.959812363969416</v>
      </c>
      <c r="L14" s="44">
        <v>1.12491355634151</v>
      </c>
      <c r="M14" s="44">
        <v>1</v>
      </c>
      <c r="N14" s="45"/>
      <c r="O14" s="45"/>
      <c r="P14" s="45"/>
      <c r="Q14" s="46">
        <f>IF($I14="","",IFERROR(INDEX(_玩家曲线!$H$2:$H$286,MATCH($I14,_玩家曲线!$A$2:$A$286,0)),""))</f>
        <v>2497204.47172539</v>
      </c>
      <c r="R14" s="46">
        <f>IF($I14="","",IFERROR(INDEX(_玩家曲线!$I$2:$I$286,MATCH($I14,_玩家曲线!$A$2:$A$286,0)),""))</f>
        <v>2970822.69299639</v>
      </c>
      <c r="S14" s="46">
        <f>IF(OR($J14="",$F14="不适用"),"",IFERROR(INDEX(_怪物模型!$D$2:$D$4501,(INT($J14)-1)*ROWS(_怪物类型!$A$2:$A$10)+MATCH($F14,_怪物类型!$A$2:$A$10,0))*IF($K14="",1,$K14),""))</f>
        <v>50481266.0157307</v>
      </c>
      <c r="T14" s="46">
        <f>IF(OR($J14="",$F14="不适用"),"",IFERROR(INDEX(_怪物模型!$E$2:$E$4501,(INT($J14)-1)*ROWS(_怪物类型!$A$2:$A$10)+MATCH($F14,_怪物类型!$A$2:$A$10,0))*IF($L14="",1,$L14),""))</f>
        <v>56933.0000000002</v>
      </c>
      <c r="U14" s="46">
        <f>IF(OR($J14="",$F14="不适用"),"",IFERROR(INDEX(_怪物模型!$F$2:$F$4501,(INT($J14)-1)*ROWS(_怪物类型!$A$2:$A$10)+MATCH($F14,_怪物类型!$A$2:$A$10,0))*IF($M14="",1,$M14),""))</f>
        <v>34103</v>
      </c>
      <c r="V14" s="47">
        <f t="shared" si="1"/>
        <v>0.586940433368329</v>
      </c>
      <c r="W14" s="48">
        <f t="shared" si="2"/>
        <v>122213041.638</v>
      </c>
      <c r="X14" s="48">
        <f t="shared" si="3"/>
        <v>48.9399418516817</v>
      </c>
      <c r="Y14" s="48">
        <f t="shared" si="4"/>
        <v>52.1810319673367</v>
      </c>
      <c r="Z14" s="49" t="str">
        <f t="shared" si="5"/>
        <v/>
      </c>
      <c r="AA14" s="30" t="str">
        <f t="shared" si="6"/>
        <v>已计算</v>
      </c>
      <c r="AB14" s="30" t="str">
        <f t="shared" si="7"/>
        <v>有效</v>
      </c>
      <c r="AC14" s="30" t="str">
        <f t="shared" si="8"/>
        <v/>
      </c>
      <c r="AD14" s="31" t="s">
        <v>643</v>
      </c>
      <c r="AE14">
        <v>743000</v>
      </c>
      <c r="AF14">
        <f>INDEX(_统一战力!$B$2:$B$501,J14)</f>
        <v>1560000</v>
      </c>
    </row>
  </sheetData>
  <mergeCells count="3">
    <mergeCell ref="A1:AD1"/>
    <mergeCell ref="A2:AD2"/>
    <mergeCell ref="A3:AD3"/>
  </mergeCells>
  <conditionalFormatting sqref="J5:J14">
    <cfRule type="expression" dxfId="2" priority="1">
      <formula>AND($A5&lt;&gt;"特殊：双方属性对算",$J5="")</formula>
    </cfRule>
  </conditionalFormatting>
  <conditionalFormatting sqref="AA5:AA14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14">
    <cfRule type="expression" dxfId="4" priority="2">
      <formula>$AB5="超范围"</formula>
    </cfRule>
  </conditionalFormatting>
  <conditionalFormatting sqref="AC5:AC14">
    <cfRule type="expression" dxfId="4" priority="7">
      <formula>$AC5="下降"</formula>
    </cfRule>
  </conditionalFormatting>
  <dataValidations count="5">
    <dataValidation type="list" sqref="F5:F14">
      <formula1>_字典!$A$2:$A$11</formula1>
    </dataValidation>
    <dataValidation type="whole" operator="between" allowBlank="1" sqref="H5:H14">
      <formula1>1</formula1>
      <formula2>285</formula2>
    </dataValidation>
    <dataValidation type="whole" operator="between" allowBlank="1" sqref="J5:J14">
      <formula1>1</formula1>
      <formula2>500</formula2>
    </dataValidation>
    <dataValidation type="decimal" operator="between" allowBlank="1" sqref="P5:P14">
      <formula1>0.01</formula1>
      <formula2>3600</formula2>
    </dataValidation>
    <dataValidation type="decimal" operator="between" allowBlank="1" sqref="K5:O14">
      <formula1>0</formula1>
      <formula2>100</formula2>
    </dataValidation>
  </dataValidations>
  <hyperlinks>
    <hyperlink ref="A1" r:id="rId4" display="全玩法难度填写｜旅券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</sheetPr>
  <dimension ref="A1:AI34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  <col min="31" max="32" width="22" customWidth="1"/>
    <col min="33" max="35" width="19" customWidth="1"/>
  </cols>
  <sheetData>
    <row r="1" ht="34" customHeight="1" spans="1:35">
      <c r="A1" s="26" t="s">
        <v>644</v>
      </c>
    </row>
    <row r="2" ht="30" customHeight="1" spans="1:35">
      <c r="A2" s="27" t="s">
        <v>645</v>
      </c>
    </row>
    <row r="3" ht="14.25" customHeight="1" spans="1:35">
      <c r="A3" s="28" t="s">
        <v>120</v>
      </c>
    </row>
    <row r="4" ht="36" customHeight="1" spans="1:35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  <c r="AE4" s="8" t="s">
        <v>148</v>
      </c>
      <c r="AF4" s="8" t="s">
        <v>149</v>
      </c>
      <c r="AG4" s="50" t="s">
        <v>646</v>
      </c>
      <c r="AH4" s="50" t="s">
        <v>647</v>
      </c>
      <c r="AI4" s="50" t="s">
        <v>648</v>
      </c>
    </row>
    <row r="5" ht="25" customHeight="1" spans="1:35">
      <c r="A5" s="30" t="s">
        <v>150</v>
      </c>
      <c r="B5" s="30" t="s">
        <v>58</v>
      </c>
      <c r="C5" s="31" t="s">
        <v>649</v>
      </c>
      <c r="D5" s="31" t="s">
        <v>573</v>
      </c>
      <c r="E5" s="31" t="s">
        <v>650</v>
      </c>
      <c r="F5" s="30" t="s">
        <v>651</v>
      </c>
      <c r="G5" s="40">
        <v>24</v>
      </c>
      <c r="H5" s="41"/>
      <c r="I5" s="42">
        <f t="shared" ref="I5:I34" si="0">IF($H5="",$G5,$H5)</f>
        <v>24</v>
      </c>
      <c r="J5" s="51">
        <f>映射等级节点!C2</f>
        <v>23</v>
      </c>
      <c r="K5" s="44">
        <v>1.21078110769917</v>
      </c>
      <c r="L5" s="44">
        <v>0.747093023255814</v>
      </c>
      <c r="M5" s="44">
        <v>1</v>
      </c>
      <c r="N5" s="45"/>
      <c r="O5" s="45"/>
      <c r="P5" s="45"/>
      <c r="Q5" s="46">
        <f>IF($I5="","",IFERROR(INDEX(_玩家曲线!$H$2:$H$286,MATCH($I5,_玩家曲线!$A$2:$A$286,0)),""))</f>
        <v>26573.2561562461</v>
      </c>
      <c r="R5" s="46">
        <f>IF($I5="","",IFERROR(INDEX(_玩家曲线!$I$2:$I$286,MATCH($I5,_玩家曲线!$A$2:$A$286,0)),""))</f>
        <v>79813.0282432992</v>
      </c>
      <c r="S5" s="46">
        <f>IF(OR($J5="",$F5="不适用"),"",IFERROR(INDEX(_怪物模型!$D$2:$D$4501,(INT($J5)-1)*ROWS(_怪物类型!$A$2:$A$10)+MATCH($F5,_怪物类型!$A$2:$A$10,0))*IF($K5="",1,$K5),""))</f>
        <v>175333.212205917</v>
      </c>
      <c r="T5" s="46">
        <f>IF(OR($J5="",$F5="不适用"),"",IFERROR(INDEX(_怪物模型!$E$2:$E$4501,(INT($J5)-1)*ROWS(_怪物类型!$A$2:$A$10)+MATCH($F5,_怪物类型!$A$2:$A$10,0))*IF($L5="",1,$L5),""))</f>
        <v>1028</v>
      </c>
      <c r="U5" s="46">
        <f>IF(OR($J5="",$F5="不适用"),"",IFERROR(INDEX(_怪物模型!$F$2:$F$4501,(INT($J5)-1)*ROWS(_怪物类型!$A$2:$A$10)+MATCH($F5,_怪物类型!$A$2:$A$10,0))*IF($M5="",1,$M5),""))</f>
        <v>1758</v>
      </c>
      <c r="V5" s="47">
        <f t="shared" ref="V5:V34" si="1">IF($U5="","",MIN(0.75,$U5/($U5+24000)))</f>
        <v>0.0682506405776846</v>
      </c>
      <c r="W5" s="48">
        <f t="shared" ref="W5:W34" si="2">IF($S5="","",$S5/(1-$V5)*IF($N5="",1,$N5))</f>
        <v>188176.37</v>
      </c>
      <c r="X5" s="48">
        <f t="shared" ref="X5:X34" si="3">IF(OR($W5="",$Q5="",$Q5=0),"",$W5/$Q5)</f>
        <v>7.081419337305</v>
      </c>
      <c r="Y5" s="48">
        <f t="shared" ref="Y5:Y34" si="4">IF(OR($R5="",$T5="",$T5=0),"",$R5/($T5*IF($O5="",1,$O5)))</f>
        <v>77.6391325323922</v>
      </c>
      <c r="Z5" s="49" t="str">
        <f t="shared" ref="Z5:Z34" si="5">IF(OR($X5="",$P5="",$P5=0),"",$X5/$P5)</f>
        <v/>
      </c>
      <c r="AA5" s="30" t="str">
        <f t="shared" ref="AA5:AA34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 t="shared" ref="AB5:AB34" si="7">IF($J5="","待填",IF(AND(ISNUMBER($J5),$J5&gt;=1,$J5&lt;=500,MOD($J5,1)=0),"有效","超范围"))</f>
        <v>有效</v>
      </c>
      <c r="AC5" s="30" t="str">
        <f t="shared" ref="AC5:AC34" si="8">IF(OR($J5="",ROW()=5,$B5&lt;&gt;$B4,$J4=""),"",IF($J5&lt;$J4,"下降",""))</f>
        <v/>
      </c>
      <c r="AD5" s="31" t="s">
        <v>652</v>
      </c>
      <c r="AE5">
        <v>10100</v>
      </c>
      <c r="AF5">
        <f>INDEX(_统一战力!$B$2:$B$501,J5)</f>
        <v>13500</v>
      </c>
      <c r="AG5">
        <f>IF(INDEX(_统一战力!$D$2:$D$280,MATCH(I5,_统一战力!$C$2:$C$280,0))&gt;0,ROUND(INDEX(_统一战力!$D$2:$D$280,MATCH(I5,_统一战力!$C$2:$C$280,0)),-MAX(0,INT(LOG10(INDEX(_统一战力!$D$2:$D$280,MATCH(I5,_统一战力!$C$2:$C$280,0))))-2)),0)</f>
        <v>35500</v>
      </c>
      <c r="AH5" s="18">
        <f>推荐战力参数!$B$4</f>
        <v>0.5</v>
      </c>
      <c r="AI5">
        <f t="shared" ref="AI5:AI34" si="9">AG5*AH5</f>
        <v>17750</v>
      </c>
    </row>
    <row r="6" ht="25" customHeight="1" spans="1:35">
      <c r="A6" s="30" t="s">
        <v>150</v>
      </c>
      <c r="B6" s="30" t="s">
        <v>58</v>
      </c>
      <c r="C6" s="31" t="s">
        <v>649</v>
      </c>
      <c r="D6" s="31" t="s">
        <v>576</v>
      </c>
      <c r="E6" s="31" t="s">
        <v>653</v>
      </c>
      <c r="F6" s="30" t="s">
        <v>651</v>
      </c>
      <c r="G6" s="40">
        <v>29</v>
      </c>
      <c r="H6" s="41"/>
      <c r="I6" s="42">
        <f t="shared" si="0"/>
        <v>29</v>
      </c>
      <c r="J6" s="51">
        <f>映射等级节点!C3</f>
        <v>30</v>
      </c>
      <c r="K6" s="44">
        <v>1.17720882621358</v>
      </c>
      <c r="L6" s="44">
        <v>0.744081354282956</v>
      </c>
      <c r="M6" s="44">
        <v>1</v>
      </c>
      <c r="N6" s="45"/>
      <c r="O6" s="45"/>
      <c r="P6" s="45"/>
      <c r="Q6" s="46">
        <f>IF($I6="","",IFERROR(INDEX(_玩家曲线!$H$2:$H$286,MATCH($I6,_玩家曲线!$A$2:$A$286,0)),""))</f>
        <v>34979.1578961386</v>
      </c>
      <c r="R6" s="46">
        <f>IF($I6="","",IFERROR(INDEX(_玩家曲线!$I$2:$I$286,MATCH($I6,_玩家曲线!$A$2:$A$286,0)),""))</f>
        <v>101159.979251687</v>
      </c>
      <c r="S6" s="46">
        <f>IF(OR($J6="",$F6="不适用"),"",IFERROR(INDEX(_怪物模型!$D$2:$D$4501,(INT($J6)-1)*ROWS(_怪物类型!$A$2:$A$10)+MATCH($F6,_怪物类型!$A$2:$A$10,0))*IF($K6="",1,$K6),""))</f>
        <v>234272.796878286</v>
      </c>
      <c r="T6" s="46">
        <f>IF(OR($J6="",$F6="不适用"),"",IFERROR(INDEX(_怪物模型!$E$2:$E$4501,(INT($J6)-1)*ROWS(_怪物类型!$A$2:$A$10)+MATCH($F6,_怪物类型!$A$2:$A$10,0))*IF($L6="",1,$L6),""))</f>
        <v>1367.62152917207</v>
      </c>
      <c r="U6" s="46">
        <f>IF(OR($J6="",$F6="不适用"),"",IFERROR(INDEX(_怪物模型!$F$2:$F$4501,(INT($J6)-1)*ROWS(_怪物类型!$A$2:$A$10)+MATCH($F6,_怪物类型!$A$2:$A$10,0))*IF($M6="",1,$M6),""))</f>
        <v>2317</v>
      </c>
      <c r="V6" s="47">
        <f t="shared" si="1"/>
        <v>0.0880419500702968</v>
      </c>
      <c r="W6" s="48">
        <f t="shared" si="2"/>
        <v>256889.883143577</v>
      </c>
      <c r="X6" s="48">
        <f t="shared" si="3"/>
        <v>7.34408426601761</v>
      </c>
      <c r="Y6" s="48">
        <f t="shared" si="4"/>
        <v>73.9678171876447</v>
      </c>
      <c r="Z6" s="49" t="str">
        <f t="shared" si="5"/>
        <v/>
      </c>
      <c r="AA6" s="30" t="str">
        <f t="shared" si="6"/>
        <v>已计算</v>
      </c>
      <c r="AB6" s="30" t="str">
        <f t="shared" si="7"/>
        <v>有效</v>
      </c>
      <c r="AC6" s="30" t="str">
        <f t="shared" si="8"/>
        <v/>
      </c>
      <c r="AD6" s="31" t="s">
        <v>654</v>
      </c>
      <c r="AE6">
        <v>12300</v>
      </c>
      <c r="AF6">
        <f>INDEX(_统一战力!$B$2:$B$501,J6)</f>
        <v>18200</v>
      </c>
      <c r="AG6">
        <f>IF(INDEX(_统一战力!$D$2:$D$280,MATCH(I6,_统一战力!$C$2:$C$280,0))&gt;0,ROUND(INDEX(_统一战力!$D$2:$D$280,MATCH(I6,_统一战力!$C$2:$C$280,0)),-MAX(0,INT(LOG10(INDEX(_统一战力!$D$2:$D$280,MATCH(I6,_统一战力!$C$2:$C$280,0))))-2)),0)</f>
        <v>45400</v>
      </c>
      <c r="AH6" s="18">
        <f>推荐战力参数!$B$4</f>
        <v>0.5</v>
      </c>
      <c r="AI6">
        <f t="shared" si="9"/>
        <v>22700</v>
      </c>
    </row>
    <row r="7" ht="25" customHeight="1" spans="1:35">
      <c r="A7" s="30" t="s">
        <v>150</v>
      </c>
      <c r="B7" s="30" t="s">
        <v>58</v>
      </c>
      <c r="C7" s="31" t="s">
        <v>649</v>
      </c>
      <c r="D7" s="31" t="s">
        <v>579</v>
      </c>
      <c r="E7" s="31" t="s">
        <v>655</v>
      </c>
      <c r="F7" s="30" t="s">
        <v>651</v>
      </c>
      <c r="G7" s="40">
        <v>36</v>
      </c>
      <c r="H7" s="41"/>
      <c r="I7" s="42">
        <f t="shared" si="0"/>
        <v>36</v>
      </c>
      <c r="J7" s="51">
        <f>映射等级节点!C4</f>
        <v>33</v>
      </c>
      <c r="K7" s="44">
        <v>1.18020954502231</v>
      </c>
      <c r="L7" s="44">
        <v>0.748409114069851</v>
      </c>
      <c r="M7" s="44">
        <v>1</v>
      </c>
      <c r="N7" s="45"/>
      <c r="O7" s="45"/>
      <c r="P7" s="45"/>
      <c r="Q7" s="46">
        <f>IF($I7="","",IFERROR(INDEX(_玩家曲线!$H$2:$H$286,MATCH($I7,_玩家曲线!$A$2:$A$286,0)),""))</f>
        <v>49292.692507259</v>
      </c>
      <c r="R7" s="46">
        <f>IF($I7="","",IFERROR(INDEX(_玩家曲线!$I$2:$I$286,MATCH($I7,_玩家曲线!$A$2:$A$286,0)),""))</f>
        <v>132853.171023986</v>
      </c>
      <c r="S7" s="46">
        <f>IF(OR($J7="",$F7="不适用"),"",IFERROR(INDEX(_怪物模型!$D$2:$D$4501,(INT($J7)-1)*ROWS(_怪物类型!$A$2:$A$10)+MATCH($F7,_怪物类型!$A$2:$A$10,0))*IF($K7="",1,$K7),""))</f>
        <v>264966.484533869</v>
      </c>
      <c r="T7" s="46">
        <f>IF(OR($J7="",$F7="不适用"),"",IFERROR(INDEX(_怪物模型!$E$2:$E$4501,(INT($J7)-1)*ROWS(_怪物类型!$A$2:$A$10)+MATCH($F7,_怪物类型!$A$2:$A$10,0))*IF($L7="",1,$L7),""))</f>
        <v>1528.99982004471</v>
      </c>
      <c r="U7" s="46">
        <f>IF(OR($J7="",$F7="不适用"),"",IFERROR(INDEX(_怪物模型!$F$2:$F$4501,(INT($J7)-1)*ROWS(_怪物类型!$A$2:$A$10)+MATCH($F7,_怪物类型!$A$2:$A$10,0))*IF($M7="",1,$M7),""))</f>
        <v>2560</v>
      </c>
      <c r="V7" s="47">
        <f t="shared" si="1"/>
        <v>0.0963855421686747</v>
      </c>
      <c r="W7" s="48">
        <f t="shared" si="2"/>
        <v>293229.576217481</v>
      </c>
      <c r="X7" s="48">
        <f t="shared" si="3"/>
        <v>5.948743339072</v>
      </c>
      <c r="Y7" s="48">
        <f t="shared" si="4"/>
        <v>86.8889382996145</v>
      </c>
      <c r="Z7" s="49" t="str">
        <f t="shared" si="5"/>
        <v/>
      </c>
      <c r="AA7" s="30" t="str">
        <f t="shared" si="6"/>
        <v>已计算</v>
      </c>
      <c r="AB7" s="30" t="str">
        <f t="shared" si="7"/>
        <v>有效</v>
      </c>
      <c r="AC7" s="30" t="str">
        <f t="shared" si="8"/>
        <v/>
      </c>
      <c r="AD7" s="31" t="s">
        <v>656</v>
      </c>
      <c r="AE7">
        <v>13500</v>
      </c>
      <c r="AF7">
        <f>INDEX(_统一战力!$B$2:$B$501,J7)</f>
        <v>21400</v>
      </c>
      <c r="AG7">
        <f>IF(INDEX(_统一战力!$D$2:$D$280,MATCH(I7,_统一战力!$C$2:$C$280,0))&gt;0,ROUND(INDEX(_统一战力!$D$2:$D$280,MATCH(I7,_统一战力!$C$2:$C$280,0)),-MAX(0,INT(LOG10(INDEX(_统一战力!$D$2:$D$280,MATCH(I7,_统一战力!$C$2:$C$280,0))))-2)),0)</f>
        <v>62400</v>
      </c>
      <c r="AH7" s="18">
        <f>推荐战力参数!$B$4</f>
        <v>0.5</v>
      </c>
      <c r="AI7">
        <f t="shared" si="9"/>
        <v>31200</v>
      </c>
    </row>
    <row r="8" ht="25" customHeight="1" spans="1:35">
      <c r="A8" s="30" t="s">
        <v>150</v>
      </c>
      <c r="B8" s="30" t="s">
        <v>58</v>
      </c>
      <c r="C8" s="31" t="s">
        <v>649</v>
      </c>
      <c r="D8" s="31" t="s">
        <v>582</v>
      </c>
      <c r="E8" s="31" t="s">
        <v>657</v>
      </c>
      <c r="F8" s="30" t="s">
        <v>651</v>
      </c>
      <c r="G8" s="40">
        <v>43</v>
      </c>
      <c r="H8" s="41"/>
      <c r="I8" s="42">
        <f t="shared" si="0"/>
        <v>43</v>
      </c>
      <c r="J8" s="51">
        <f>映射等级节点!C5</f>
        <v>38</v>
      </c>
      <c r="K8" s="44">
        <v>1.17460796583434</v>
      </c>
      <c r="L8" s="44">
        <v>0.741168613880481</v>
      </c>
      <c r="M8" s="44">
        <v>1</v>
      </c>
      <c r="N8" s="45"/>
      <c r="O8" s="45"/>
      <c r="P8" s="45"/>
      <c r="Q8" s="46">
        <f>IF($I8="","",IFERROR(INDEX(_玩家曲线!$H$2:$H$286,MATCH($I8,_玩家曲线!$A$2:$A$286,0)),""))</f>
        <v>70257.6309570927</v>
      </c>
      <c r="R8" s="46">
        <f>IF($I8="","",IFERROR(INDEX(_玩家曲线!$I$2:$I$286,MATCH($I8,_玩家曲线!$A$2:$A$286,0)),""))</f>
        <v>176619.321141999</v>
      </c>
      <c r="S8" s="46">
        <f>IF(OR($J8="",$F8="不适用"),"",IFERROR(INDEX(_怪物模型!$D$2:$D$4501,(INT($J8)-1)*ROWS(_怪物类型!$A$2:$A$10)+MATCH($F8,_怪物类型!$A$2:$A$10,0))*IF($K8="",1,$K8),""))</f>
        <v>317968.725567288</v>
      </c>
      <c r="T8" s="46">
        <f>IF(OR($J8="",$F8="不适用"),"",IFERROR(INDEX(_怪物模型!$E$2:$E$4501,(INT($J8)-1)*ROWS(_怪物类型!$A$2:$A$10)+MATCH($F8,_怪物类型!$A$2:$A$10,0))*IF($L8="",1,$L8),""))</f>
        <v>1773.61649301599</v>
      </c>
      <c r="U8" s="46">
        <f>IF(OR($J8="",$F8="不适用"),"",IFERROR(INDEX(_怪物模型!$F$2:$F$4501,(INT($J8)-1)*ROWS(_怪物类型!$A$2:$A$10)+MATCH($F8,_怪物类型!$A$2:$A$10,0))*IF($M8="",1,$M8),""))</f>
        <v>2969</v>
      </c>
      <c r="V8" s="47">
        <f t="shared" si="1"/>
        <v>0.110089361859913</v>
      </c>
      <c r="W8" s="48">
        <f t="shared" si="2"/>
        <v>357304.106659341</v>
      </c>
      <c r="X8" s="48">
        <f t="shared" si="3"/>
        <v>5.08562702430931</v>
      </c>
      <c r="Y8" s="48">
        <f t="shared" si="4"/>
        <v>99.5814607258541</v>
      </c>
      <c r="Z8" s="49" t="str">
        <f t="shared" si="5"/>
        <v/>
      </c>
      <c r="AA8" s="30" t="str">
        <f t="shared" si="6"/>
        <v>已计算</v>
      </c>
      <c r="AB8" s="30" t="str">
        <f t="shared" si="7"/>
        <v>有效</v>
      </c>
      <c r="AC8" s="30" t="str">
        <f t="shared" si="8"/>
        <v/>
      </c>
      <c r="AD8" s="31" t="s">
        <v>658</v>
      </c>
      <c r="AE8">
        <v>16000</v>
      </c>
      <c r="AF8">
        <f>INDEX(_统一战力!$B$2:$B$501,J8)</f>
        <v>27800</v>
      </c>
      <c r="AG8">
        <f>IF(INDEX(_统一战力!$D$2:$D$280,MATCH(I8,_统一战力!$C$2:$C$280,0))&gt;0,ROUND(INDEX(_统一战力!$D$2:$D$280,MATCH(I8,_统一战力!$C$2:$C$280,0)),-MAX(0,INT(LOG10(INDEX(_统一战力!$D$2:$D$280,MATCH(I8,_统一战力!$C$2:$C$280,0))))-2)),0)</f>
        <v>87000</v>
      </c>
      <c r="AH8" s="18">
        <f>推荐战力参数!$B$4</f>
        <v>0.5</v>
      </c>
      <c r="AI8">
        <f t="shared" si="9"/>
        <v>43500</v>
      </c>
    </row>
    <row r="9" ht="25" customHeight="1" spans="1:35">
      <c r="A9" s="30" t="s">
        <v>150</v>
      </c>
      <c r="B9" s="30" t="s">
        <v>58</v>
      </c>
      <c r="C9" s="31" t="s">
        <v>649</v>
      </c>
      <c r="D9" s="31" t="s">
        <v>585</v>
      </c>
      <c r="E9" s="31" t="s">
        <v>659</v>
      </c>
      <c r="F9" s="30" t="s">
        <v>651</v>
      </c>
      <c r="G9" s="40">
        <v>50</v>
      </c>
      <c r="H9" s="41"/>
      <c r="I9" s="42">
        <f t="shared" si="0"/>
        <v>50</v>
      </c>
      <c r="J9" s="51">
        <f>映射等级节点!C6</f>
        <v>46</v>
      </c>
      <c r="K9" s="44">
        <v>1.14596876131196</v>
      </c>
      <c r="L9" s="44">
        <v>0.730743580765173</v>
      </c>
      <c r="M9" s="44">
        <v>1</v>
      </c>
      <c r="N9" s="45"/>
      <c r="O9" s="45"/>
      <c r="P9" s="45"/>
      <c r="Q9" s="46">
        <f>IF($I9="","",IFERROR(INDEX(_玩家曲线!$H$2:$H$286,MATCH($I9,_玩家曲线!$A$2:$A$286,0)),""))</f>
        <v>99275.8918555477</v>
      </c>
      <c r="R9" s="46">
        <f>IF($I9="","",IFERROR(INDEX(_玩家曲线!$I$2:$I$286,MATCH($I9,_玩家曲线!$A$2:$A$286,0)),""))</f>
        <v>233634.331383281</v>
      </c>
      <c r="S9" s="46">
        <f>IF(OR($J9="",$F9="不适用"),"",IFERROR(INDEX(_怪物模型!$D$2:$D$4501,(INT($J9)-1)*ROWS(_怪物类型!$A$2:$A$10)+MATCH($F9,_怪物类型!$A$2:$A$10,0))*IF($K9="",1,$K9),""))</f>
        <v>407566.081898121</v>
      </c>
      <c r="T9" s="46">
        <f>IF(OR($J9="",$F9="不适用"),"",IFERROR(INDEX(_怪物模型!$E$2:$E$4501,(INT($J9)-1)*ROWS(_怪物类型!$A$2:$A$10)+MATCH($F9,_怪物类型!$A$2:$A$10,0))*IF($L9="",1,$L9),""))</f>
        <v>2176.15438351869</v>
      </c>
      <c r="U9" s="46">
        <f>IF(OR($J9="",$F9="不适用"),"",IFERROR(INDEX(_怪物模型!$F$2:$F$4501,(INT($J9)-1)*ROWS(_怪物类型!$A$2:$A$10)+MATCH($F9,_怪物类型!$A$2:$A$10,0))*IF($M9="",1,$M9),""))</f>
        <v>3636</v>
      </c>
      <c r="V9" s="47">
        <f t="shared" si="1"/>
        <v>0.131567520625271</v>
      </c>
      <c r="W9" s="48">
        <f t="shared" si="2"/>
        <v>469312.343305687</v>
      </c>
      <c r="X9" s="48">
        <f t="shared" si="3"/>
        <v>4.7273545926796</v>
      </c>
      <c r="Y9" s="48">
        <f t="shared" si="4"/>
        <v>107.36110137807</v>
      </c>
      <c r="Z9" s="49" t="str">
        <f t="shared" si="5"/>
        <v/>
      </c>
      <c r="AA9" s="30" t="str">
        <f t="shared" si="6"/>
        <v>已计算</v>
      </c>
      <c r="AB9" s="30" t="str">
        <f t="shared" si="7"/>
        <v>有效</v>
      </c>
      <c r="AC9" s="30" t="str">
        <f t="shared" si="8"/>
        <v/>
      </c>
      <c r="AD9" s="31" t="s">
        <v>660</v>
      </c>
      <c r="AE9">
        <v>19800</v>
      </c>
      <c r="AF9">
        <f>INDEX(_统一战力!$B$2:$B$501,J9)</f>
        <v>35500</v>
      </c>
      <c r="AG9">
        <f>IF(INDEX(_统一战力!$D$2:$D$280,MATCH(I9,_统一战力!$C$2:$C$280,0))&gt;0,ROUND(INDEX(_统一战力!$D$2:$D$280,MATCH(I9,_统一战力!$C$2:$C$280,0)),-MAX(0,INT(LOG10(INDEX(_统一战力!$D$2:$D$280,MATCH(I9,_统一战力!$C$2:$C$280,0))))-2)),0)</f>
        <v>120000</v>
      </c>
      <c r="AH9" s="18">
        <f>推荐战力参数!$B$4</f>
        <v>0.5</v>
      </c>
      <c r="AI9">
        <f t="shared" si="9"/>
        <v>60000</v>
      </c>
    </row>
    <row r="10" ht="25" customHeight="1" spans="1:35">
      <c r="A10" s="30" t="s">
        <v>150</v>
      </c>
      <c r="B10" s="30" t="s">
        <v>58</v>
      </c>
      <c r="C10" s="31" t="s">
        <v>649</v>
      </c>
      <c r="D10" s="31" t="s">
        <v>589</v>
      </c>
      <c r="E10" s="31" t="s">
        <v>661</v>
      </c>
      <c r="F10" s="30" t="s">
        <v>651</v>
      </c>
      <c r="G10" s="40">
        <v>58</v>
      </c>
      <c r="H10" s="41"/>
      <c r="I10" s="42">
        <f t="shared" si="0"/>
        <v>58</v>
      </c>
      <c r="J10" s="51">
        <f>映射等级节点!C7</f>
        <v>55</v>
      </c>
      <c r="K10" s="44">
        <v>1.12653278812402</v>
      </c>
      <c r="L10" s="44">
        <v>0.73259627655623</v>
      </c>
      <c r="M10" s="44">
        <v>1</v>
      </c>
      <c r="N10" s="45"/>
      <c r="O10" s="45"/>
      <c r="P10" s="45"/>
      <c r="Q10" s="46">
        <f>IF($I10="","",IFERROR(INDEX(_玩家曲线!$H$2:$H$286,MATCH($I10,_玩家曲线!$A$2:$A$286,0)),""))</f>
        <v>136607.494103308</v>
      </c>
      <c r="R10" s="46">
        <f>IF($I10="","",IFERROR(INDEX(_玩家曲线!$I$2:$I$286,MATCH($I10,_玩家曲线!$A$2:$A$286,0)),""))</f>
        <v>302293.344300543</v>
      </c>
      <c r="S10" s="46">
        <f>IF(OR($J10="",$F10="不适用"),"",IFERROR(INDEX(_怪物模型!$D$2:$D$4501,(INT($J10)-1)*ROWS(_怪物类型!$A$2:$A$10)+MATCH($F10,_怪物类型!$A$2:$A$10,0))*IF($K10="",1,$K10),""))</f>
        <v>529841.039705582</v>
      </c>
      <c r="T10" s="46">
        <f>IF(OR($J10="",$F10="不适用"),"",IFERROR(INDEX(_怪物模型!$E$2:$E$4501,(INT($J10)-1)*ROWS(_怪物类型!$A$2:$A$10)+MATCH($F10,_怪物类型!$A$2:$A$10,0))*IF($L10="",1,$L10),""))</f>
        <v>2690.09352751448</v>
      </c>
      <c r="U10" s="46">
        <f>IF(OR($J10="",$F10="不适用"),"",IFERROR(INDEX(_怪物模型!$F$2:$F$4501,(INT($J10)-1)*ROWS(_怪物类型!$A$2:$A$10)+MATCH($F10,_怪物类型!$A$2:$A$10,0))*IF($M10="",1,$M10),""))</f>
        <v>4404</v>
      </c>
      <c r="V10" s="47">
        <f t="shared" si="1"/>
        <v>0.155048584706379</v>
      </c>
      <c r="W10" s="48">
        <f t="shared" si="2"/>
        <v>627066.870491557</v>
      </c>
      <c r="X10" s="48">
        <f t="shared" si="3"/>
        <v>4.59028162845403</v>
      </c>
      <c r="Y10" s="48">
        <f t="shared" si="4"/>
        <v>112.372800874269</v>
      </c>
      <c r="Z10" s="49" t="str">
        <f t="shared" si="5"/>
        <v/>
      </c>
      <c r="AA10" s="30" t="str">
        <f t="shared" si="6"/>
        <v>已计算</v>
      </c>
      <c r="AB10" s="30" t="str">
        <f t="shared" si="7"/>
        <v>有效</v>
      </c>
      <c r="AC10" s="30" t="str">
        <f t="shared" si="8"/>
        <v/>
      </c>
      <c r="AD10" s="31" t="s">
        <v>662</v>
      </c>
      <c r="AE10">
        <v>25400</v>
      </c>
      <c r="AF10">
        <f>INDEX(_统一战力!$B$2:$B$501,J10)</f>
        <v>54100</v>
      </c>
      <c r="AG10">
        <f>IF(INDEX(_统一战力!$D$2:$D$280,MATCH(I10,_统一战力!$C$2:$C$280,0))&gt;0,ROUND(INDEX(_统一战力!$D$2:$D$280,MATCH(I10,_统一战力!$C$2:$C$280,0)),-MAX(0,INT(LOG10(INDEX(_统一战力!$D$2:$D$280,MATCH(I10,_统一战力!$C$2:$C$280,0))))-2)),0)</f>
        <v>161000</v>
      </c>
      <c r="AH10" s="18">
        <f>推荐战力参数!$B$4</f>
        <v>0.5</v>
      </c>
      <c r="AI10">
        <f t="shared" si="9"/>
        <v>80500</v>
      </c>
    </row>
    <row r="11" ht="25" customHeight="1" spans="1:35">
      <c r="A11" s="30" t="s">
        <v>150</v>
      </c>
      <c r="B11" s="30" t="s">
        <v>58</v>
      </c>
      <c r="C11" s="31" t="s">
        <v>649</v>
      </c>
      <c r="D11" s="31" t="s">
        <v>592</v>
      </c>
      <c r="E11" s="31" t="s">
        <v>663</v>
      </c>
      <c r="F11" s="30" t="s">
        <v>651</v>
      </c>
      <c r="G11" s="40">
        <v>66</v>
      </c>
      <c r="H11" s="41"/>
      <c r="I11" s="42">
        <f t="shared" si="0"/>
        <v>66</v>
      </c>
      <c r="J11" s="51">
        <f>映射等级节点!C8</f>
        <v>62</v>
      </c>
      <c r="K11" s="44">
        <v>1.13837439832732</v>
      </c>
      <c r="L11" s="44">
        <v>0.74818595483741</v>
      </c>
      <c r="M11" s="44">
        <v>1</v>
      </c>
      <c r="N11" s="45"/>
      <c r="O11" s="45"/>
      <c r="P11" s="45"/>
      <c r="Q11" s="46">
        <f>IF($I11="","",IFERROR(INDEX(_玩家曲线!$H$2:$H$286,MATCH($I11,_玩家曲线!$A$2:$A$286,0)),""))</f>
        <v>178344.228129454</v>
      </c>
      <c r="R11" s="46">
        <f>IF($I11="","",IFERROR(INDEX(_玩家曲线!$I$2:$I$286,MATCH($I11,_玩家曲线!$A$2:$A$286,0)),""))</f>
        <v>377173.040240432</v>
      </c>
      <c r="S11" s="46">
        <f>IF(OR($J11="",$F11="不适用"),"",IFERROR(INDEX(_怪物模型!$D$2:$D$4501,(INT($J11)-1)*ROWS(_怪物类型!$A$2:$A$10)+MATCH($F11,_怪物类型!$A$2:$A$10,0))*IF($K11="",1,$K11),""))</f>
        <v>655173.170966916</v>
      </c>
      <c r="T11" s="46">
        <f>IF(OR($J11="",$F11="不适用"),"",IFERROR(INDEX(_怪物模型!$E$2:$E$4501,(INT($J11)-1)*ROWS(_怪物类型!$A$2:$A$10)+MATCH($F11,_怪物类型!$A$2:$A$10,0))*IF($L11="",1,$L11),""))</f>
        <v>3172.30844851062</v>
      </c>
      <c r="U11" s="46">
        <f>IF(OR($J11="",$F11="不适用"),"",IFERROR(INDEX(_怪物模型!$F$2:$F$4501,(INT($J11)-1)*ROWS(_怪物类型!$A$2:$A$10)+MATCH($F11,_怪物类型!$A$2:$A$10,0))*IF($M11="",1,$M11),""))</f>
        <v>5014</v>
      </c>
      <c r="V11" s="47">
        <f t="shared" si="1"/>
        <v>0.172813124698421</v>
      </c>
      <c r="W11" s="48">
        <f t="shared" si="2"/>
        <v>792049.765934754</v>
      </c>
      <c r="X11" s="48">
        <f t="shared" si="3"/>
        <v>4.44112923777848</v>
      </c>
      <c r="Y11" s="48">
        <f t="shared" si="4"/>
        <v>118.895449910463</v>
      </c>
      <c r="Z11" s="49" t="str">
        <f t="shared" si="5"/>
        <v/>
      </c>
      <c r="AA11" s="30" t="str">
        <f t="shared" si="6"/>
        <v>已计算</v>
      </c>
      <c r="AB11" s="30" t="str">
        <f t="shared" si="7"/>
        <v>有效</v>
      </c>
      <c r="AC11" s="30" t="str">
        <f t="shared" si="8"/>
        <v/>
      </c>
      <c r="AD11" s="31" t="s">
        <v>664</v>
      </c>
      <c r="AE11">
        <v>27800</v>
      </c>
      <c r="AF11">
        <f>INDEX(_统一战力!$B$2:$B$501,J11)</f>
        <v>71400</v>
      </c>
      <c r="AG11">
        <f>IF(INDEX(_统一战力!$D$2:$D$280,MATCH(I11,_统一战力!$C$2:$C$280,0))&gt;0,ROUND(INDEX(_统一战力!$D$2:$D$280,MATCH(I11,_统一战力!$C$2:$C$280,0)),-MAX(0,INT(LOG10(INDEX(_统一战力!$D$2:$D$280,MATCH(I11,_统一战力!$C$2:$C$280,0))))-2)),0)</f>
        <v>204000</v>
      </c>
      <c r="AH11" s="18">
        <f>推荐战力参数!$B$4</f>
        <v>0.5</v>
      </c>
      <c r="AI11">
        <f t="shared" si="9"/>
        <v>102000</v>
      </c>
    </row>
    <row r="12" ht="25" customHeight="1" spans="1:35">
      <c r="A12" s="30" t="s">
        <v>150</v>
      </c>
      <c r="B12" s="30" t="s">
        <v>58</v>
      </c>
      <c r="C12" s="31" t="s">
        <v>649</v>
      </c>
      <c r="D12" s="31" t="s">
        <v>595</v>
      </c>
      <c r="E12" s="31" t="s">
        <v>665</v>
      </c>
      <c r="F12" s="30" t="s">
        <v>651</v>
      </c>
      <c r="G12" s="40">
        <v>74</v>
      </c>
      <c r="H12" s="41"/>
      <c r="I12" s="42">
        <f t="shared" si="0"/>
        <v>74</v>
      </c>
      <c r="J12" s="51">
        <f>映射等级节点!C9</f>
        <v>69</v>
      </c>
      <c r="K12" s="44">
        <v>1.13156025638566</v>
      </c>
      <c r="L12" s="44">
        <v>0.75369277434186</v>
      </c>
      <c r="M12" s="44">
        <v>1</v>
      </c>
      <c r="N12" s="45"/>
      <c r="O12" s="45"/>
      <c r="P12" s="45"/>
      <c r="Q12" s="46">
        <f>IF($I12="","",IFERROR(INDEX(_玩家曲线!$H$2:$H$286,MATCH($I12,_玩家曲线!$A$2:$A$286,0)),""))</f>
        <v>229107.066317105</v>
      </c>
      <c r="R12" s="46">
        <f>IF($I12="","",IFERROR(INDEX(_玩家曲线!$I$2:$I$286,MATCH($I12,_玩家曲线!$A$2:$A$286,0)),""))</f>
        <v>471776.255639066</v>
      </c>
      <c r="S12" s="46">
        <f>IF(OR($J12="",$F12="不适用"),"",IFERROR(INDEX(_怪物模型!$D$2:$D$4501,(INT($J12)-1)*ROWS(_怪物类型!$A$2:$A$10)+MATCH($F12,_怪物类型!$A$2:$A$10,0))*IF($K12="",1,$K12),""))</f>
        <v>787921.248364924</v>
      </c>
      <c r="T12" s="46">
        <f>IF(OR($J12="",$F12="不适用"),"",IFERROR(INDEX(_怪物模型!$E$2:$E$4501,(INT($J12)-1)*ROWS(_怪物类型!$A$2:$A$10)+MATCH($F12,_怪物类型!$A$2:$A$10,0))*IF($L12="",1,$L12),""))</f>
        <v>3643.35087116855</v>
      </c>
      <c r="U12" s="46">
        <f>IF(OR($J12="",$F12="不适用"),"",IFERROR(INDEX(_怪物模型!$F$2:$F$4501,(INT($J12)-1)*ROWS(_怪物类型!$A$2:$A$10)+MATCH($F12,_怪物类型!$A$2:$A$10,0))*IF($M12="",1,$M12),""))</f>
        <v>5635</v>
      </c>
      <c r="V12" s="47">
        <f t="shared" si="1"/>
        <v>0.190146785895057</v>
      </c>
      <c r="W12" s="48">
        <f t="shared" si="2"/>
        <v>972918.591470606</v>
      </c>
      <c r="X12" s="48">
        <f t="shared" si="3"/>
        <v>4.24656736743335</v>
      </c>
      <c r="Y12" s="48">
        <f t="shared" si="4"/>
        <v>129.489657274692</v>
      </c>
      <c r="Z12" s="49" t="str">
        <f t="shared" si="5"/>
        <v/>
      </c>
      <c r="AA12" s="30" t="str">
        <f t="shared" si="6"/>
        <v>已计算</v>
      </c>
      <c r="AB12" s="30" t="str">
        <f t="shared" si="7"/>
        <v>有效</v>
      </c>
      <c r="AC12" s="30" t="str">
        <f t="shared" si="8"/>
        <v/>
      </c>
      <c r="AD12" s="31" t="s">
        <v>666</v>
      </c>
      <c r="AE12">
        <v>32800</v>
      </c>
      <c r="AF12">
        <f>INDEX(_统一战力!$B$2:$B$501,J12)</f>
        <v>87000</v>
      </c>
      <c r="AG12">
        <f>IF(INDEX(_统一战力!$D$2:$D$280,MATCH(I12,_统一战力!$C$2:$C$280,0))&gt;0,ROUND(INDEX(_统一战力!$D$2:$D$280,MATCH(I12,_统一战力!$C$2:$C$280,0)),-MAX(0,INT(LOG10(INDEX(_统一战力!$D$2:$D$280,MATCH(I12,_统一战力!$C$2:$C$280,0))))-2)),0)</f>
        <v>255000</v>
      </c>
      <c r="AH12" s="18">
        <f>推荐战力参数!$B$4</f>
        <v>0.5</v>
      </c>
      <c r="AI12">
        <f t="shared" si="9"/>
        <v>127500</v>
      </c>
    </row>
    <row r="13" ht="25" customHeight="1" spans="1:35">
      <c r="A13" s="30" t="s">
        <v>150</v>
      </c>
      <c r="B13" s="30" t="s">
        <v>58</v>
      </c>
      <c r="C13" s="31" t="s">
        <v>649</v>
      </c>
      <c r="D13" s="31" t="s">
        <v>598</v>
      </c>
      <c r="E13" s="31" t="s">
        <v>667</v>
      </c>
      <c r="F13" s="30" t="s">
        <v>651</v>
      </c>
      <c r="G13" s="40">
        <v>82</v>
      </c>
      <c r="H13" s="41"/>
      <c r="I13" s="42">
        <f t="shared" si="0"/>
        <v>82</v>
      </c>
      <c r="J13" s="51">
        <f>映射等级节点!C10</f>
        <v>77</v>
      </c>
      <c r="K13" s="44">
        <v>1.10905485237202</v>
      </c>
      <c r="L13" s="44">
        <v>0.757902456937782</v>
      </c>
      <c r="M13" s="44">
        <v>1</v>
      </c>
      <c r="N13" s="45"/>
      <c r="O13" s="45"/>
      <c r="P13" s="45"/>
      <c r="Q13" s="46">
        <f>IF($I13="","",IFERROR(INDEX(_玩家曲线!$H$2:$H$286,MATCH($I13,_玩家曲线!$A$2:$A$286,0)),""))</f>
        <v>282586.67853005</v>
      </c>
      <c r="R13" s="46">
        <f>IF($I13="","",IFERROR(INDEX(_玩家曲线!$I$2:$I$286,MATCH($I13,_玩家曲线!$A$2:$A$286,0)),""))</f>
        <v>567924.844869571</v>
      </c>
      <c r="S13" s="46">
        <f>IF(OR($J13="",$F13="不适用"),"",IFERROR(INDEX(_怪物模型!$D$2:$D$4501,(INT($J13)-1)*ROWS(_怪物类型!$A$2:$A$10)+MATCH($F13,_怪物类型!$A$2:$A$10,0))*IF($K13="",1,$K13),""))</f>
        <v>948245.225942634</v>
      </c>
      <c r="T13" s="46">
        <f>IF(OR($J13="",$F13="不适用"),"",IFERROR(INDEX(_怪物模型!$E$2:$E$4501,(INT($J13)-1)*ROWS(_怪物类型!$A$2:$A$10)+MATCH($F13,_怪物类型!$A$2:$A$10,0))*IF($L13="",1,$L13),""))</f>
        <v>4201.81122126306</v>
      </c>
      <c r="U13" s="46">
        <f>IF(OR($J13="",$F13="不适用"),"",IFERROR(INDEX(_怪物模型!$F$2:$F$4501,(INT($J13)-1)*ROWS(_怪物类型!$A$2:$A$10)+MATCH($F13,_怪物类型!$A$2:$A$10,0))*IF($M13="",1,$M13),""))</f>
        <v>6358</v>
      </c>
      <c r="V13" s="47">
        <f t="shared" si="1"/>
        <v>0.209434086566968</v>
      </c>
      <c r="W13" s="48">
        <f t="shared" si="2"/>
        <v>1199451.19038194</v>
      </c>
      <c r="X13" s="48">
        <f t="shared" si="3"/>
        <v>4.24454258290307</v>
      </c>
      <c r="Y13" s="48">
        <f t="shared" si="4"/>
        <v>135.161913509016</v>
      </c>
      <c r="Z13" s="49" t="str">
        <f t="shared" si="5"/>
        <v/>
      </c>
      <c r="AA13" s="30" t="str">
        <f t="shared" si="6"/>
        <v>已计算</v>
      </c>
      <c r="AB13" s="30" t="str">
        <f t="shared" si="7"/>
        <v>有效</v>
      </c>
      <c r="AC13" s="30" t="str">
        <f t="shared" si="8"/>
        <v/>
      </c>
      <c r="AD13" s="31" t="s">
        <v>668</v>
      </c>
      <c r="AE13">
        <v>39300</v>
      </c>
      <c r="AF13">
        <f>INDEX(_统一战力!$B$2:$B$501,J13)</f>
        <v>110000</v>
      </c>
      <c r="AG13">
        <f>IF(INDEX(_统一战力!$D$2:$D$280,MATCH(I13,_统一战力!$C$2:$C$280,0))&gt;0,ROUND(INDEX(_统一战力!$D$2:$D$280,MATCH(I13,_统一战力!$C$2:$C$280,0)),-MAX(0,INT(LOG10(INDEX(_统一战力!$D$2:$D$280,MATCH(I13,_统一战力!$C$2:$C$280,0))))-2)),0)</f>
        <v>307000</v>
      </c>
      <c r="AH13" s="18">
        <f>推荐战力参数!$B$4</f>
        <v>0.5</v>
      </c>
      <c r="AI13">
        <f t="shared" si="9"/>
        <v>153500</v>
      </c>
    </row>
    <row r="14" ht="25" customHeight="1" spans="1:35">
      <c r="A14" s="30" t="s">
        <v>150</v>
      </c>
      <c r="B14" s="30" t="s">
        <v>58</v>
      </c>
      <c r="C14" s="31" t="s">
        <v>649</v>
      </c>
      <c r="D14" s="31" t="s">
        <v>641</v>
      </c>
      <c r="E14" s="31" t="s">
        <v>669</v>
      </c>
      <c r="F14" s="30" t="s">
        <v>651</v>
      </c>
      <c r="G14" s="40">
        <v>90</v>
      </c>
      <c r="H14" s="41"/>
      <c r="I14" s="42">
        <f t="shared" si="0"/>
        <v>90</v>
      </c>
      <c r="J14" s="51">
        <f>映射等级节点!C11</f>
        <v>85</v>
      </c>
      <c r="K14" s="44">
        <v>1.10725986449125</v>
      </c>
      <c r="L14" s="44">
        <v>0.771653066032038</v>
      </c>
      <c r="M14" s="44">
        <v>1</v>
      </c>
      <c r="N14" s="45"/>
      <c r="O14" s="45"/>
      <c r="P14" s="45"/>
      <c r="Q14" s="46">
        <f>IF($I14="","",IFERROR(INDEX(_玩家曲线!$H$2:$H$286,MATCH($I14,_玩家曲线!$A$2:$A$286,0)),""))</f>
        <v>332560.187181101</v>
      </c>
      <c r="R14" s="46">
        <f>IF($I14="","",IFERROR(INDEX(_玩家曲线!$I$2:$I$286,MATCH($I14,_玩家曲线!$A$2:$A$286,0)),""))</f>
        <v>655056.951563923</v>
      </c>
      <c r="S14" s="46">
        <f>IF(OR($J14="",$F14="不适用"),"",IFERROR(INDEX(_怪物模型!$D$2:$D$4501,(INT($J14)-1)*ROWS(_怪物类型!$A$2:$A$10)+MATCH($F14,_怪物类型!$A$2:$A$10,0))*IF($K14="",1,$K14),""))</f>
        <v>1148751.10613347</v>
      </c>
      <c r="T14" s="46">
        <f>IF(OR($J14="",$F14="不适用"),"",IFERROR(INDEX(_怪物模型!$E$2:$E$4501,(INT($J14)-1)*ROWS(_怪物类型!$A$2:$A$10)+MATCH($F14,_怪物类型!$A$2:$A$10,0))*IF($L14="",1,$L14),""))</f>
        <v>4854.46943840755</v>
      </c>
      <c r="U14" s="46">
        <f>IF(OR($J14="",$F14="不适用"),"",IFERROR(INDEX(_怪物模型!$F$2:$F$4501,(INT($J14)-1)*ROWS(_怪物类型!$A$2:$A$10)+MATCH($F14,_怪物类型!$A$2:$A$10,0))*IF($M14="",1,$M14),""))</f>
        <v>7096</v>
      </c>
      <c r="V14" s="47">
        <f t="shared" si="1"/>
        <v>0.228196552611268</v>
      </c>
      <c r="W14" s="48">
        <f t="shared" si="2"/>
        <v>1488398.51651359</v>
      </c>
      <c r="X14" s="48">
        <f t="shared" si="3"/>
        <v>4.47557637349736</v>
      </c>
      <c r="Y14" s="48">
        <f t="shared" si="4"/>
        <v>134.938938204297</v>
      </c>
      <c r="Z14" s="49" t="str">
        <f t="shared" si="5"/>
        <v/>
      </c>
      <c r="AA14" s="30" t="str">
        <f t="shared" si="6"/>
        <v>已计算</v>
      </c>
      <c r="AB14" s="30" t="str">
        <f t="shared" si="7"/>
        <v>有效</v>
      </c>
      <c r="AC14" s="30" t="str">
        <f t="shared" si="8"/>
        <v/>
      </c>
      <c r="AD14" s="31" t="s">
        <v>670</v>
      </c>
      <c r="AE14">
        <v>45400</v>
      </c>
      <c r="AF14">
        <f>INDEX(_统一战力!$B$2:$B$501,J14)</f>
        <v>131000</v>
      </c>
      <c r="AG14">
        <f>IF(INDEX(_统一战力!$D$2:$D$280,MATCH(I14,_统一战力!$C$2:$C$280,0))&gt;0,ROUND(INDEX(_统一战力!$D$2:$D$280,MATCH(I14,_统一战力!$C$2:$C$280,0)),-MAX(0,INT(LOG10(INDEX(_统一战力!$D$2:$D$280,MATCH(I14,_统一战力!$C$2:$C$280,0))))-2)),0)</f>
        <v>353000</v>
      </c>
      <c r="AH14" s="18">
        <f>推荐战力参数!$B$4</f>
        <v>0.5</v>
      </c>
      <c r="AI14">
        <f t="shared" si="9"/>
        <v>176500</v>
      </c>
    </row>
    <row r="15" ht="25" customHeight="1" spans="1:35">
      <c r="A15" s="30" t="s">
        <v>150</v>
      </c>
      <c r="B15" s="30" t="s">
        <v>58</v>
      </c>
      <c r="C15" s="31" t="s">
        <v>649</v>
      </c>
      <c r="D15" s="31" t="s">
        <v>671</v>
      </c>
      <c r="E15" s="31" t="s">
        <v>672</v>
      </c>
      <c r="F15" s="30" t="s">
        <v>651</v>
      </c>
      <c r="G15" s="40">
        <v>99</v>
      </c>
      <c r="H15" s="41"/>
      <c r="I15" s="42">
        <f t="shared" si="0"/>
        <v>99</v>
      </c>
      <c r="J15" s="51">
        <f>映射等级节点!C12</f>
        <v>93</v>
      </c>
      <c r="K15" s="44">
        <v>1.09189090472177</v>
      </c>
      <c r="L15" s="44">
        <v>0.781376007637187</v>
      </c>
      <c r="M15" s="44">
        <v>1</v>
      </c>
      <c r="N15" s="45"/>
      <c r="O15" s="45"/>
      <c r="P15" s="45"/>
      <c r="Q15" s="46">
        <f>IF($I15="","",IFERROR(INDEX(_玩家曲线!$H$2:$H$286,MATCH($I15,_玩家曲线!$A$2:$A$286,0)),""))</f>
        <v>389541.730298325</v>
      </c>
      <c r="R15" s="46">
        <f>IF($I15="","",IFERROR(INDEX(_玩家曲线!$I$2:$I$286,MATCH($I15,_玩家曲线!$A$2:$A$286,0)),""))</f>
        <v>751589.12299661</v>
      </c>
      <c r="S15" s="46">
        <f>IF(OR($J15="",$F15="不适用"),"",IFERROR(INDEX(_怪物模型!$D$2:$D$4501,(INT($J15)-1)*ROWS(_怪物类型!$A$2:$A$10)+MATCH($F15,_怪物类型!$A$2:$A$10,0))*IF($K15="",1,$K15),""))</f>
        <v>1359965.40830363</v>
      </c>
      <c r="T15" s="46">
        <f>IF(OR($J15="",$F15="不适用"),"",IFERROR(INDEX(_怪物模型!$E$2:$E$4501,(INT($J15)-1)*ROWS(_怪物类型!$A$2:$A$10)+MATCH($F15,_怪物类型!$A$2:$A$10,0))*IF($L15="",1,$L15),""))</f>
        <v>5528.2352540331</v>
      </c>
      <c r="U15" s="46">
        <f>IF(OR($J15="",$F15="不适用"),"",IFERROR(INDEX(_怪物模型!$F$2:$F$4501,(INT($J15)-1)*ROWS(_怪物类型!$A$2:$A$10)+MATCH($F15,_怪物类型!$A$2:$A$10,0))*IF($M15="",1,$M15),""))</f>
        <v>7849</v>
      </c>
      <c r="V15" s="47">
        <f t="shared" si="1"/>
        <v>0.246444158372319</v>
      </c>
      <c r="W15" s="48">
        <f t="shared" si="2"/>
        <v>1804730.76204426</v>
      </c>
      <c r="X15" s="48">
        <f t="shared" si="3"/>
        <v>4.63295873502984</v>
      </c>
      <c r="Y15" s="48">
        <f t="shared" si="4"/>
        <v>135.954619957299</v>
      </c>
      <c r="Z15" s="49" t="str">
        <f t="shared" si="5"/>
        <v/>
      </c>
      <c r="AA15" s="30" t="str">
        <f t="shared" si="6"/>
        <v>已计算</v>
      </c>
      <c r="AB15" s="30" t="str">
        <f t="shared" si="7"/>
        <v>有效</v>
      </c>
      <c r="AC15" s="30" t="str">
        <f t="shared" si="8"/>
        <v/>
      </c>
      <c r="AD15" s="31" t="s">
        <v>673</v>
      </c>
      <c r="AE15">
        <v>51500</v>
      </c>
      <c r="AF15">
        <f>INDEX(_统一战力!$B$2:$B$501,J15)</f>
        <v>142000</v>
      </c>
      <c r="AG15">
        <f>IF(INDEX(_统一战力!$D$2:$D$280,MATCH(I15,_统一战力!$C$2:$C$280,0))&gt;0,ROUND(INDEX(_统一战力!$D$2:$D$280,MATCH(I15,_统一战力!$C$2:$C$280,0)),-MAX(0,INT(LOG10(INDEX(_统一战力!$D$2:$D$280,MATCH(I15,_统一战力!$C$2:$C$280,0))))-2)),0)</f>
        <v>403000</v>
      </c>
      <c r="AH15" s="18">
        <f>推荐战力参数!$B$4</f>
        <v>0.5</v>
      </c>
      <c r="AI15">
        <f t="shared" si="9"/>
        <v>201500</v>
      </c>
    </row>
    <row r="16" ht="25" customHeight="1" spans="1:35">
      <c r="A16" s="30" t="s">
        <v>150</v>
      </c>
      <c r="B16" s="30" t="s">
        <v>58</v>
      </c>
      <c r="C16" s="31" t="s">
        <v>649</v>
      </c>
      <c r="D16" s="31" t="s">
        <v>674</v>
      </c>
      <c r="E16" s="31" t="s">
        <v>675</v>
      </c>
      <c r="F16" s="30" t="s">
        <v>651</v>
      </c>
      <c r="G16" s="40">
        <v>108</v>
      </c>
      <c r="H16" s="41"/>
      <c r="I16" s="42">
        <f t="shared" si="0"/>
        <v>108</v>
      </c>
      <c r="J16" s="51">
        <f>映射等级节点!C13</f>
        <v>101</v>
      </c>
      <c r="K16" s="44">
        <v>1.08013776568264</v>
      </c>
      <c r="L16" s="44">
        <v>0.796538030333609</v>
      </c>
      <c r="M16" s="44">
        <v>1</v>
      </c>
      <c r="N16" s="45"/>
      <c r="O16" s="45"/>
      <c r="P16" s="45"/>
      <c r="Q16" s="46">
        <f>IF($I16="","",IFERROR(INDEX(_玩家曲线!$H$2:$H$286,MATCH($I16,_玩家曲线!$A$2:$A$286,0)),""))</f>
        <v>484409.725686147</v>
      </c>
      <c r="R16" s="46">
        <f>IF($I16="","",IFERROR(INDEX(_玩家曲线!$I$2:$I$286,MATCH($I16,_玩家曲线!$A$2:$A$286,0)),""))</f>
        <v>889903.12572888</v>
      </c>
      <c r="S16" s="46">
        <f>IF(OR($J16="",$F16="不适用"),"",IFERROR(INDEX(_怪物模型!$D$2:$D$4501,(INT($J16)-1)*ROWS(_怪物类型!$A$2:$A$10)+MATCH($F16,_怪物类型!$A$2:$A$10,0))*IF($K16="",1,$K16),""))</f>
        <v>1599538.21237762</v>
      </c>
      <c r="T16" s="46">
        <f>IF(OR($J16="",$F16="不适用"),"",IFERROR(INDEX(_怪物模型!$E$2:$E$4501,(INT($J16)-1)*ROWS(_怪物类型!$A$2:$A$10)+MATCH($F16,_怪物类型!$A$2:$A$10,0))*IF($L16="",1,$L16),""))</f>
        <v>6291.05736357484</v>
      </c>
      <c r="U16" s="46">
        <f>IF(OR($J16="",$F16="不适用"),"",IFERROR(INDEX(_怪物模型!$F$2:$F$4501,(INT($J16)-1)*ROWS(_怪物类型!$A$2:$A$10)+MATCH($F16,_怪物类型!$A$2:$A$10,0))*IF($M16="",1,$M16),""))</f>
        <v>8616</v>
      </c>
      <c r="V16" s="47">
        <f t="shared" si="1"/>
        <v>0.264164827078734</v>
      </c>
      <c r="W16" s="48">
        <f t="shared" si="2"/>
        <v>2173772.43062119</v>
      </c>
      <c r="X16" s="48">
        <f t="shared" si="3"/>
        <v>4.48746652958325</v>
      </c>
      <c r="Y16" s="48">
        <f t="shared" si="4"/>
        <v>141.455255340924</v>
      </c>
      <c r="Z16" s="49" t="str">
        <f t="shared" si="5"/>
        <v/>
      </c>
      <c r="AA16" s="30" t="str">
        <f t="shared" si="6"/>
        <v>已计算</v>
      </c>
      <c r="AB16" s="30" t="str">
        <f t="shared" si="7"/>
        <v>有效</v>
      </c>
      <c r="AC16" s="30" t="str">
        <f t="shared" si="8"/>
        <v/>
      </c>
      <c r="AD16" s="31" t="s">
        <v>676</v>
      </c>
      <c r="AE16">
        <v>59500</v>
      </c>
      <c r="AF16">
        <f>INDEX(_统一战力!$B$2:$B$501,J16)</f>
        <v>185000</v>
      </c>
      <c r="AG16">
        <f>IF(INDEX(_统一战力!$D$2:$D$280,MATCH(I16,_统一战力!$C$2:$C$280,0))&gt;0,ROUND(INDEX(_统一战力!$D$2:$D$280,MATCH(I16,_统一战力!$C$2:$C$280,0)),-MAX(0,INT(LOG10(INDEX(_统一战力!$D$2:$D$280,MATCH(I16,_统一战力!$C$2:$C$280,0))))-2)),0)</f>
        <v>482000</v>
      </c>
      <c r="AH16" s="18">
        <f>推荐战力参数!$B$4</f>
        <v>0.5</v>
      </c>
      <c r="AI16">
        <f t="shared" si="9"/>
        <v>241000</v>
      </c>
    </row>
    <row r="17" ht="25" customHeight="1" spans="1:35">
      <c r="A17" s="30" t="s">
        <v>150</v>
      </c>
      <c r="B17" s="30" t="s">
        <v>58</v>
      </c>
      <c r="C17" s="31" t="s">
        <v>649</v>
      </c>
      <c r="D17" s="31" t="s">
        <v>677</v>
      </c>
      <c r="E17" s="31" t="s">
        <v>678</v>
      </c>
      <c r="F17" s="30" t="s">
        <v>651</v>
      </c>
      <c r="G17" s="40">
        <v>116</v>
      </c>
      <c r="H17" s="41"/>
      <c r="I17" s="42">
        <f t="shared" si="0"/>
        <v>116</v>
      </c>
      <c r="J17" s="51">
        <f>映射等级节点!C14</f>
        <v>111</v>
      </c>
      <c r="K17" s="44">
        <v>1.06572906115279</v>
      </c>
      <c r="L17" s="44">
        <v>0.815189448370908</v>
      </c>
      <c r="M17" s="44">
        <v>1</v>
      </c>
      <c r="N17" s="45"/>
      <c r="O17" s="45"/>
      <c r="P17" s="45"/>
      <c r="Q17" s="46">
        <f>IF($I17="","",IFERROR(INDEX(_玩家曲线!$H$2:$H$286,MATCH($I17,_玩家曲线!$A$2:$A$286,0)),""))</f>
        <v>583850.116220235</v>
      </c>
      <c r="R17" s="46">
        <f>IF($I17="","",IFERROR(INDEX(_玩家曲线!$I$2:$I$286,MATCH($I17,_玩家曲线!$A$2:$A$286,0)),""))</f>
        <v>1025502.4129998</v>
      </c>
      <c r="S17" s="46">
        <f>IF(OR($J17="",$F17="不适用"),"",IFERROR(INDEX(_怪物模型!$D$2:$D$4501,(INT($J17)-1)*ROWS(_怪物类型!$A$2:$A$10)+MATCH($F17,_怪物类型!$A$2:$A$10,0))*IF($K17="",1,$K17),""))</f>
        <v>1935592.04107255</v>
      </c>
      <c r="T17" s="46">
        <f>IF(OR($J17="",$F17="不适用"),"",IFERROR(INDEX(_怪物模型!$E$2:$E$4501,(INT($J17)-1)*ROWS(_怪物类型!$A$2:$A$10)+MATCH($F17,_怪物类型!$A$2:$A$10,0))*IF($L17="",1,$L17),""))</f>
        <v>7322.84681471587</v>
      </c>
      <c r="U17" s="46">
        <f>IF(OR($J17="",$F17="不适用"),"",IFERROR(INDEX(_怪物模型!$F$2:$F$4501,(INT($J17)-1)*ROWS(_怪物类型!$A$2:$A$10)+MATCH($F17,_怪物类型!$A$2:$A$10,0))*IF($M17="",1,$M17),""))</f>
        <v>9595</v>
      </c>
      <c r="V17" s="47">
        <f t="shared" si="1"/>
        <v>0.285607977377586</v>
      </c>
      <c r="W17" s="48">
        <f t="shared" si="2"/>
        <v>2709425.60915968</v>
      </c>
      <c r="X17" s="48">
        <f t="shared" si="3"/>
        <v>4.64061842909295</v>
      </c>
      <c r="Y17" s="48">
        <f t="shared" si="4"/>
        <v>140.041494646449</v>
      </c>
      <c r="Z17" s="49" t="str">
        <f t="shared" si="5"/>
        <v/>
      </c>
      <c r="AA17" s="30" t="str">
        <f t="shared" si="6"/>
        <v>已计算</v>
      </c>
      <c r="AB17" s="30" t="str">
        <f t="shared" si="7"/>
        <v>有效</v>
      </c>
      <c r="AC17" s="30" t="str">
        <f t="shared" si="8"/>
        <v/>
      </c>
      <c r="AD17" s="31" t="s">
        <v>679</v>
      </c>
      <c r="AE17">
        <v>71400</v>
      </c>
      <c r="AF17">
        <f>INDEX(_统一战力!$B$2:$B$501,J17)</f>
        <v>225000</v>
      </c>
      <c r="AG17">
        <f>IF(INDEX(_统一战力!$D$2:$D$280,MATCH(I17,_统一战力!$C$2:$C$280,0))&gt;0,ROUND(INDEX(_统一战力!$D$2:$D$280,MATCH(I17,_统一战力!$C$2:$C$280,0)),-MAX(0,INT(LOG10(INDEX(_统一战力!$D$2:$D$280,MATCH(I17,_统一战力!$C$2:$C$280,0))))-2)),0)</f>
        <v>560000</v>
      </c>
      <c r="AH17" s="18">
        <f>推荐战力参数!$B$4</f>
        <v>0.5</v>
      </c>
      <c r="AI17">
        <f t="shared" si="9"/>
        <v>280000</v>
      </c>
    </row>
    <row r="18" ht="25" customHeight="1" spans="1:35">
      <c r="A18" s="30" t="s">
        <v>150</v>
      </c>
      <c r="B18" s="30" t="s">
        <v>58</v>
      </c>
      <c r="C18" s="31" t="s">
        <v>649</v>
      </c>
      <c r="D18" s="31" t="s">
        <v>680</v>
      </c>
      <c r="E18" s="31" t="s">
        <v>681</v>
      </c>
      <c r="F18" s="30" t="s">
        <v>651</v>
      </c>
      <c r="G18" s="40">
        <v>125</v>
      </c>
      <c r="H18" s="41"/>
      <c r="I18" s="42">
        <f t="shared" si="0"/>
        <v>125</v>
      </c>
      <c r="J18" s="51">
        <f>映射等级节点!C15</f>
        <v>120</v>
      </c>
      <c r="K18" s="44">
        <v>1.05537868365952</v>
      </c>
      <c r="L18" s="44">
        <v>0.833052425809945</v>
      </c>
      <c r="M18" s="44">
        <v>1</v>
      </c>
      <c r="N18" s="45"/>
      <c r="O18" s="45"/>
      <c r="P18" s="45"/>
      <c r="Q18" s="46">
        <f>IF($I18="","",IFERROR(INDEX(_玩家曲线!$H$2:$H$286,MATCH($I18,_玩家曲线!$A$2:$A$286,0)),""))</f>
        <v>692477.114225873</v>
      </c>
      <c r="R18" s="46">
        <f>IF($I18="","",IFERROR(INDEX(_玩家曲线!$I$2:$I$286,MATCH($I18,_玩家曲线!$A$2:$A$286,0)),""))</f>
        <v>1166095.07717948</v>
      </c>
      <c r="S18" s="46">
        <f>IF(OR($J18="",$F18="不适用"),"",IFERROR(INDEX(_怪物模型!$D$2:$D$4501,(INT($J18)-1)*ROWS(_怪物类型!$A$2:$A$10)+MATCH($F18,_怪物类型!$A$2:$A$10,0))*IF($K18="",1,$K18),""))</f>
        <v>2279632.73200613</v>
      </c>
      <c r="T18" s="46">
        <f>IF(OR($J18="",$F18="不适用"),"",IFERROR(INDEX(_怪物模型!$E$2:$E$4501,(INT($J18)-1)*ROWS(_怪物类型!$A$2:$A$10)+MATCH($F18,_怪物类型!$A$2:$A$10,0))*IF($L18="",1,$L18),""))</f>
        <v>8344.68614933822</v>
      </c>
      <c r="U18" s="46">
        <f>IF(OR($J18="",$F18="不适用"),"",IFERROR(INDEX(_怪物模型!$F$2:$F$4501,(INT($J18)-1)*ROWS(_怪物类型!$A$2:$A$10)+MATCH($F18,_怪物类型!$A$2:$A$10,0))*IF($M18="",1,$M18),""))</f>
        <v>10496</v>
      </c>
      <c r="V18" s="47">
        <f t="shared" si="1"/>
        <v>0.304267161410019</v>
      </c>
      <c r="W18" s="48">
        <f t="shared" si="2"/>
        <v>3276592.11347015</v>
      </c>
      <c r="X18" s="48">
        <f t="shared" si="3"/>
        <v>4.73169733144623</v>
      </c>
      <c r="Y18" s="48">
        <f t="shared" si="4"/>
        <v>139.741034750835</v>
      </c>
      <c r="Z18" s="49" t="str">
        <f t="shared" si="5"/>
        <v/>
      </c>
      <c r="AA18" s="30" t="str">
        <f t="shared" si="6"/>
        <v>已计算</v>
      </c>
      <c r="AB18" s="30" t="str">
        <f t="shared" si="7"/>
        <v>有效</v>
      </c>
      <c r="AC18" s="30" t="str">
        <f t="shared" si="8"/>
        <v/>
      </c>
      <c r="AD18" s="31" t="s">
        <v>682</v>
      </c>
      <c r="AE18">
        <v>82700</v>
      </c>
      <c r="AF18">
        <f>INDEX(_统一战力!$B$2:$B$501,J18)</f>
        <v>274000</v>
      </c>
      <c r="AG18">
        <f>IF(INDEX(_统一战力!$D$2:$D$280,MATCH(I18,_统一战力!$C$2:$C$280,0))&gt;0,ROUND(INDEX(_统一战力!$D$2:$D$280,MATCH(I18,_统一战力!$C$2:$C$280,0)),-MAX(0,INT(LOG10(INDEX(_统一战力!$D$2:$D$280,MATCH(I18,_统一战力!$C$2:$C$280,0))))-2)),0)</f>
        <v>640000</v>
      </c>
      <c r="AH18" s="18">
        <f>推荐战力参数!$B$4</f>
        <v>0.5</v>
      </c>
      <c r="AI18">
        <f t="shared" si="9"/>
        <v>320000</v>
      </c>
    </row>
    <row r="19" ht="25" customHeight="1" spans="1:35">
      <c r="A19" s="30" t="s">
        <v>150</v>
      </c>
      <c r="B19" s="30" t="s">
        <v>58</v>
      </c>
      <c r="C19" s="31" t="s">
        <v>649</v>
      </c>
      <c r="D19" s="31" t="s">
        <v>683</v>
      </c>
      <c r="E19" s="31" t="s">
        <v>684</v>
      </c>
      <c r="F19" s="30" t="s">
        <v>651</v>
      </c>
      <c r="G19" s="40">
        <v>134</v>
      </c>
      <c r="H19" s="41"/>
      <c r="I19" s="42">
        <f t="shared" si="0"/>
        <v>134</v>
      </c>
      <c r="J19" s="51">
        <f>映射等级节点!C16</f>
        <v>129</v>
      </c>
      <c r="K19" s="44">
        <v>1.05697922812179</v>
      </c>
      <c r="L19" s="44">
        <v>0.856651838829397</v>
      </c>
      <c r="M19" s="44">
        <v>1</v>
      </c>
      <c r="N19" s="45"/>
      <c r="O19" s="45"/>
      <c r="P19" s="45"/>
      <c r="Q19" s="46">
        <f>IF($I19="","",IFERROR(INDEX(_玩家曲线!$H$2:$H$286,MATCH($I19,_玩家曲线!$A$2:$A$286,0)),""))</f>
        <v>804899.71283569</v>
      </c>
      <c r="R19" s="46">
        <f>IF($I19="","",IFERROR(INDEX(_玩家曲线!$I$2:$I$286,MATCH($I19,_玩家曲线!$A$2:$A$286,0)),""))</f>
        <v>1304666.14518556</v>
      </c>
      <c r="S19" s="46">
        <f>IF(OR($J19="",$F19="不适用"),"",IFERROR(INDEX(_怪物模型!$D$2:$D$4501,(INT($J19)-1)*ROWS(_怪物类型!$A$2:$A$10)+MATCH($F19,_怪物类型!$A$2:$A$10,0))*IF($K19="",1,$K19),""))</f>
        <v>2691647.28243586</v>
      </c>
      <c r="T19" s="46">
        <f>IF(OR($J19="",$F19="不适用"),"",IFERROR(INDEX(_怪物模型!$E$2:$E$4501,(INT($J19)-1)*ROWS(_怪物类型!$A$2:$A$10)+MATCH($F19,_怪物类型!$A$2:$A$10,0))*IF($L19="",1,$L19),""))</f>
        <v>9514.83197387811</v>
      </c>
      <c r="U19" s="46">
        <f>IF(OR($J19="",$F19="不适用"),"",IFERROR(INDEX(_怪物模型!$F$2:$F$4501,(INT($J19)-1)*ROWS(_怪物类型!$A$2:$A$10)+MATCH($F19,_怪物类型!$A$2:$A$10,0))*IF($M19="",1,$M19),""))</f>
        <v>11415</v>
      </c>
      <c r="V19" s="47">
        <f t="shared" si="1"/>
        <v>0.322321050402372</v>
      </c>
      <c r="W19" s="48">
        <f t="shared" si="2"/>
        <v>3971862.02114442</v>
      </c>
      <c r="X19" s="48">
        <f t="shared" si="3"/>
        <v>4.93460484306971</v>
      </c>
      <c r="Y19" s="48">
        <f t="shared" si="4"/>
        <v>137.119199662944</v>
      </c>
      <c r="Z19" s="49" t="str">
        <f t="shared" si="5"/>
        <v/>
      </c>
      <c r="AA19" s="30" t="str">
        <f t="shared" si="6"/>
        <v>已计算</v>
      </c>
      <c r="AB19" s="30" t="str">
        <f t="shared" si="7"/>
        <v>有效</v>
      </c>
      <c r="AC19" s="30" t="str">
        <f t="shared" si="8"/>
        <v/>
      </c>
      <c r="AD19" s="31" t="s">
        <v>685</v>
      </c>
      <c r="AE19">
        <v>95900</v>
      </c>
      <c r="AF19">
        <f>INDEX(_统一战力!$B$2:$B$501,J19)</f>
        <v>320000</v>
      </c>
      <c r="AG19">
        <f>IF(INDEX(_统一战力!$D$2:$D$280,MATCH(I19,_统一战力!$C$2:$C$280,0))&gt;0,ROUND(INDEX(_统一战力!$D$2:$D$280,MATCH(I19,_统一战力!$C$2:$C$280,0)),-MAX(0,INT(LOG10(INDEX(_统一战力!$D$2:$D$280,MATCH(I19,_统一战力!$C$2:$C$280,0))))-2)),0)</f>
        <v>718000</v>
      </c>
      <c r="AH19" s="18">
        <f>推荐战力参数!$B$4</f>
        <v>0.5</v>
      </c>
      <c r="AI19">
        <f t="shared" si="9"/>
        <v>359000</v>
      </c>
    </row>
    <row r="20" ht="25" customHeight="1" spans="1:35">
      <c r="A20" s="30" t="s">
        <v>150</v>
      </c>
      <c r="B20" s="30" t="s">
        <v>58</v>
      </c>
      <c r="C20" s="31" t="s">
        <v>649</v>
      </c>
      <c r="D20" s="31" t="s">
        <v>686</v>
      </c>
      <c r="E20" s="31" t="s">
        <v>687</v>
      </c>
      <c r="F20" s="30" t="s">
        <v>651</v>
      </c>
      <c r="G20" s="40">
        <v>143</v>
      </c>
      <c r="H20" s="41"/>
      <c r="I20" s="42">
        <f t="shared" si="0"/>
        <v>143</v>
      </c>
      <c r="J20" s="51">
        <f>映射等级节点!C17</f>
        <v>140</v>
      </c>
      <c r="K20" s="44">
        <v>1.04289213940022</v>
      </c>
      <c r="L20" s="44">
        <v>0.875192051916462</v>
      </c>
      <c r="M20" s="44">
        <v>1</v>
      </c>
      <c r="N20" s="45"/>
      <c r="O20" s="45"/>
      <c r="P20" s="45"/>
      <c r="Q20" s="46">
        <f>IF($I20="","",IFERROR(INDEX(_玩家曲线!$H$2:$H$286,MATCH($I20,_玩家曲线!$A$2:$A$286,0)),""))</f>
        <v>918910.439902437</v>
      </c>
      <c r="R20" s="46">
        <f>IF($I20="","",IFERROR(INDEX(_玩家曲线!$I$2:$I$286,MATCH($I20,_玩家曲线!$A$2:$A$286,0)),""))</f>
        <v>1439235.67570825</v>
      </c>
      <c r="S20" s="46">
        <f>IF(OR($J20="",$F20="不适用"),"",IFERROR(INDEX(_怪物模型!$D$2:$D$4501,(INT($J20)-1)*ROWS(_怪物类型!$A$2:$A$10)+MATCH($F20,_怪物类型!$A$2:$A$10,0))*IF($K20="",1,$K20),""))</f>
        <v>3213637.71212118</v>
      </c>
      <c r="T20" s="46">
        <f>IF(OR($J20="",$F20="不适用"),"",IFERROR(INDEX(_怪物模型!$E$2:$E$4501,(INT($J20)-1)*ROWS(_怪物类型!$A$2:$A$10)+MATCH($F20,_怪物类型!$A$2:$A$10,0))*IF($L20="",1,$L20),""))</f>
        <v>10956.5292979422</v>
      </c>
      <c r="U20" s="46">
        <f>IF(OR($J20="",$F20="不适用"),"",IFERROR(INDEX(_怪物模型!$F$2:$F$4501,(INT($J20)-1)*ROWS(_怪物类型!$A$2:$A$10)+MATCH($F20,_怪物类型!$A$2:$A$10,0))*IF($M20="",1,$M20),""))</f>
        <v>12564</v>
      </c>
      <c r="V20" s="47">
        <f t="shared" si="1"/>
        <v>0.343616672136528</v>
      </c>
      <c r="W20" s="48">
        <f t="shared" si="2"/>
        <v>4895977.05441661</v>
      </c>
      <c r="X20" s="48">
        <f t="shared" si="3"/>
        <v>5.32802419236464</v>
      </c>
      <c r="Y20" s="48">
        <f t="shared" si="4"/>
        <v>131.358721048513</v>
      </c>
      <c r="Z20" s="49" t="str">
        <f t="shared" si="5"/>
        <v/>
      </c>
      <c r="AA20" s="30" t="str">
        <f t="shared" si="6"/>
        <v>已计算</v>
      </c>
      <c r="AB20" s="30" t="str">
        <f t="shared" si="7"/>
        <v>有效</v>
      </c>
      <c r="AC20" s="30" t="str">
        <f t="shared" si="8"/>
        <v/>
      </c>
      <c r="AD20" s="31" t="s">
        <v>688</v>
      </c>
      <c r="AE20">
        <v>115000</v>
      </c>
      <c r="AF20">
        <f>INDEX(_统一战力!$B$2:$B$501,J20)</f>
        <v>381000</v>
      </c>
      <c r="AG20">
        <f>IF(INDEX(_统一战力!$D$2:$D$280,MATCH(I20,_统一战力!$C$2:$C$280,0))&gt;0,ROUND(INDEX(_统一战力!$D$2:$D$280,MATCH(I20,_统一战力!$C$2:$C$280,0)),-MAX(0,INT(LOG10(INDEX(_统一战力!$D$2:$D$280,MATCH(I20,_统一战力!$C$2:$C$280,0))))-2)),0)</f>
        <v>794000</v>
      </c>
      <c r="AH20" s="18">
        <f>推荐战力参数!$B$4</f>
        <v>0.5</v>
      </c>
      <c r="AI20">
        <f t="shared" si="9"/>
        <v>397000</v>
      </c>
    </row>
    <row r="21" ht="25" customHeight="1" spans="1:35">
      <c r="A21" s="30" t="s">
        <v>150</v>
      </c>
      <c r="B21" s="30" t="s">
        <v>58</v>
      </c>
      <c r="C21" s="31" t="s">
        <v>649</v>
      </c>
      <c r="D21" s="31" t="s">
        <v>689</v>
      </c>
      <c r="E21" s="31" t="s">
        <v>690</v>
      </c>
      <c r="F21" s="30" t="s">
        <v>651</v>
      </c>
      <c r="G21" s="40">
        <v>153</v>
      </c>
      <c r="H21" s="41"/>
      <c r="I21" s="42">
        <f t="shared" si="0"/>
        <v>153</v>
      </c>
      <c r="J21" s="51">
        <f>映射等级节点!C18</f>
        <v>150</v>
      </c>
      <c r="K21" s="44">
        <v>1.03663329161026</v>
      </c>
      <c r="L21" s="44">
        <v>0.895192216733449</v>
      </c>
      <c r="M21" s="44">
        <v>1</v>
      </c>
      <c r="N21" s="45"/>
      <c r="O21" s="45"/>
      <c r="P21" s="45"/>
      <c r="Q21" s="46">
        <f>IF($I21="","",IFERROR(INDEX(_玩家曲线!$H$2:$H$286,MATCH($I21,_玩家曲线!$A$2:$A$286,0)),""))</f>
        <v>1040296.64648059</v>
      </c>
      <c r="R21" s="46">
        <f>IF($I21="","",IFERROR(INDEX(_玩家曲线!$I$2:$I$286,MATCH($I21,_玩家曲线!$A$2:$A$286,0)),""))</f>
        <v>1577069.8126309</v>
      </c>
      <c r="S21" s="46">
        <f>IF(OR($J21="",$F21="不适用"),"",IFERROR(INDEX(_怪物模型!$D$2:$D$4501,(INT($J21)-1)*ROWS(_怪物类型!$A$2:$A$10)+MATCH($F21,_怪物类型!$A$2:$A$10,0))*IF($K21="",1,$K21),""))</f>
        <v>3765131.93589192</v>
      </c>
      <c r="T21" s="46">
        <f>IF(OR($J21="",$F21="不适用"),"",IFERROR(INDEX(_怪物模型!$E$2:$E$4501,(INT($J21)-1)*ROWS(_怪物类型!$A$2:$A$10)+MATCH($F21,_怪物类型!$A$2:$A$10,0))*IF($L21="",1,$L21),""))</f>
        <v>12427.9535449105</v>
      </c>
      <c r="U21" s="46">
        <f>IF(OR($J21="",$F21="不适用"),"",IFERROR(INDEX(_怪物模型!$F$2:$F$4501,(INT($J21)-1)*ROWS(_怪物类型!$A$2:$A$10)+MATCH($F21,_怪物类型!$A$2:$A$10,0))*IF($M21="",1,$M21),""))</f>
        <v>13632</v>
      </c>
      <c r="V21" s="47">
        <f t="shared" si="1"/>
        <v>0.362244897959184</v>
      </c>
      <c r="W21" s="48">
        <f t="shared" si="2"/>
        <v>5903726.87547853</v>
      </c>
      <c r="X21" s="48">
        <f t="shared" si="3"/>
        <v>5.67504172531107</v>
      </c>
      <c r="Y21" s="48">
        <f t="shared" si="4"/>
        <v>126.896983234762</v>
      </c>
      <c r="Z21" s="49" t="str">
        <f t="shared" si="5"/>
        <v/>
      </c>
      <c r="AA21" s="30" t="str">
        <f t="shared" si="6"/>
        <v>已计算</v>
      </c>
      <c r="AB21" s="30" t="str">
        <f t="shared" si="7"/>
        <v>有效</v>
      </c>
      <c r="AC21" s="30" t="str">
        <f t="shared" si="8"/>
        <v/>
      </c>
      <c r="AD21" s="31" t="s">
        <v>691</v>
      </c>
      <c r="AE21">
        <v>131000</v>
      </c>
      <c r="AF21">
        <f>INDEX(_统一战力!$B$2:$B$501,J21)</f>
        <v>403000</v>
      </c>
      <c r="AG21">
        <f>IF(INDEX(_统一战力!$D$2:$D$280,MATCH(I21,_统一战力!$C$2:$C$280,0))&gt;0,ROUND(INDEX(_统一战力!$D$2:$D$280,MATCH(I21,_统一战力!$C$2:$C$280,0)),-MAX(0,INT(LOG10(INDEX(_统一战力!$D$2:$D$280,MATCH(I21,_统一战力!$C$2:$C$280,0))))-2)),0)</f>
        <v>870000</v>
      </c>
      <c r="AH21" s="18">
        <f>推荐战力参数!$B$4</f>
        <v>0.5</v>
      </c>
      <c r="AI21">
        <f t="shared" si="9"/>
        <v>435000</v>
      </c>
    </row>
    <row r="22" ht="25" customHeight="1" spans="1:35">
      <c r="A22" s="30" t="s">
        <v>150</v>
      </c>
      <c r="B22" s="30" t="s">
        <v>58</v>
      </c>
      <c r="C22" s="31" t="s">
        <v>649</v>
      </c>
      <c r="D22" s="31" t="s">
        <v>692</v>
      </c>
      <c r="E22" s="31" t="s">
        <v>693</v>
      </c>
      <c r="F22" s="30" t="s">
        <v>651</v>
      </c>
      <c r="G22" s="40">
        <v>162</v>
      </c>
      <c r="H22" s="41"/>
      <c r="I22" s="42">
        <f t="shared" si="0"/>
        <v>162</v>
      </c>
      <c r="J22" s="51">
        <f>映射等级节点!C19</f>
        <v>160</v>
      </c>
      <c r="K22" s="44">
        <v>1.03619836966429</v>
      </c>
      <c r="L22" s="44">
        <v>0.917372203776233</v>
      </c>
      <c r="M22" s="44">
        <v>1</v>
      </c>
      <c r="N22" s="45"/>
      <c r="O22" s="45"/>
      <c r="P22" s="45"/>
      <c r="Q22" s="46">
        <f>IF($I22="","",IFERROR(INDEX(_玩家曲线!$H$2:$H$286,MATCH($I22,_玩家曲线!$A$2:$A$286,0)),""))</f>
        <v>1152022.39224362</v>
      </c>
      <c r="R22" s="46">
        <f>IF($I22="","",IFERROR(INDEX(_玩家曲线!$I$2:$I$286,MATCH($I22,_玩家曲线!$A$2:$A$286,0)),""))</f>
        <v>1699526.14481934</v>
      </c>
      <c r="S22" s="46">
        <f>IF(OR($J22="",$F22="不适用"),"",IFERROR(INDEX(_怪物模型!$D$2:$D$4501,(INT($J22)-1)*ROWS(_怪物类型!$A$2:$A$10)+MATCH($F22,_怪物类型!$A$2:$A$10,0))*IF($K22="",1,$K22),""))</f>
        <v>4402665.94972529</v>
      </c>
      <c r="T22" s="46">
        <f>IF(OR($J22="",$F22="不适用"),"",IFERROR(INDEX(_怪物模型!$E$2:$E$4501,(INT($J22)-1)*ROWS(_怪物类型!$A$2:$A$10)+MATCH($F22,_怪物类型!$A$2:$A$10,0))*IF($L22="",1,$L22),""))</f>
        <v>14061.4811394821</v>
      </c>
      <c r="U22" s="46">
        <f>IF(OR($J22="",$F22="不适用"),"",IFERROR(INDEX(_怪物模型!$F$2:$F$4501,(INT($J22)-1)*ROWS(_怪物类型!$A$2:$A$10)+MATCH($F22,_怪物类型!$A$2:$A$10,0))*IF($M22="",1,$M22),""))</f>
        <v>14723</v>
      </c>
      <c r="V22" s="47">
        <f t="shared" si="1"/>
        <v>0.380213309919169</v>
      </c>
      <c r="W22" s="48">
        <f t="shared" si="2"/>
        <v>7103518.06546719</v>
      </c>
      <c r="X22" s="48">
        <f t="shared" si="3"/>
        <v>6.16612846529202</v>
      </c>
      <c r="Y22" s="48">
        <f t="shared" si="4"/>
        <v>120.863949392029</v>
      </c>
      <c r="Z22" s="49" t="str">
        <f t="shared" si="5"/>
        <v/>
      </c>
      <c r="AA22" s="30" t="str">
        <f t="shared" si="6"/>
        <v>已计算</v>
      </c>
      <c r="AB22" s="30" t="str">
        <f t="shared" si="7"/>
        <v>有效</v>
      </c>
      <c r="AC22" s="30" t="str">
        <f t="shared" si="8"/>
        <v/>
      </c>
      <c r="AD22" s="31" t="s">
        <v>694</v>
      </c>
      <c r="AE22">
        <v>151000</v>
      </c>
      <c r="AF22">
        <f>INDEX(_统一战力!$B$2:$B$501,J22)</f>
        <v>409000</v>
      </c>
      <c r="AG22">
        <f>IF(INDEX(_统一战力!$D$2:$D$280,MATCH(I22,_统一战力!$C$2:$C$280,0))&gt;0,ROUND(INDEX(_统一战力!$D$2:$D$280,MATCH(I22,_统一战力!$C$2:$C$280,0)),-MAX(0,INT(LOG10(INDEX(_统一战力!$D$2:$D$280,MATCH(I22,_统一战力!$C$2:$C$280,0))))-2)),0)</f>
        <v>937000</v>
      </c>
      <c r="AH22" s="18">
        <f>推荐战力参数!$B$4</f>
        <v>0.5</v>
      </c>
      <c r="AI22">
        <f t="shared" si="9"/>
        <v>468500</v>
      </c>
    </row>
    <row r="23" ht="25" customHeight="1" spans="1:35">
      <c r="A23" s="30" t="s">
        <v>150</v>
      </c>
      <c r="B23" s="30" t="s">
        <v>58</v>
      </c>
      <c r="C23" s="31" t="s">
        <v>649</v>
      </c>
      <c r="D23" s="31" t="s">
        <v>695</v>
      </c>
      <c r="E23" s="31" t="s">
        <v>696</v>
      </c>
      <c r="F23" s="30" t="s">
        <v>651</v>
      </c>
      <c r="G23" s="40">
        <v>171</v>
      </c>
      <c r="H23" s="41"/>
      <c r="I23" s="42">
        <f t="shared" si="0"/>
        <v>171</v>
      </c>
      <c r="J23" s="51">
        <f>映射等级节点!C20</f>
        <v>172</v>
      </c>
      <c r="K23" s="44">
        <v>1.01820929899662</v>
      </c>
      <c r="L23" s="44">
        <v>0.932091789423659</v>
      </c>
      <c r="M23" s="44">
        <v>1</v>
      </c>
      <c r="N23" s="45"/>
      <c r="O23" s="45"/>
      <c r="P23" s="45"/>
      <c r="Q23" s="46">
        <f>IF($I23="","",IFERROR(INDEX(_玩家曲线!$H$2:$H$286,MATCH($I23,_玩家曲线!$A$2:$A$286,0)),""))</f>
        <v>1259819.65421983</v>
      </c>
      <c r="R23" s="46">
        <f>IF($I23="","",IFERROR(INDEX(_玩家曲线!$I$2:$I$286,MATCH($I23,_玩家曲线!$A$2:$A$286,0)),""))</f>
        <v>1814304.25340985</v>
      </c>
      <c r="S23" s="46">
        <f>IF(OR($J23="",$F23="不适用"),"",IFERROR(INDEX(_怪物模型!$D$2:$D$4501,(INT($J23)-1)*ROWS(_怪物类型!$A$2:$A$10)+MATCH($F23,_怪物类型!$A$2:$A$10,0))*IF($K23="",1,$K23),""))</f>
        <v>5176179.99268151</v>
      </c>
      <c r="T23" s="46">
        <f>IF(OR($J23="",$F23="不适用"),"",IFERROR(INDEX(_怪物模型!$E$2:$E$4501,(INT($J23)-1)*ROWS(_怪物类型!$A$2:$A$10)+MATCH($F23,_怪物类型!$A$2:$A$10,0))*IF($L23="",1,$L23),""))</f>
        <v>16006.8122997725</v>
      </c>
      <c r="U23" s="46">
        <f>IF(OR($J23="",$F23="不适用"),"",IFERROR(INDEX(_怪物模型!$F$2:$F$4501,(INT($J23)-1)*ROWS(_怪物类型!$A$2:$A$10)+MATCH($F23,_怪物类型!$A$2:$A$10,0))*IF($M23="",1,$M23),""))</f>
        <v>16062</v>
      </c>
      <c r="V23" s="47">
        <f t="shared" si="1"/>
        <v>0.400928560730867</v>
      </c>
      <c r="W23" s="48">
        <f t="shared" si="2"/>
        <v>8640338.45278361</v>
      </c>
      <c r="X23" s="48">
        <f t="shared" si="3"/>
        <v>6.85839312304928</v>
      </c>
      <c r="Y23" s="48">
        <f t="shared" si="4"/>
        <v>113.345756758554</v>
      </c>
      <c r="Z23" s="49" t="str">
        <f t="shared" si="5"/>
        <v/>
      </c>
      <c r="AA23" s="30" t="str">
        <f t="shared" si="6"/>
        <v>已计算</v>
      </c>
      <c r="AB23" s="30" t="str">
        <f t="shared" si="7"/>
        <v>有效</v>
      </c>
      <c r="AC23" s="30" t="str">
        <f t="shared" si="8"/>
        <v/>
      </c>
      <c r="AD23" s="31" t="s">
        <v>697</v>
      </c>
      <c r="AE23">
        <v>175000</v>
      </c>
      <c r="AF23">
        <f>INDEX(_统一战力!$B$2:$B$501,J23)</f>
        <v>454000</v>
      </c>
      <c r="AG23">
        <f>IF(INDEX(_统一战力!$D$2:$D$280,MATCH(I23,_统一战力!$C$2:$C$280,0))&gt;0,ROUND(INDEX(_统一战力!$D$2:$D$280,MATCH(I23,_统一战力!$C$2:$C$280,0)),-MAX(0,INT(LOG10(INDEX(_统一战力!$D$2:$D$280,MATCH(I23,_统一战力!$C$2:$C$280,0))))-2)),0)</f>
        <v>1000000</v>
      </c>
      <c r="AH23" s="18">
        <f>推荐战力参数!$B$4</f>
        <v>0.5</v>
      </c>
      <c r="AI23">
        <f t="shared" si="9"/>
        <v>500000</v>
      </c>
    </row>
    <row r="24" ht="25" customHeight="1" spans="1:35">
      <c r="A24" s="30" t="s">
        <v>150</v>
      </c>
      <c r="B24" s="30" t="s">
        <v>58</v>
      </c>
      <c r="C24" s="31" t="s">
        <v>649</v>
      </c>
      <c r="D24" s="31" t="s">
        <v>698</v>
      </c>
      <c r="E24" s="31" t="s">
        <v>699</v>
      </c>
      <c r="F24" s="30" t="s">
        <v>651</v>
      </c>
      <c r="G24" s="40">
        <v>181</v>
      </c>
      <c r="H24" s="41"/>
      <c r="I24" s="42">
        <f t="shared" si="0"/>
        <v>181</v>
      </c>
      <c r="J24" s="51">
        <f>映射等级节点!C21</f>
        <v>183</v>
      </c>
      <c r="K24" s="44">
        <v>1.01078130558729</v>
      </c>
      <c r="L24" s="44">
        <v>0.950442926549424</v>
      </c>
      <c r="M24" s="44">
        <v>1</v>
      </c>
      <c r="N24" s="45"/>
      <c r="O24" s="45"/>
      <c r="P24" s="45"/>
      <c r="Q24" s="46">
        <f>IF($I24="","",IFERROR(INDEX(_玩家曲线!$H$2:$H$286,MATCH($I24,_玩家曲线!$A$2:$A$286,0)),""))</f>
        <v>1377894.31762429</v>
      </c>
      <c r="R24" s="46">
        <f>IF($I24="","",IFERROR(INDEX(_玩家曲线!$I$2:$I$286,MATCH($I24,_玩家曲线!$A$2:$A$286,0)),""))</f>
        <v>1936600.79811508</v>
      </c>
      <c r="S24" s="46">
        <f>IF(OR($J24="",$F24="不适用"),"",IFERROR(INDEX(_怪物模型!$D$2:$D$4501,(INT($J24)-1)*ROWS(_怪物类型!$A$2:$A$10)+MATCH($F24,_怪物类型!$A$2:$A$10,0))*IF($K24="",1,$K24),""))</f>
        <v>6011188.18980031</v>
      </c>
      <c r="T24" s="46">
        <f>IF(OR($J24="",$F24="不适用"),"",IFERROR(INDEX(_怪物模型!$E$2:$E$4501,(INT($J24)-1)*ROWS(_怪物类型!$A$2:$A$10)+MATCH($F24,_怪物类型!$A$2:$A$10,0))*IF($L24="",1,$L24),""))</f>
        <v>18037.505860055</v>
      </c>
      <c r="U24" s="46">
        <f>IF(OR($J24="",$F24="不适用"),"",IFERROR(INDEX(_怪物模型!$F$2:$F$4501,(INT($J24)-1)*ROWS(_怪物类型!$A$2:$A$10)+MATCH($F24,_怪物类型!$A$2:$A$10,0))*IF($M24="",1,$M24),""))</f>
        <v>17318</v>
      </c>
      <c r="V24" s="47">
        <f t="shared" si="1"/>
        <v>0.419139358148991</v>
      </c>
      <c r="W24" s="48">
        <f t="shared" si="2"/>
        <v>10348761.4010904</v>
      </c>
      <c r="X24" s="48">
        <f t="shared" si="3"/>
        <v>7.51056250738686</v>
      </c>
      <c r="Y24" s="48">
        <f t="shared" si="4"/>
        <v>107.365220731752</v>
      </c>
      <c r="Z24" s="49" t="str">
        <f t="shared" si="5"/>
        <v/>
      </c>
      <c r="AA24" s="30" t="str">
        <f t="shared" si="6"/>
        <v>已计算</v>
      </c>
      <c r="AB24" s="30" t="str">
        <f t="shared" si="7"/>
        <v>有效</v>
      </c>
      <c r="AC24" s="30" t="str">
        <f t="shared" si="8"/>
        <v/>
      </c>
      <c r="AD24" s="31" t="s">
        <v>700</v>
      </c>
      <c r="AE24">
        <v>197000</v>
      </c>
      <c r="AF24">
        <f>INDEX(_统一战力!$B$2:$B$501,J24)</f>
        <v>522000</v>
      </c>
      <c r="AG24">
        <f>IF(INDEX(_统一战力!$D$2:$D$280,MATCH(I24,_统一战力!$C$2:$C$280,0))&gt;0,ROUND(INDEX(_统一战力!$D$2:$D$280,MATCH(I24,_统一战力!$C$2:$C$280,0)),-MAX(0,INT(LOG10(INDEX(_统一战力!$D$2:$D$280,MATCH(I24,_统一战力!$C$2:$C$280,0))))-2)),0)</f>
        <v>1070000</v>
      </c>
      <c r="AH24" s="18">
        <f>推荐战力参数!$B$4</f>
        <v>0.5</v>
      </c>
      <c r="AI24">
        <f t="shared" si="9"/>
        <v>535000</v>
      </c>
    </row>
    <row r="25" ht="25" customHeight="1" spans="1:35">
      <c r="A25" s="30" t="s">
        <v>150</v>
      </c>
      <c r="B25" s="30" t="s">
        <v>58</v>
      </c>
      <c r="C25" s="31" t="s">
        <v>649</v>
      </c>
      <c r="D25" s="31" t="s">
        <v>701</v>
      </c>
      <c r="E25" s="31" t="s">
        <v>702</v>
      </c>
      <c r="F25" s="30" t="s">
        <v>651</v>
      </c>
      <c r="G25" s="40">
        <v>190</v>
      </c>
      <c r="H25" s="41"/>
      <c r="I25" s="42">
        <f t="shared" si="0"/>
        <v>190</v>
      </c>
      <c r="J25" s="51">
        <f>映射等级节点!C22</f>
        <v>194</v>
      </c>
      <c r="K25" s="44">
        <v>1.00527491093789</v>
      </c>
      <c r="L25" s="44">
        <v>0.968823750844287</v>
      </c>
      <c r="M25" s="44">
        <v>1</v>
      </c>
      <c r="N25" s="45"/>
      <c r="O25" s="45"/>
      <c r="P25" s="45"/>
      <c r="Q25" s="46">
        <f>IF($I25="","",IFERROR(INDEX(_玩家曲线!$H$2:$H$286,MATCH($I25,_玩家曲线!$A$2:$A$286,0)),""))</f>
        <v>1485358.61627873</v>
      </c>
      <c r="R25" s="46">
        <f>IF($I25="","",IFERROR(INDEX(_玩家曲线!$I$2:$I$286,MATCH($I25,_玩家曲线!$A$2:$A$286,0)),""))</f>
        <v>2045070.07669524</v>
      </c>
      <c r="S25" s="46">
        <f>IF(OR($J25="",$F25="不适用"),"",IFERROR(INDEX(_怪物模型!$D$2:$D$4501,(INT($J25)-1)*ROWS(_怪物类型!$A$2:$A$10)+MATCH($F25,_怪物类型!$A$2:$A$10,0))*IF($K25="",1,$K25),""))</f>
        <v>6949024.14362773</v>
      </c>
      <c r="T25" s="46">
        <f>IF(OR($J25="",$F25="不适用"),"",IFERROR(INDEX(_怪物模型!$E$2:$E$4501,(INT($J25)-1)*ROWS(_怪物类型!$A$2:$A$10)+MATCH($F25,_怪物类型!$A$2:$A$10,0))*IF($L25="",1,$L25),""))</f>
        <v>20246.4787451439</v>
      </c>
      <c r="U25" s="46">
        <f>IF(OR($J25="",$F25="不适用"),"",IFERROR(INDEX(_怪物模型!$F$2:$F$4501,(INT($J25)-1)*ROWS(_怪物类型!$A$2:$A$10)+MATCH($F25,_怪物类型!$A$2:$A$10,0))*IF($M25="",1,$M25),""))</f>
        <v>18602</v>
      </c>
      <c r="V25" s="47">
        <f t="shared" si="1"/>
        <v>0.436646166846627</v>
      </c>
      <c r="W25" s="48">
        <f t="shared" si="2"/>
        <v>12335096.9402845</v>
      </c>
      <c r="X25" s="48">
        <f t="shared" si="3"/>
        <v>8.30445712240702</v>
      </c>
      <c r="Y25" s="48">
        <f t="shared" si="4"/>
        <v>101.008679209749</v>
      </c>
      <c r="Z25" s="49" t="str">
        <f t="shared" si="5"/>
        <v/>
      </c>
      <c r="AA25" s="30" t="str">
        <f t="shared" si="6"/>
        <v>已计算</v>
      </c>
      <c r="AB25" s="30" t="str">
        <f t="shared" si="7"/>
        <v>有效</v>
      </c>
      <c r="AC25" s="30" t="str">
        <f t="shared" si="8"/>
        <v/>
      </c>
      <c r="AD25" s="31" t="s">
        <v>703</v>
      </c>
      <c r="AE25">
        <v>225000</v>
      </c>
      <c r="AF25">
        <f>INDEX(_统一战力!$B$2:$B$501,J25)</f>
        <v>604000</v>
      </c>
      <c r="AG25">
        <f>IF(INDEX(_统一战力!$D$2:$D$280,MATCH(I25,_统一战力!$C$2:$C$280,0))&gt;0,ROUND(INDEX(_统一战力!$D$2:$D$280,MATCH(I25,_统一战力!$C$2:$C$280,0)),-MAX(0,INT(LOG10(INDEX(_统一战力!$D$2:$D$280,MATCH(I25,_统一战力!$C$2:$C$280,0))))-2)),0)</f>
        <v>1120000</v>
      </c>
      <c r="AH25" s="18">
        <f>推荐战力参数!$B$4</f>
        <v>0.5</v>
      </c>
      <c r="AI25">
        <f t="shared" si="9"/>
        <v>560000</v>
      </c>
    </row>
    <row r="26" ht="25" customHeight="1" spans="1:35">
      <c r="A26" s="30" t="s">
        <v>150</v>
      </c>
      <c r="B26" s="30" t="s">
        <v>58</v>
      </c>
      <c r="C26" s="31" t="s">
        <v>649</v>
      </c>
      <c r="D26" s="31" t="s">
        <v>704</v>
      </c>
      <c r="E26" s="31" t="s">
        <v>705</v>
      </c>
      <c r="F26" s="30" t="s">
        <v>651</v>
      </c>
      <c r="G26" s="40">
        <v>200</v>
      </c>
      <c r="H26" s="41"/>
      <c r="I26" s="42">
        <f t="shared" si="0"/>
        <v>200</v>
      </c>
      <c r="J26" s="51">
        <f>映射等级节点!C23</f>
        <v>206</v>
      </c>
      <c r="K26" s="44">
        <v>1.00339828561656</v>
      </c>
      <c r="L26" s="44">
        <v>0.990370075015221</v>
      </c>
      <c r="M26" s="44">
        <v>1</v>
      </c>
      <c r="N26" s="45"/>
      <c r="O26" s="45"/>
      <c r="P26" s="45"/>
      <c r="Q26" s="46">
        <f>IF($I26="","",IFERROR(INDEX(_玩家曲线!$H$2:$H$286,MATCH($I26,_玩家曲线!$A$2:$A$286,0)),""))</f>
        <v>1598887.91498532</v>
      </c>
      <c r="R26" s="46">
        <f>IF($I26="","",IFERROR(INDEX(_玩家曲线!$I$2:$I$286,MATCH($I26,_玩家曲线!$A$2:$A$286,0)),""))</f>
        <v>2157149.20541855</v>
      </c>
      <c r="S26" s="46">
        <f>IF(OR($J26="",$F26="不适用"),"",IFERROR(INDEX(_怪物模型!$D$2:$D$4501,(INT($J26)-1)*ROWS(_怪物类型!$A$2:$A$10)+MATCH($F26,_怪物类型!$A$2:$A$10,0))*IF($K26="",1,$K26),""))</f>
        <v>8119519.9985732</v>
      </c>
      <c r="T26" s="46">
        <f>IF(OR($J26="",$F26="不适用"),"",IFERROR(INDEX(_怪物模型!$E$2:$E$4501,(INT($J26)-1)*ROWS(_怪物类型!$A$2:$A$10)+MATCH($F26,_怪物类型!$A$2:$A$10,0))*IF($L26="",1,$L26),""))</f>
        <v>22907.2598351021</v>
      </c>
      <c r="U26" s="46">
        <f>IF(OR($J26="",$F26="不适用"),"",IFERROR(INDEX(_怪物模型!$F$2:$F$4501,(INT($J26)-1)*ROWS(_怪物类型!$A$2:$A$10)+MATCH($F26,_怪物类型!$A$2:$A$10,0))*IF($M26="",1,$M26),""))</f>
        <v>20033</v>
      </c>
      <c r="V26" s="47">
        <f t="shared" si="1"/>
        <v>0.454954238866305</v>
      </c>
      <c r="W26" s="48">
        <f t="shared" si="2"/>
        <v>14896951.0040489</v>
      </c>
      <c r="X26" s="48">
        <f t="shared" si="3"/>
        <v>9.3170702363997</v>
      </c>
      <c r="Y26" s="48">
        <f t="shared" si="4"/>
        <v>94.1688015479281</v>
      </c>
      <c r="Z26" s="49" t="str">
        <f t="shared" si="5"/>
        <v/>
      </c>
      <c r="AA26" s="30" t="str">
        <f t="shared" si="6"/>
        <v>已计算</v>
      </c>
      <c r="AB26" s="30" t="str">
        <f t="shared" si="7"/>
        <v>有效</v>
      </c>
      <c r="AC26" s="30" t="str">
        <f t="shared" si="8"/>
        <v/>
      </c>
      <c r="AD26" s="31" t="s">
        <v>706</v>
      </c>
      <c r="AE26">
        <v>249000</v>
      </c>
      <c r="AF26">
        <f>INDEX(_统一战力!$B$2:$B$501,J26)</f>
        <v>694000</v>
      </c>
      <c r="AG26">
        <f>IF(INDEX(_统一战力!$D$2:$D$280,MATCH(I26,_统一战力!$C$2:$C$280,0))&gt;0,ROUND(INDEX(_统一战力!$D$2:$D$280,MATCH(I26,_统一战力!$C$2:$C$280,0)),-MAX(0,INT(LOG10(INDEX(_统一战力!$D$2:$D$280,MATCH(I26,_统一战力!$C$2:$C$280,0))))-2)),0)</f>
        <v>1180000</v>
      </c>
      <c r="AH26" s="18">
        <f>推荐战力参数!$B$4</f>
        <v>0.5</v>
      </c>
      <c r="AI26">
        <f t="shared" si="9"/>
        <v>590000</v>
      </c>
    </row>
    <row r="27" ht="25" customHeight="1" spans="1:35">
      <c r="A27" s="30" t="s">
        <v>150</v>
      </c>
      <c r="B27" s="30" t="s">
        <v>58</v>
      </c>
      <c r="C27" s="31" t="s">
        <v>649</v>
      </c>
      <c r="D27" s="31" t="s">
        <v>707</v>
      </c>
      <c r="E27" s="31" t="s">
        <v>708</v>
      </c>
      <c r="F27" s="30" t="s">
        <v>651</v>
      </c>
      <c r="G27" s="40">
        <v>210</v>
      </c>
      <c r="H27" s="41"/>
      <c r="I27" s="42">
        <f t="shared" si="0"/>
        <v>210</v>
      </c>
      <c r="J27" s="51">
        <f>映射等级节点!C24</f>
        <v>218</v>
      </c>
      <c r="K27" s="44">
        <v>0.991291585353962</v>
      </c>
      <c r="L27" s="44">
        <v>1.0047303418767</v>
      </c>
      <c r="M27" s="44">
        <v>1</v>
      </c>
      <c r="N27" s="45"/>
      <c r="O27" s="45"/>
      <c r="P27" s="45"/>
      <c r="Q27" s="46">
        <f>IF($I27="","",IFERROR(INDEX(_玩家曲线!$H$2:$H$286,MATCH($I27,_玩家曲线!$A$2:$A$286,0)),""))</f>
        <v>1712888.89787635</v>
      </c>
      <c r="R27" s="46">
        <f>IF($I27="","",IFERROR(INDEX(_玩家曲线!$I$2:$I$286,MATCH($I27,_玩家曲线!$A$2:$A$286,0)),""))</f>
        <v>2267203.09945018</v>
      </c>
      <c r="S27" s="46">
        <f>IF(OR($J27="",$F27="不适用"),"",IFERROR(INDEX(_怪物模型!$D$2:$D$4501,(INT($J27)-1)*ROWS(_怪物类型!$A$2:$A$10)+MATCH($F27,_怪物类型!$A$2:$A$10,0))*IF($K27="",1,$K27),""))</f>
        <v>9332469.03090195</v>
      </c>
      <c r="T27" s="46">
        <f>IF(OR($J27="",$F27="不适用"),"",IFERROR(INDEX(_怪物模型!$E$2:$E$4501,(INT($J27)-1)*ROWS(_怪物类型!$A$2:$A$10)+MATCH($F27,_怪物类型!$A$2:$A$10,0))*IF($L27="",1,$L27),""))</f>
        <v>25634.6899426421</v>
      </c>
      <c r="U27" s="46">
        <f>IF(OR($J27="",$F27="不适用"),"",IFERROR(INDEX(_怪物模型!$F$2:$F$4501,(INT($J27)-1)*ROWS(_怪物类型!$A$2:$A$10)+MATCH($F27,_怪物类型!$A$2:$A$10,0))*IF($M27="",1,$M27),""))</f>
        <v>21498</v>
      </c>
      <c r="V27" s="47">
        <f t="shared" si="1"/>
        <v>0.472504285902677</v>
      </c>
      <c r="W27" s="48">
        <f t="shared" si="2"/>
        <v>17692028.1653324</v>
      </c>
      <c r="X27" s="48">
        <f t="shared" si="3"/>
        <v>10.328765740304</v>
      </c>
      <c r="Y27" s="48">
        <f t="shared" si="4"/>
        <v>88.4427744015266</v>
      </c>
      <c r="Z27" s="49" t="str">
        <f t="shared" si="5"/>
        <v/>
      </c>
      <c r="AA27" s="30" t="str">
        <f t="shared" si="6"/>
        <v>已计算</v>
      </c>
      <c r="AB27" s="30" t="str">
        <f t="shared" si="7"/>
        <v>有效</v>
      </c>
      <c r="AC27" s="30" t="str">
        <f t="shared" si="8"/>
        <v/>
      </c>
      <c r="AD27" s="31" t="s">
        <v>709</v>
      </c>
      <c r="AE27">
        <v>280000</v>
      </c>
      <c r="AF27">
        <f>INDEX(_统一战力!$B$2:$B$501,J27)</f>
        <v>785000</v>
      </c>
      <c r="AG27">
        <f>IF(INDEX(_统一战力!$D$2:$D$280,MATCH(I27,_统一战力!$C$2:$C$280,0))&gt;0,ROUND(INDEX(_统一战力!$D$2:$D$280,MATCH(I27,_统一战力!$C$2:$C$280,0)),-MAX(0,INT(LOG10(INDEX(_统一战力!$D$2:$D$280,MATCH(I27,_统一战力!$C$2:$C$280,0))))-2)),0)</f>
        <v>1240000</v>
      </c>
      <c r="AH27" s="18">
        <f>推荐战力参数!$B$4</f>
        <v>0.5</v>
      </c>
      <c r="AI27">
        <f t="shared" si="9"/>
        <v>620000</v>
      </c>
    </row>
    <row r="28" ht="25" customHeight="1" spans="1:35">
      <c r="A28" s="30" t="s">
        <v>150</v>
      </c>
      <c r="B28" s="30" t="s">
        <v>58</v>
      </c>
      <c r="C28" s="31" t="s">
        <v>649</v>
      </c>
      <c r="D28" s="31" t="s">
        <v>710</v>
      </c>
      <c r="E28" s="31" t="s">
        <v>711</v>
      </c>
      <c r="F28" s="30" t="s">
        <v>651</v>
      </c>
      <c r="G28" s="40">
        <v>219</v>
      </c>
      <c r="H28" s="41"/>
      <c r="I28" s="42">
        <f t="shared" si="0"/>
        <v>219</v>
      </c>
      <c r="J28" s="51">
        <f>映射等级节点!C25</f>
        <v>229</v>
      </c>
      <c r="K28" s="44">
        <v>0.993693814058289</v>
      </c>
      <c r="L28" s="44">
        <v>1.02565018242229</v>
      </c>
      <c r="M28" s="44">
        <v>1</v>
      </c>
      <c r="N28" s="45"/>
      <c r="O28" s="45"/>
      <c r="P28" s="45"/>
      <c r="Q28" s="46">
        <f>IF($I28="","",IFERROR(INDEX(_玩家曲线!$H$2:$H$286,MATCH($I28,_玩家曲线!$A$2:$A$286,0)),""))</f>
        <v>1816159.65519485</v>
      </c>
      <c r="R28" s="46">
        <f>IF($I28="","",IFERROR(INDEX(_玩家曲线!$I$2:$I$286,MATCH($I28,_玩家曲线!$A$2:$A$286,0)),""))</f>
        <v>2364922.59596417</v>
      </c>
      <c r="S28" s="46">
        <f>IF(OR($J28="",$F28="不适用"),"",IFERROR(INDEX(_怪物模型!$D$2:$D$4501,(INT($J28)-1)*ROWS(_怪物类型!$A$2:$A$10)+MATCH($F28,_怪物类型!$A$2:$A$10,0))*IF($K28="",1,$K28),""))</f>
        <v>10694922.8134775</v>
      </c>
      <c r="T28" s="46">
        <f>IF(OR($J28="",$F28="不适用"),"",IFERROR(INDEX(_怪物模型!$E$2:$E$4501,(INT($J28)-1)*ROWS(_怪物类型!$A$2:$A$10)+MATCH($F28,_怪物类型!$A$2:$A$10,0))*IF($L28="",1,$L28),""))</f>
        <v>28556.1523790014</v>
      </c>
      <c r="U28" s="46">
        <f>IF(OR($J28="",$F28="不适用"),"",IFERROR(INDEX(_怪物模型!$F$2:$F$4501,(INT($J28)-1)*ROWS(_怪物类型!$A$2:$A$10)+MATCH($F28,_怪物类型!$A$2:$A$10,0))*IF($M28="",1,$M28),""))</f>
        <v>22869</v>
      </c>
      <c r="V28" s="47">
        <f t="shared" si="1"/>
        <v>0.487934455610318</v>
      </c>
      <c r="W28" s="48">
        <f t="shared" si="2"/>
        <v>20885847.3893698</v>
      </c>
      <c r="X28" s="48">
        <f t="shared" si="3"/>
        <v>11.5000062519994</v>
      </c>
      <c r="Y28" s="48">
        <f t="shared" si="4"/>
        <v>82.8165701238939</v>
      </c>
      <c r="Z28" s="49" t="str">
        <f t="shared" si="5"/>
        <v/>
      </c>
      <c r="AA28" s="30" t="str">
        <f t="shared" si="6"/>
        <v>已计算</v>
      </c>
      <c r="AB28" s="30" t="str">
        <f t="shared" si="7"/>
        <v>有效</v>
      </c>
      <c r="AC28" s="30" t="str">
        <f t="shared" si="8"/>
        <v/>
      </c>
      <c r="AD28" s="31" t="s">
        <v>712</v>
      </c>
      <c r="AE28">
        <v>314000</v>
      </c>
      <c r="AF28">
        <f>INDEX(_统一战力!$B$2:$B$501,J28)</f>
        <v>878000</v>
      </c>
      <c r="AG28">
        <f>IF(INDEX(_统一战力!$D$2:$D$280,MATCH(I28,_统一战力!$C$2:$C$280,0))&gt;0,ROUND(INDEX(_统一战力!$D$2:$D$280,MATCH(I28,_统一战力!$C$2:$C$280,0)),-MAX(0,INT(LOG10(INDEX(_统一战力!$D$2:$D$280,MATCH(I28,_统一战力!$C$2:$C$280,0))))-2)),0)</f>
        <v>1290000</v>
      </c>
      <c r="AH28" s="18">
        <f>推荐战力参数!$B$4</f>
        <v>0.5</v>
      </c>
      <c r="AI28">
        <f t="shared" si="9"/>
        <v>645000</v>
      </c>
    </row>
    <row r="29" ht="25" customHeight="1" spans="1:35">
      <c r="A29" s="30" t="s">
        <v>150</v>
      </c>
      <c r="B29" s="30" t="s">
        <v>58</v>
      </c>
      <c r="C29" s="31" t="s">
        <v>649</v>
      </c>
      <c r="D29" s="31" t="s">
        <v>713</v>
      </c>
      <c r="E29" s="31" t="s">
        <v>714</v>
      </c>
      <c r="F29" s="30" t="s">
        <v>651</v>
      </c>
      <c r="G29" s="40">
        <v>229</v>
      </c>
      <c r="H29" s="41"/>
      <c r="I29" s="42">
        <f t="shared" si="0"/>
        <v>229</v>
      </c>
      <c r="J29" s="51">
        <f>映射等级节点!C26</f>
        <v>241</v>
      </c>
      <c r="K29" s="44">
        <v>0.986320932671804</v>
      </c>
      <c r="L29" s="44">
        <v>1.04120234772454</v>
      </c>
      <c r="M29" s="44">
        <v>1</v>
      </c>
      <c r="N29" s="45"/>
      <c r="O29" s="45"/>
      <c r="P29" s="45"/>
      <c r="Q29" s="46">
        <f>IF($I29="","",IFERROR(INDEX(_玩家曲线!$H$2:$H$286,MATCH($I29,_玩家曲线!$A$2:$A$286,0)),""))</f>
        <v>1927364.21561704</v>
      </c>
      <c r="R29" s="46">
        <f>IF($I29="","",IFERROR(INDEX(_玩家曲线!$I$2:$I$286,MATCH($I29,_玩家曲线!$A$2:$A$286,0)),""))</f>
        <v>2468275.0932094</v>
      </c>
      <c r="S29" s="46">
        <f>IF(OR($J29="",$F29="不适用"),"",IFERROR(INDEX(_怪物模型!$D$2:$D$4501,(INT($J29)-1)*ROWS(_怪物类型!$A$2:$A$10)+MATCH($F29,_怪物类型!$A$2:$A$10,0))*IF($K29="",1,$K29),""))</f>
        <v>12224967.6221728</v>
      </c>
      <c r="T29" s="46">
        <f>IF(OR($J29="",$F29="不适用"),"",IFERROR(INDEX(_怪物模型!$E$2:$E$4501,(INT($J29)-1)*ROWS(_怪物类型!$A$2:$A$10)+MATCH($F29,_怪物类型!$A$2:$A$10,0))*IF($L29="",1,$L29),""))</f>
        <v>31803.5257112461</v>
      </c>
      <c r="U29" s="46">
        <f>IF(OR($J29="",$F29="不适用"),"",IFERROR(INDEX(_怪物模型!$F$2:$F$4501,(INT($J29)-1)*ROWS(_怪物类型!$A$2:$A$10)+MATCH($F29,_怪物类型!$A$2:$A$10,0))*IF($M29="",1,$M29),""))</f>
        <v>24396</v>
      </c>
      <c r="V29" s="47">
        <f t="shared" si="1"/>
        <v>0.504091247210513</v>
      </c>
      <c r="W29" s="48">
        <f t="shared" si="2"/>
        <v>24651647.2101114</v>
      </c>
      <c r="X29" s="48">
        <f t="shared" si="3"/>
        <v>12.7903418618879</v>
      </c>
      <c r="Y29" s="48">
        <f t="shared" si="4"/>
        <v>77.6101088797394</v>
      </c>
      <c r="Z29" s="49" t="str">
        <f t="shared" si="5"/>
        <v/>
      </c>
      <c r="AA29" s="30" t="str">
        <f t="shared" si="6"/>
        <v>已计算</v>
      </c>
      <c r="AB29" s="30" t="str">
        <f t="shared" si="7"/>
        <v>有效</v>
      </c>
      <c r="AC29" s="30" t="str">
        <f t="shared" si="8"/>
        <v/>
      </c>
      <c r="AD29" s="31" t="s">
        <v>715</v>
      </c>
      <c r="AE29">
        <v>347000</v>
      </c>
      <c r="AF29">
        <f>INDEX(_统一战力!$B$2:$B$501,J29)</f>
        <v>979000</v>
      </c>
      <c r="AG29">
        <f>IF(INDEX(_统一战力!$D$2:$D$280,MATCH(I29,_统一战力!$C$2:$C$280,0))&gt;0,ROUND(INDEX(_统一战力!$D$2:$D$280,MATCH(I29,_统一战力!$C$2:$C$280,0)),-MAX(0,INT(LOG10(INDEX(_统一战力!$D$2:$D$280,MATCH(I29,_统一战力!$C$2:$C$280,0))))-2)),0)</f>
        <v>1350000</v>
      </c>
      <c r="AH29" s="18">
        <f>推荐战力参数!$B$4</f>
        <v>0.5</v>
      </c>
      <c r="AI29">
        <f t="shared" si="9"/>
        <v>675000</v>
      </c>
    </row>
    <row r="30" ht="25" customHeight="1" spans="1:35">
      <c r="A30" s="30" t="s">
        <v>150</v>
      </c>
      <c r="B30" s="30" t="s">
        <v>58</v>
      </c>
      <c r="C30" s="31" t="s">
        <v>649</v>
      </c>
      <c r="D30" s="31" t="s">
        <v>716</v>
      </c>
      <c r="E30" s="31" t="s">
        <v>717</v>
      </c>
      <c r="F30" s="30" t="s">
        <v>651</v>
      </c>
      <c r="G30" s="40">
        <v>239</v>
      </c>
      <c r="H30" s="41"/>
      <c r="I30" s="42">
        <f t="shared" si="0"/>
        <v>239</v>
      </c>
      <c r="J30" s="51">
        <f>映射等级节点!C27</f>
        <v>254</v>
      </c>
      <c r="K30" s="44">
        <v>0.981895192599818</v>
      </c>
      <c r="L30" s="44">
        <v>1.0592137273962</v>
      </c>
      <c r="M30" s="44">
        <v>1</v>
      </c>
      <c r="N30" s="45"/>
      <c r="O30" s="45"/>
      <c r="P30" s="45"/>
      <c r="Q30" s="46">
        <f>IF($I30="","",IFERROR(INDEX(_玩家曲线!$H$2:$H$286,MATCH($I30,_玩家曲线!$A$2:$A$286,0)),""))</f>
        <v>2040067.19006558</v>
      </c>
      <c r="R30" s="46">
        <f>IF($I30="","",IFERROR(INDEX(_玩家曲线!$I$2:$I$286,MATCH($I30,_玩家曲线!$A$2:$A$286,0)),""))</f>
        <v>2571090.14854254</v>
      </c>
      <c r="S30" s="46">
        <f>IF(OR($J30="",$F30="不适用"),"",IFERROR(INDEX(_怪物模型!$D$2:$D$4501,(INT($J30)-1)*ROWS(_怪物类型!$A$2:$A$10)+MATCH($F30,_怪物类型!$A$2:$A$10,0))*IF($K30="",1,$K30),""))</f>
        <v>14107369.360726</v>
      </c>
      <c r="T30" s="46">
        <f>IF(OR($J30="",$F30="不适用"),"",IFERROR(INDEX(_怪物模型!$E$2:$E$4501,(INT($J30)-1)*ROWS(_怪物类型!$A$2:$A$10)+MATCH($F30,_怪物类型!$A$2:$A$10,0))*IF($L30="",1,$L30),""))</f>
        <v>35671.1406975218</v>
      </c>
      <c r="U30" s="46">
        <f>IF(OR($J30="",$F30="不适用"),"",IFERROR(INDEX(_怪物模型!$F$2:$F$4501,(INT($J30)-1)*ROWS(_怪物类型!$A$2:$A$10)+MATCH($F30,_怪物类型!$A$2:$A$10,0))*IF($M30="",1,$M30),""))</f>
        <v>26088</v>
      </c>
      <c r="V30" s="47">
        <f t="shared" si="1"/>
        <v>0.520843315764255</v>
      </c>
      <c r="W30" s="48">
        <f t="shared" si="2"/>
        <v>29442079.8558351</v>
      </c>
      <c r="X30" s="48">
        <f t="shared" si="3"/>
        <v>14.4319167521579</v>
      </c>
      <c r="Y30" s="48">
        <f t="shared" si="4"/>
        <v>72.0775982563731</v>
      </c>
      <c r="Z30" s="49" t="str">
        <f t="shared" si="5"/>
        <v/>
      </c>
      <c r="AA30" s="30" t="str">
        <f t="shared" si="6"/>
        <v>已计算</v>
      </c>
      <c r="AB30" s="30" t="str">
        <f t="shared" si="7"/>
        <v>有效</v>
      </c>
      <c r="AC30" s="30" t="str">
        <f t="shared" si="8"/>
        <v/>
      </c>
      <c r="AD30" s="31" t="s">
        <v>718</v>
      </c>
      <c r="AE30">
        <v>386000</v>
      </c>
      <c r="AF30">
        <f>INDEX(_统一战力!$B$2:$B$501,J30)</f>
        <v>1090000</v>
      </c>
      <c r="AG30">
        <f>IF(INDEX(_统一战力!$D$2:$D$280,MATCH(I30,_统一战力!$C$2:$C$280,0))&gt;0,ROUND(INDEX(_统一战力!$D$2:$D$280,MATCH(I30,_统一战力!$C$2:$C$280,0)),-MAX(0,INT(LOG10(INDEX(_统一战力!$D$2:$D$280,MATCH(I30,_统一战力!$C$2:$C$280,0))))-2)),0)</f>
        <v>1400000</v>
      </c>
      <c r="AH30" s="18">
        <f>推荐战力参数!$B$4</f>
        <v>0.5</v>
      </c>
      <c r="AI30">
        <f t="shared" si="9"/>
        <v>700000</v>
      </c>
    </row>
    <row r="31" ht="25" customHeight="1" spans="1:35">
      <c r="A31" s="30" t="s">
        <v>150</v>
      </c>
      <c r="B31" s="30" t="s">
        <v>58</v>
      </c>
      <c r="C31" s="31" t="s">
        <v>649</v>
      </c>
      <c r="D31" s="31" t="s">
        <v>719</v>
      </c>
      <c r="E31" s="31" t="s">
        <v>720</v>
      </c>
      <c r="F31" s="30" t="s">
        <v>651</v>
      </c>
      <c r="G31" s="40">
        <v>249</v>
      </c>
      <c r="H31" s="41"/>
      <c r="I31" s="42">
        <f t="shared" si="0"/>
        <v>249</v>
      </c>
      <c r="J31" s="51">
        <f>映射等级节点!C28</f>
        <v>266</v>
      </c>
      <c r="K31" s="44">
        <v>0.980177379645643</v>
      </c>
      <c r="L31" s="44">
        <v>1.07696873232885</v>
      </c>
      <c r="M31" s="44">
        <v>1</v>
      </c>
      <c r="N31" s="45"/>
      <c r="O31" s="45"/>
      <c r="P31" s="45"/>
      <c r="Q31" s="46">
        <f>IF($I31="","",IFERROR(INDEX(_玩家曲线!$H$2:$H$286,MATCH($I31,_玩家曲线!$A$2:$A$286,0)),""))</f>
        <v>2153651.59995315</v>
      </c>
      <c r="R31" s="46">
        <f>IF($I31="","",IFERROR(INDEX(_玩家曲线!$I$2:$I$286,MATCH($I31,_玩家曲线!$A$2:$A$286,0)),""))</f>
        <v>2672892.55860836</v>
      </c>
      <c r="S31" s="46">
        <f>IF(OR($J31="",$F31="不适用"),"",IFERROR(INDEX(_怪物模型!$D$2:$D$4501,(INT($J31)-1)*ROWS(_怪物类型!$A$2:$A$10)+MATCH($F31,_怪物类型!$A$2:$A$10,0))*IF($K31="",1,$K31),""))</f>
        <v>16069259.2837723</v>
      </c>
      <c r="T31" s="46">
        <f>IF(OR($J31="",$F31="不适用"),"",IFERROR(INDEX(_怪物模型!$E$2:$E$4501,(INT($J31)-1)*ROWS(_怪物类型!$A$2:$A$10)+MATCH($F31,_怪物类型!$A$2:$A$10,0))*IF($L31="",1,$L31),""))</f>
        <v>39597.9863502672</v>
      </c>
      <c r="U31" s="46">
        <f>IF(OR($J31="",$F31="不适用"),"",IFERROR(INDEX(_怪物模型!$F$2:$F$4501,(INT($J31)-1)*ROWS(_怪物类型!$A$2:$A$10)+MATCH($F31,_怪物类型!$A$2:$A$10,0))*IF($M31="",1,$M31),""))</f>
        <v>27683</v>
      </c>
      <c r="V31" s="47">
        <f t="shared" si="1"/>
        <v>0.535630671594141</v>
      </c>
      <c r="W31" s="48">
        <f t="shared" si="2"/>
        <v>34604480.3151334</v>
      </c>
      <c r="X31" s="48">
        <f t="shared" si="3"/>
        <v>16.0678172439248</v>
      </c>
      <c r="Y31" s="48">
        <f t="shared" si="4"/>
        <v>67.5007192276161</v>
      </c>
      <c r="Z31" s="49" t="str">
        <f t="shared" si="5"/>
        <v/>
      </c>
      <c r="AA31" s="30" t="str">
        <f t="shared" si="6"/>
        <v>已计算</v>
      </c>
      <c r="AB31" s="30" t="str">
        <f t="shared" si="7"/>
        <v>有效</v>
      </c>
      <c r="AC31" s="30" t="str">
        <f t="shared" si="8"/>
        <v/>
      </c>
      <c r="AD31" s="31" t="s">
        <v>721</v>
      </c>
      <c r="AE31">
        <v>426000</v>
      </c>
      <c r="AF31">
        <f>INDEX(_统一战力!$B$2:$B$501,J31)</f>
        <v>1190000</v>
      </c>
      <c r="AG31">
        <f>IF(INDEX(_统一战力!$D$2:$D$280,MATCH(I31,_统一战力!$C$2:$C$280,0))&gt;0,ROUND(INDEX(_统一战力!$D$2:$D$280,MATCH(I31,_统一战力!$C$2:$C$280,0)),-MAX(0,INT(LOG10(INDEX(_统一战力!$D$2:$D$280,MATCH(I31,_统一战力!$C$2:$C$280,0))))-2)),0)</f>
        <v>1450000</v>
      </c>
      <c r="AH31" s="18">
        <f>推荐战力参数!$B$4</f>
        <v>0.5</v>
      </c>
      <c r="AI31">
        <f t="shared" si="9"/>
        <v>725000</v>
      </c>
    </row>
    <row r="32" ht="25" customHeight="1" spans="1:35">
      <c r="A32" s="30" t="s">
        <v>150</v>
      </c>
      <c r="B32" s="30" t="s">
        <v>58</v>
      </c>
      <c r="C32" s="31" t="s">
        <v>649</v>
      </c>
      <c r="D32" s="31" t="s">
        <v>722</v>
      </c>
      <c r="E32" s="31" t="s">
        <v>723</v>
      </c>
      <c r="F32" s="30" t="s">
        <v>651</v>
      </c>
      <c r="G32" s="40">
        <v>259</v>
      </c>
      <c r="H32" s="41"/>
      <c r="I32" s="42">
        <f t="shared" si="0"/>
        <v>259</v>
      </c>
      <c r="J32" s="51">
        <f>映射等级节点!C29</f>
        <v>279</v>
      </c>
      <c r="K32" s="44">
        <v>0.966628607471665</v>
      </c>
      <c r="L32" s="44">
        <v>1.08685322087678</v>
      </c>
      <c r="M32" s="44">
        <v>1</v>
      </c>
      <c r="N32" s="45"/>
      <c r="O32" s="45"/>
      <c r="P32" s="45"/>
      <c r="Q32" s="46">
        <f>IF($I32="","",IFERROR(INDEX(_玩家曲线!$H$2:$H$286,MATCH($I32,_玩家曲线!$A$2:$A$286,0)),""))</f>
        <v>2266123.09072064</v>
      </c>
      <c r="R32" s="46">
        <f>IF($I32="","",IFERROR(INDEX(_玩家曲线!$I$2:$I$286,MATCH($I32,_玩家曲线!$A$2:$A$286,0)),""))</f>
        <v>2772030.55215342</v>
      </c>
      <c r="S32" s="46">
        <f>IF(OR($J32="",$F32="不适用"),"",IFERROR(INDEX(_怪物模型!$D$2:$D$4501,(INT($J32)-1)*ROWS(_怪物类型!$A$2:$A$10)+MATCH($F32,_怪物类型!$A$2:$A$10,0))*IF($K32="",1,$K32),""))</f>
        <v>18203227.0819515</v>
      </c>
      <c r="T32" s="46">
        <f>IF(OR($J32="",$F32="不适用"),"",IFERROR(INDEX(_怪物模型!$E$2:$E$4501,(INT($J32)-1)*ROWS(_怪物类型!$A$2:$A$10)+MATCH($F32,_怪物类型!$A$2:$A$10,0))*IF($L32="",1,$L32),""))</f>
        <v>43851.2669027154</v>
      </c>
      <c r="U32" s="46">
        <f>IF(OR($J32="",$F32="不适用"),"",IFERROR(INDEX(_怪物模型!$F$2:$F$4501,(INT($J32)-1)*ROWS(_怪物类型!$A$2:$A$10)+MATCH($F32,_怪物类型!$A$2:$A$10,0))*IF($M32="",1,$M32),""))</f>
        <v>29449</v>
      </c>
      <c r="V32" s="47">
        <f t="shared" si="1"/>
        <v>0.550973825515912</v>
      </c>
      <c r="W32" s="48">
        <f t="shared" si="2"/>
        <v>40539345.1793011</v>
      </c>
      <c r="X32" s="48">
        <f t="shared" si="3"/>
        <v>17.8892953102602</v>
      </c>
      <c r="Y32" s="48">
        <f t="shared" si="4"/>
        <v>63.2143777807652</v>
      </c>
      <c r="Z32" s="49" t="str">
        <f t="shared" si="5"/>
        <v/>
      </c>
      <c r="AA32" s="30" t="str">
        <f t="shared" si="6"/>
        <v>已计算</v>
      </c>
      <c r="AB32" s="30" t="str">
        <f t="shared" si="7"/>
        <v>有效</v>
      </c>
      <c r="AC32" s="30" t="str">
        <f t="shared" si="8"/>
        <v/>
      </c>
      <c r="AD32" s="31" t="s">
        <v>724</v>
      </c>
      <c r="AE32">
        <v>482000</v>
      </c>
      <c r="AF32">
        <f>INDEX(_统一战力!$B$2:$B$501,J32)</f>
        <v>1300000</v>
      </c>
      <c r="AG32">
        <f>IF(INDEX(_统一战力!$D$2:$D$280,MATCH(I32,_统一战力!$C$2:$C$280,0))&gt;0,ROUND(INDEX(_统一战力!$D$2:$D$280,MATCH(I32,_统一战力!$C$2:$C$280,0)),-MAX(0,INT(LOG10(INDEX(_统一战力!$D$2:$D$280,MATCH(I32,_统一战力!$C$2:$C$280,0))))-2)),0)</f>
        <v>1500000</v>
      </c>
      <c r="AH32" s="18">
        <f>推荐战力参数!$B$4</f>
        <v>0.5</v>
      </c>
      <c r="AI32">
        <f t="shared" si="9"/>
        <v>750000</v>
      </c>
    </row>
    <row r="33" ht="25" customHeight="1" spans="1:35">
      <c r="A33" s="30" t="s">
        <v>150</v>
      </c>
      <c r="B33" s="30" t="s">
        <v>58</v>
      </c>
      <c r="C33" s="31" t="s">
        <v>649</v>
      </c>
      <c r="D33" s="31" t="s">
        <v>725</v>
      </c>
      <c r="E33" s="31" t="s">
        <v>726</v>
      </c>
      <c r="F33" s="30" t="s">
        <v>651</v>
      </c>
      <c r="G33" s="40">
        <v>269</v>
      </c>
      <c r="H33" s="41"/>
      <c r="I33" s="42">
        <f t="shared" si="0"/>
        <v>269</v>
      </c>
      <c r="J33" s="51">
        <f>映射等级节点!C30</f>
        <v>292</v>
      </c>
      <c r="K33" s="44">
        <v>0.968164059645081</v>
      </c>
      <c r="L33" s="44">
        <v>1.10635179727611</v>
      </c>
      <c r="M33" s="44">
        <v>1</v>
      </c>
      <c r="N33" s="45"/>
      <c r="O33" s="45"/>
      <c r="P33" s="45"/>
      <c r="Q33" s="46">
        <f>IF($I33="","",IFERROR(INDEX(_玩家曲线!$H$2:$H$286,MATCH($I33,_玩家曲线!$A$2:$A$286,0)),""))</f>
        <v>2380752.95888789</v>
      </c>
      <c r="R33" s="46">
        <f>IF($I33="","",IFERROR(INDEX(_玩家曲线!$I$2:$I$286,MATCH($I33,_玩家曲线!$A$2:$A$286,0)),""))</f>
        <v>2871431.19760187</v>
      </c>
      <c r="S33" s="46">
        <f>IF(OR($J33="",$F33="不适用"),"",IFERROR(INDEX(_怪物模型!$D$2:$D$4501,(INT($J33)-1)*ROWS(_怪物类型!$A$2:$A$10)+MATCH($F33,_怪物类型!$A$2:$A$10,0))*IF($K33="",1,$K33),""))</f>
        <v>20855946.1955313</v>
      </c>
      <c r="T33" s="46">
        <f>IF(OR($J33="",$F33="不适用"),"",IFERROR(INDEX(_怪物模型!$E$2:$E$4501,(INT($J33)-1)*ROWS(_怪物类型!$A$2:$A$10)+MATCH($F33,_怪物类型!$A$2:$A$10,0))*IF($L33="",1,$L33),""))</f>
        <v>48878.6224036585</v>
      </c>
      <c r="U33" s="46">
        <f>IF(OR($J33="",$F33="不适用"),"",IFERROR(INDEX(_怪物模型!$F$2:$F$4501,(INT($J33)-1)*ROWS(_怪物类型!$A$2:$A$10)+MATCH($F33,_怪物类型!$A$2:$A$10,0))*IF($M33="",1,$M33),""))</f>
        <v>31252</v>
      </c>
      <c r="V33" s="47">
        <f t="shared" si="1"/>
        <v>0.56562658365308</v>
      </c>
      <c r="W33" s="48">
        <f t="shared" si="2"/>
        <v>48013864.1331456</v>
      </c>
      <c r="X33" s="48">
        <f t="shared" si="3"/>
        <v>20.1675121116196</v>
      </c>
      <c r="Y33" s="48">
        <f t="shared" si="4"/>
        <v>58.7461564257782</v>
      </c>
      <c r="Z33" s="49" t="str">
        <f t="shared" si="5"/>
        <v/>
      </c>
      <c r="AA33" s="30" t="str">
        <f t="shared" si="6"/>
        <v>已计算</v>
      </c>
      <c r="AB33" s="30" t="str">
        <f t="shared" si="7"/>
        <v>有效</v>
      </c>
      <c r="AC33" s="30" t="str">
        <f t="shared" si="8"/>
        <v/>
      </c>
      <c r="AD33" s="31" t="s">
        <v>727</v>
      </c>
      <c r="AE33">
        <v>542000</v>
      </c>
      <c r="AF33">
        <f>INDEX(_统一战力!$B$2:$B$501,J33)</f>
        <v>1410000</v>
      </c>
      <c r="AG33">
        <f>IF(INDEX(_统一战力!$D$2:$D$280,MATCH(I33,_统一战力!$C$2:$C$280,0))&gt;0,ROUND(INDEX(_统一战力!$D$2:$D$280,MATCH(I33,_统一战力!$C$2:$C$280,0)),-MAX(0,INT(LOG10(INDEX(_统一战力!$D$2:$D$280,MATCH(I33,_统一战力!$C$2:$C$280,0))))-2)),0)</f>
        <v>1550000</v>
      </c>
      <c r="AH33" s="18">
        <f>推荐战力参数!$B$4</f>
        <v>0.5</v>
      </c>
      <c r="AI33">
        <f t="shared" si="9"/>
        <v>775000</v>
      </c>
    </row>
    <row r="34" ht="25" customHeight="1" spans="1:35">
      <c r="A34" s="30" t="s">
        <v>150</v>
      </c>
      <c r="B34" s="30" t="s">
        <v>58</v>
      </c>
      <c r="C34" s="31" t="s">
        <v>649</v>
      </c>
      <c r="D34" s="31" t="s">
        <v>728</v>
      </c>
      <c r="E34" s="31" t="s">
        <v>729</v>
      </c>
      <c r="F34" s="30" t="s">
        <v>651</v>
      </c>
      <c r="G34" s="40">
        <v>279</v>
      </c>
      <c r="H34" s="41"/>
      <c r="I34" s="42">
        <f t="shared" si="0"/>
        <v>279</v>
      </c>
      <c r="J34" s="51">
        <f>映射等级节点!C31</f>
        <v>305</v>
      </c>
      <c r="K34" s="44">
        <v>0.959194059602632</v>
      </c>
      <c r="L34" s="44">
        <v>1.11757518018391</v>
      </c>
      <c r="M34" s="44">
        <v>1</v>
      </c>
      <c r="N34" s="45"/>
      <c r="O34" s="45"/>
      <c r="P34" s="45"/>
      <c r="Q34" s="46">
        <f>IF($I34="","",IFERROR(INDEX(_玩家曲线!$H$2:$H$286,MATCH($I34,_玩家曲线!$A$2:$A$286,0)),""))</f>
        <v>2497204.47172539</v>
      </c>
      <c r="R34" s="46">
        <f>IF($I34="","",IFERROR(INDEX(_玩家曲线!$I$2:$I$286,MATCH($I34,_玩家曲线!$A$2:$A$286,0)),""))</f>
        <v>2970822.69299639</v>
      </c>
      <c r="S34" s="46">
        <f>IF(OR($J34="",$F34="不适用"),"",IFERROR(INDEX(_怪物模型!$D$2:$D$4501,(INT($J34)-1)*ROWS(_怪物类型!$A$2:$A$10)+MATCH($F34,_怪物类型!$A$2:$A$10,0))*IF($K34="",1,$K34),""))</f>
        <v>23546016.6496541</v>
      </c>
      <c r="T34" s="46">
        <f>IF(OR($J34="",$F34="不适用"),"",IFERROR(INDEX(_怪物模型!$E$2:$E$4501,(INT($J34)-1)*ROWS(_怪物类型!$A$2:$A$10)+MATCH($F34,_怪物类型!$A$2:$A$10,0))*IF($L34="",1,$L34),""))</f>
        <v>53960.9999999999</v>
      </c>
      <c r="U34" s="46">
        <f>IF(OR($J34="",$F34="不适用"),"",IFERROR(INDEX(_怪物模型!$F$2:$F$4501,(INT($J34)-1)*ROWS(_怪物类型!$A$2:$A$10)+MATCH($F34,_怪物类型!$A$2:$A$10,0))*IF($M34="",1,$M34),""))</f>
        <v>33095</v>
      </c>
      <c r="V34" s="47">
        <f t="shared" si="1"/>
        <v>0.579647955162449</v>
      </c>
      <c r="W34" s="48">
        <f t="shared" si="2"/>
        <v>56014992.5255</v>
      </c>
      <c r="X34" s="48">
        <f t="shared" si="3"/>
        <v>22.4310796972094</v>
      </c>
      <c r="Y34" s="48">
        <f t="shared" si="4"/>
        <v>55.054996997765</v>
      </c>
      <c r="Z34" s="49" t="str">
        <f t="shared" si="5"/>
        <v/>
      </c>
      <c r="AA34" s="30" t="str">
        <f t="shared" si="6"/>
        <v>已计算</v>
      </c>
      <c r="AB34" s="30" t="str">
        <f t="shared" si="7"/>
        <v>有效</v>
      </c>
      <c r="AC34" s="30" t="str">
        <f t="shared" si="8"/>
        <v/>
      </c>
      <c r="AD34" s="31" t="s">
        <v>730</v>
      </c>
      <c r="AE34">
        <v>595000</v>
      </c>
      <c r="AF34">
        <f>INDEX(_统一战力!$B$2:$B$501,J34)</f>
        <v>1500000</v>
      </c>
      <c r="AG34">
        <f>IF(INDEX(_统一战力!$D$2:$D$280,MATCH(I34,_统一战力!$C$2:$C$280,0))&gt;0,ROUND(INDEX(_统一战力!$D$2:$D$280,MATCH(I34,_统一战力!$C$2:$C$280,0)),-MAX(0,INT(LOG10(INDEX(_统一战力!$D$2:$D$280,MATCH(I34,_统一战力!$C$2:$C$280,0))))-2)),0)</f>
        <v>1600000</v>
      </c>
      <c r="AH34" s="18">
        <f>推荐战力参数!$B$4</f>
        <v>0.5</v>
      </c>
      <c r="AI34">
        <f t="shared" si="9"/>
        <v>800000</v>
      </c>
    </row>
  </sheetData>
  <mergeCells count="3">
    <mergeCell ref="A1:AD1"/>
    <mergeCell ref="A2:AD2"/>
    <mergeCell ref="A3:AD3"/>
  </mergeCells>
  <conditionalFormatting sqref="J5:J34">
    <cfRule type="expression" dxfId="2" priority="1">
      <formula>AND($A5&lt;&gt;"特殊：双方属性对算",$J5="")</formula>
    </cfRule>
  </conditionalFormatting>
  <conditionalFormatting sqref="AA5:AA34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34">
    <cfRule type="expression" dxfId="4" priority="2">
      <formula>$AB5="超范围"</formula>
    </cfRule>
  </conditionalFormatting>
  <conditionalFormatting sqref="AC5:AC34">
    <cfRule type="expression" dxfId="4" priority="7">
      <formula>$AC5="下降"</formula>
    </cfRule>
  </conditionalFormatting>
  <dataValidations count="5">
    <dataValidation type="list" sqref="F5:F34">
      <formula1>_字典!$A$2:$A$11</formula1>
    </dataValidation>
    <dataValidation type="whole" operator="between" allowBlank="1" sqref="H5:H34">
      <formula1>1</formula1>
      <formula2>285</formula2>
    </dataValidation>
    <dataValidation type="whole" operator="between" allowBlank="1" sqref="J5:J34">
      <formula1>1</formula1>
      <formula2>500</formula2>
    </dataValidation>
    <dataValidation type="decimal" operator="between" allowBlank="1" sqref="P5:P34">
      <formula1>0.01</formula1>
      <formula2>3600</formula2>
    </dataValidation>
    <dataValidation type="decimal" operator="between" allowBlank="1" sqref="K5:O34">
      <formula1>0</formula1>
      <formula2>100</formula2>
    </dataValidation>
  </dataValidations>
  <hyperlinks>
    <hyperlink ref="A1" r:id="rId4" display="全玩法难度填写｜映射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64A2"/>
  </sheetPr>
  <dimension ref="A1:AF104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  <col min="31" max="32" width="22" customWidth="1"/>
  </cols>
  <sheetData>
    <row r="1" ht="34" customHeight="1" spans="1:32">
      <c r="A1" s="26" t="s">
        <v>731</v>
      </c>
    </row>
    <row r="2" ht="30" customHeight="1" spans="1:32">
      <c r="A2" s="27" t="s">
        <v>732</v>
      </c>
    </row>
    <row r="3" ht="14.25" customHeight="1" spans="1:32">
      <c r="A3" s="28" t="s">
        <v>120</v>
      </c>
    </row>
    <row r="4" ht="30" customHeight="1" spans="1:32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  <c r="AE4" s="8" t="s">
        <v>148</v>
      </c>
      <c r="AF4" s="8" t="s">
        <v>149</v>
      </c>
    </row>
    <row r="5" ht="25" customHeight="1" spans="1:32">
      <c r="A5" s="30" t="s">
        <v>150</v>
      </c>
      <c r="B5" s="30" t="s">
        <v>59</v>
      </c>
      <c r="C5" s="31" t="s">
        <v>733</v>
      </c>
      <c r="D5" s="31" t="s">
        <v>734</v>
      </c>
      <c r="E5" s="31" t="s">
        <v>735</v>
      </c>
      <c r="F5" s="30" t="s">
        <v>154</v>
      </c>
      <c r="G5" s="40">
        <v>24</v>
      </c>
      <c r="H5" s="41"/>
      <c r="I5" s="42">
        <f t="shared" ref="I5:I68" si="0">IF($H5="",$G5,$H5)</f>
        <v>24</v>
      </c>
      <c r="J5" s="43">
        <v>15</v>
      </c>
      <c r="K5" s="44">
        <v>1.0411518791012</v>
      </c>
      <c r="L5" s="44">
        <v>0.878799464729497</v>
      </c>
      <c r="M5" s="44">
        <v>1</v>
      </c>
      <c r="N5" s="45"/>
      <c r="O5" s="45"/>
      <c r="P5" s="45"/>
      <c r="Q5" s="46">
        <f>IF($I5="","",IFERROR(INDEX(_玩家曲线!$H$2:$H$286,MATCH($I5,_玩家曲线!$A$2:$A$286,0)),""))</f>
        <v>26573.2561562461</v>
      </c>
      <c r="R5" s="46">
        <f>IF($I5="","",IFERROR(INDEX(_玩家曲线!$I$2:$I$286,MATCH($I5,_玩家曲线!$A$2:$A$286,0)),""))</f>
        <v>79813.0282432992</v>
      </c>
      <c r="S5" s="46">
        <f>SUMIF(_爬塔队伍!$A$2:$A$501,VALUE(SUBSTITUTE(SUBSTITUTE(D5,"第",""),"层","")),_爬塔队伍!$C$2:$C$501)</f>
        <v>49547</v>
      </c>
      <c r="T5" s="46">
        <f>SUMIF(_爬塔队伍!$A$2:$A$501,VALUE(SUBSTITUTE(SUBSTITUTE(D5,"第",""),"层","")),_爬塔队伍!$D$2:$D$501)</f>
        <v>4162</v>
      </c>
      <c r="U5" s="46">
        <f>SUMIF(_爬塔队伍!$A$2:$A$501,VALUE(SUBSTITUTE(SUBSTITUTE(D5,"第",""),"层","")),_爬塔队伍!$E$2:$E$501)/COUNTIF(_爬塔队伍!$A$2:$A$501,VALUE(SUBSTITUTE(SUBSTITUTE(D5,"第",""),"层","")))</f>
        <v>1303</v>
      </c>
      <c r="V5" s="47">
        <f t="shared" ref="V5:V68" si="1">IF($U5="","",MIN(0.75,$U5/($U5+24000)))</f>
        <v>0.0514958700549342</v>
      </c>
      <c r="W5" s="48">
        <f>SUMIF(_爬塔队伍!$A$2:$A$501,VALUE(SUBSTITUTE(SUBSTITUTE(D5,"第",""),"层","")),_爬塔队伍!$F$2:$F$501)</f>
        <v>52318.3924583333</v>
      </c>
      <c r="X5" s="48">
        <f t="shared" ref="X5:X68" si="2">IF(OR($W5="",$Q5="",$Q5=0),"",$W5/$Q5)</f>
        <v>1.9688363424757</v>
      </c>
      <c r="Y5" s="48">
        <f t="shared" ref="Y5:Y68" si="3">IF(OR($R5="",$T5="",$T5=0),"",$R5/($T5*IF($O5="",1,$O5)))</f>
        <v>19.1766045755164</v>
      </c>
      <c r="Z5" s="49" t="str">
        <f t="shared" ref="Z5:Z68" si="4">IF(OR($X5="",$P5="",$P5=0),"",$X5/$P5)</f>
        <v/>
      </c>
      <c r="AA5" s="30" t="str">
        <f t="shared" ref="AA5:AA68" si="5"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 t="shared" ref="AB5:AB68" si="6">IF($J5="","待填",IF(AND(ISNUMBER($J5),$J5&gt;=1,$J5&lt;=500,MOD($J5,1)=0),"有效","超范围"))</f>
        <v>有效</v>
      </c>
      <c r="AC5" s="30" t="str">
        <f t="shared" ref="AC5:AC68" si="7">IF(OR($J5="",ROW()=5,$B5&lt;&gt;$B4,$J4=""),"",IF($J5&lt;$J4,"下降",""))</f>
        <v/>
      </c>
      <c r="AD5" s="31" t="s">
        <v>736</v>
      </c>
      <c r="AE5">
        <v>37400</v>
      </c>
      <c r="AF5">
        <f>INDEX(_统一战力!$B$2:$B$501,J5)</f>
        <v>7220</v>
      </c>
    </row>
    <row r="6" ht="25" customHeight="1" spans="1:32">
      <c r="A6" s="30" t="s">
        <v>150</v>
      </c>
      <c r="B6" s="30" t="s">
        <v>59</v>
      </c>
      <c r="C6" s="31" t="s">
        <v>733</v>
      </c>
      <c r="D6" s="31" t="s">
        <v>737</v>
      </c>
      <c r="E6" s="31" t="s">
        <v>738</v>
      </c>
      <c r="F6" s="30" t="s">
        <v>154</v>
      </c>
      <c r="G6" s="40">
        <v>25</v>
      </c>
      <c r="H6" s="41"/>
      <c r="I6" s="42">
        <f t="shared" si="0"/>
        <v>25</v>
      </c>
      <c r="J6" s="43">
        <v>18</v>
      </c>
      <c r="K6" s="44">
        <v>1.06638891711125</v>
      </c>
      <c r="L6" s="44">
        <v>0.881697307575066</v>
      </c>
      <c r="M6" s="44">
        <v>1</v>
      </c>
      <c r="N6" s="45"/>
      <c r="O6" s="45"/>
      <c r="P6" s="45"/>
      <c r="Q6" s="46">
        <f>IF($I6="","",IFERROR(INDEX(_玩家曲线!$H$2:$H$286,MATCH($I6,_玩家曲线!$A$2:$A$286,0)),""))</f>
        <v>28151.9107154301</v>
      </c>
      <c r="R6" s="46">
        <f>IF($I6="","",IFERROR(INDEX(_玩家曲线!$I$2:$I$286,MATCH($I6,_玩家曲线!$A$2:$A$286,0)),""))</f>
        <v>83890.0209961095</v>
      </c>
      <c r="S6" s="46">
        <f>SUMIF(_爬塔队伍!$A$2:$A$501,VALUE(SUBSTITUTE(SUBSTITUTE(D6,"第",""),"层","")),_爬塔队伍!$C$2:$C$501)</f>
        <v>61561</v>
      </c>
      <c r="T6" s="46">
        <f>SUMIF(_爬塔队伍!$A$2:$A$501,VALUE(SUBSTITUTE(SUBSTITUTE(D6,"第",""),"层","")),_爬塔队伍!$D$2:$D$501)</f>
        <v>5259</v>
      </c>
      <c r="U6" s="46">
        <f>SUMIF(_爬塔队伍!$A$2:$A$501,VALUE(SUBSTITUTE(SUBSTITUTE(D6,"第",""),"层","")),_爬塔队伍!$E$2:$E$501)/COUNTIF(_爬塔队伍!$A$2:$A$501,VALUE(SUBSTITUTE(SUBSTITUTE(D6,"第",""),"层","")))</f>
        <v>1502.6</v>
      </c>
      <c r="V6" s="47">
        <f t="shared" si="1"/>
        <v>0.058919482719409</v>
      </c>
      <c r="W6" s="48">
        <f>SUMIF(_爬塔队伍!$A$2:$A$501,VALUE(SUBSTITUTE(SUBSTITUTE(D6,"第",""),"层","")),_爬塔队伍!$F$2:$F$501)</f>
        <v>65542.633875</v>
      </c>
      <c r="X6" s="48">
        <f t="shared" si="2"/>
        <v>2.32817710092679</v>
      </c>
      <c r="Y6" s="48">
        <f t="shared" si="3"/>
        <v>15.9517058368719</v>
      </c>
      <c r="Z6" s="49" t="str">
        <f t="shared" si="4"/>
        <v/>
      </c>
      <c r="AA6" s="30" t="str">
        <f t="shared" si="5"/>
        <v>已计算</v>
      </c>
      <c r="AB6" s="30" t="str">
        <f t="shared" si="6"/>
        <v>有效</v>
      </c>
      <c r="AC6" s="30" t="str">
        <f t="shared" si="7"/>
        <v/>
      </c>
      <c r="AD6" s="31" t="s">
        <v>736</v>
      </c>
      <c r="AE6">
        <v>49100</v>
      </c>
      <c r="AF6">
        <f>INDEX(_统一战力!$B$2:$B$501,J6)</f>
        <v>10100</v>
      </c>
    </row>
    <row r="7" ht="25" customHeight="1" spans="1:32">
      <c r="A7" s="30" t="s">
        <v>150</v>
      </c>
      <c r="B7" s="30" t="s">
        <v>59</v>
      </c>
      <c r="C7" s="31" t="s">
        <v>733</v>
      </c>
      <c r="D7" s="31" t="s">
        <v>739</v>
      </c>
      <c r="E7" s="31" t="s">
        <v>740</v>
      </c>
      <c r="F7" s="30" t="s">
        <v>154</v>
      </c>
      <c r="G7" s="40">
        <v>27</v>
      </c>
      <c r="H7" s="41"/>
      <c r="I7" s="42">
        <f t="shared" si="0"/>
        <v>27</v>
      </c>
      <c r="J7" s="43">
        <v>22</v>
      </c>
      <c r="K7" s="44">
        <v>1.05982724415721</v>
      </c>
      <c r="L7" s="44">
        <v>0.865250034404842</v>
      </c>
      <c r="M7" s="44">
        <v>1</v>
      </c>
      <c r="N7" s="45"/>
      <c r="O7" s="45"/>
      <c r="P7" s="45"/>
      <c r="Q7" s="46">
        <f>IF($I7="","",IFERROR(INDEX(_玩家曲线!$H$2:$H$286,MATCH($I7,_玩家曲线!$A$2:$A$286,0)),""))</f>
        <v>31434.3368316531</v>
      </c>
      <c r="R7" s="46">
        <f>IF($I7="","",IFERROR(INDEX(_玩家曲线!$I$2:$I$286,MATCH($I7,_玩家曲线!$A$2:$A$286,0)),""))</f>
        <v>92272.4866090822</v>
      </c>
      <c r="S7" s="46">
        <f>SUMIF(_爬塔队伍!$A$2:$A$501,VALUE(SUBSTITUTE(SUBSTITUTE(D7,"第",""),"层","")),_爬塔队伍!$C$2:$C$501)</f>
        <v>101935</v>
      </c>
      <c r="T7" s="46">
        <f>SUMIF(_爬塔队伍!$A$2:$A$501,VALUE(SUBSTITUTE(SUBSTITUTE(D7,"第",""),"层","")),_爬塔队伍!$D$2:$D$501)</f>
        <v>5525</v>
      </c>
      <c r="U7" s="46">
        <f>SUMIF(_爬塔队伍!$A$2:$A$501,VALUE(SUBSTITUTE(SUBSTITUTE(D7,"第",""),"层","")),_爬塔队伍!$E$2:$E$501)/COUNTIF(_爬塔队伍!$A$2:$A$501,VALUE(SUBSTITUTE(SUBSTITUTE(D7,"第",""),"层","")))</f>
        <v>2351</v>
      </c>
      <c r="V7" s="47">
        <f t="shared" si="1"/>
        <v>0.089218625479109</v>
      </c>
      <c r="W7" s="48">
        <f>SUMIF(_爬塔队伍!$A$2:$A$501,VALUE(SUBSTITUTE(SUBSTITUTE(D7,"第",""),"层","")),_爬塔队伍!$F$2:$F$501)</f>
        <v>111996.822708333</v>
      </c>
      <c r="X7" s="48">
        <f t="shared" si="2"/>
        <v>3.56288167643343</v>
      </c>
      <c r="Y7" s="48">
        <f t="shared" si="3"/>
        <v>16.70090255368</v>
      </c>
      <c r="Z7" s="49" t="str">
        <f t="shared" si="4"/>
        <v/>
      </c>
      <c r="AA7" s="30" t="str">
        <f t="shared" si="5"/>
        <v>已计算</v>
      </c>
      <c r="AB7" s="30" t="str">
        <f t="shared" si="6"/>
        <v>有效</v>
      </c>
      <c r="AC7" s="30" t="str">
        <f t="shared" si="7"/>
        <v/>
      </c>
      <c r="AD7" s="31" t="s">
        <v>736</v>
      </c>
      <c r="AE7">
        <v>51500</v>
      </c>
      <c r="AF7">
        <f>INDEX(_统一战力!$B$2:$B$501,J7)</f>
        <v>12300</v>
      </c>
    </row>
    <row r="8" ht="25" customHeight="1" spans="1:32">
      <c r="A8" s="30" t="s">
        <v>150</v>
      </c>
      <c r="B8" s="30" t="s">
        <v>59</v>
      </c>
      <c r="C8" s="31" t="s">
        <v>733</v>
      </c>
      <c r="D8" s="31" t="s">
        <v>741</v>
      </c>
      <c r="E8" s="31" t="s">
        <v>742</v>
      </c>
      <c r="F8" s="30" t="s">
        <v>154</v>
      </c>
      <c r="G8" s="40">
        <v>29</v>
      </c>
      <c r="H8" s="41"/>
      <c r="I8" s="42">
        <f t="shared" si="0"/>
        <v>29</v>
      </c>
      <c r="J8" s="43">
        <v>25</v>
      </c>
      <c r="K8" s="44">
        <v>1.09014995868719</v>
      </c>
      <c r="L8" s="44">
        <v>0.86749593133069</v>
      </c>
      <c r="M8" s="44">
        <v>1</v>
      </c>
      <c r="N8" s="45"/>
      <c r="O8" s="45"/>
      <c r="P8" s="45"/>
      <c r="Q8" s="46">
        <f>IF($I8="","",IFERROR(INDEX(_玩家曲线!$H$2:$H$286,MATCH($I8,_玩家曲线!$A$2:$A$286,0)),""))</f>
        <v>34979.1578961386</v>
      </c>
      <c r="R8" s="46">
        <f>IF($I8="","",IFERROR(INDEX(_玩家曲线!$I$2:$I$286,MATCH($I8,_玩家曲线!$A$2:$A$286,0)),""))</f>
        <v>101159.979251687</v>
      </c>
      <c r="S8" s="46">
        <f>SUMIF(_爬塔队伍!$A$2:$A$501,VALUE(SUBSTITUTE(SUBSTITUTE(D8,"第",""),"层","")),_爬塔队伍!$C$2:$C$501)</f>
        <v>93770</v>
      </c>
      <c r="T8" s="46">
        <f>SUMIF(_爬塔队伍!$A$2:$A$501,VALUE(SUBSTITUTE(SUBSTITUTE(D8,"第",""),"层","")),_爬塔队伍!$D$2:$D$501)</f>
        <v>7395</v>
      </c>
      <c r="U8" s="46">
        <f>SUMIF(_爬塔队伍!$A$2:$A$501,VALUE(SUBSTITUTE(SUBSTITUTE(D8,"第",""),"层","")),_爬塔队伍!$E$2:$E$501)/COUNTIF(_爬塔队伍!$A$2:$A$501,VALUE(SUBSTITUTE(SUBSTITUTE(D8,"第",""),"层","")))</f>
        <v>2012.8</v>
      </c>
      <c r="V8" s="47">
        <f t="shared" si="1"/>
        <v>0.0773772911797269</v>
      </c>
      <c r="W8" s="48">
        <f>SUMIF(_爬塔队伍!$A$2:$A$501,VALUE(SUBSTITUTE(SUBSTITUTE(D8,"第",""),"层","")),_爬塔队伍!$F$2:$F$501)</f>
        <v>101705.4685</v>
      </c>
      <c r="X8" s="48">
        <f t="shared" si="2"/>
        <v>2.90760197263718</v>
      </c>
      <c r="Y8" s="48">
        <f t="shared" si="3"/>
        <v>13.6795103788623</v>
      </c>
      <c r="Z8" s="49" t="str">
        <f t="shared" si="4"/>
        <v/>
      </c>
      <c r="AA8" s="30" t="str">
        <f t="shared" si="5"/>
        <v>已计算</v>
      </c>
      <c r="AB8" s="30" t="str">
        <f t="shared" si="6"/>
        <v>有效</v>
      </c>
      <c r="AC8" s="30" t="str">
        <f t="shared" si="7"/>
        <v/>
      </c>
      <c r="AD8" s="31" t="s">
        <v>736</v>
      </c>
      <c r="AE8">
        <v>71400</v>
      </c>
      <c r="AF8">
        <f>INDEX(_统一战力!$B$2:$B$501,J8)</f>
        <v>14700</v>
      </c>
    </row>
    <row r="9" ht="25" customHeight="1" spans="1:32">
      <c r="A9" s="30" t="s">
        <v>150</v>
      </c>
      <c r="B9" s="30" t="s">
        <v>59</v>
      </c>
      <c r="C9" s="31" t="s">
        <v>733</v>
      </c>
      <c r="D9" s="31" t="s">
        <v>743</v>
      </c>
      <c r="E9" s="31" t="s">
        <v>744</v>
      </c>
      <c r="F9" s="30" t="s">
        <v>745</v>
      </c>
      <c r="G9" s="40">
        <v>30</v>
      </c>
      <c r="H9" s="41"/>
      <c r="I9" s="42">
        <f t="shared" si="0"/>
        <v>30</v>
      </c>
      <c r="J9" s="43">
        <v>28</v>
      </c>
      <c r="K9" s="44">
        <v>1.07151884075861</v>
      </c>
      <c r="L9" s="44">
        <v>0.847413576127544</v>
      </c>
      <c r="M9" s="44">
        <v>1</v>
      </c>
      <c r="N9" s="45"/>
      <c r="O9" s="45"/>
      <c r="P9" s="45"/>
      <c r="Q9" s="46">
        <f>IF($I9="","",IFERROR(INDEX(_玩家曲线!$H$2:$H$286,MATCH($I9,_玩家曲线!$A$2:$A$286,0)),""))</f>
        <v>36095.8982350441</v>
      </c>
      <c r="R9" s="46">
        <f>IF($I9="","",IFERROR(INDEX(_玩家曲线!$I$2:$I$286,MATCH($I9,_玩家曲线!$A$2:$A$286,0)),""))</f>
        <v>103648.571416605</v>
      </c>
      <c r="S9" s="46">
        <f>SUMIF(_爬塔队伍!$A$2:$A$501,VALUE(SUBSTITUTE(SUBSTITUTE(D9,"第",""),"层","")),_爬塔队伍!$C$2:$C$501)</f>
        <v>128609</v>
      </c>
      <c r="T9" s="46">
        <f>SUMIF(_爬塔队伍!$A$2:$A$501,VALUE(SUBSTITUTE(SUBSTITUTE(D9,"第",""),"层","")),_爬塔队伍!$D$2:$D$501)</f>
        <v>7343</v>
      </c>
      <c r="U9" s="46">
        <f>SUMIF(_爬塔队伍!$A$2:$A$501,VALUE(SUBSTITUTE(SUBSTITUTE(D9,"第",""),"层","")),_爬塔队伍!$E$2:$E$501)/COUNTIF(_爬塔队伍!$A$2:$A$501,VALUE(SUBSTITUTE(SUBSTITUTE(D9,"第",""),"层","")))</f>
        <v>2695</v>
      </c>
      <c r="V9" s="47">
        <f t="shared" si="1"/>
        <v>0.100955235062746</v>
      </c>
      <c r="W9" s="48">
        <f>SUMIF(_爬塔队伍!$A$2:$A$501,VALUE(SUBSTITUTE(SUBSTITUTE(D9,"第",""),"层","")),_爬塔队伍!$F$2:$F$501)</f>
        <v>143281.79275</v>
      </c>
      <c r="X9" s="48">
        <f t="shared" si="2"/>
        <v>3.96947575087336</v>
      </c>
      <c r="Y9" s="48">
        <f t="shared" si="3"/>
        <v>14.1152895841761</v>
      </c>
      <c r="Z9" s="49" t="str">
        <f t="shared" si="4"/>
        <v/>
      </c>
      <c r="AA9" s="30" t="str">
        <f t="shared" si="5"/>
        <v>已计算</v>
      </c>
      <c r="AB9" s="30" t="str">
        <f t="shared" si="6"/>
        <v>有效</v>
      </c>
      <c r="AC9" s="30" t="str">
        <f t="shared" si="7"/>
        <v/>
      </c>
      <c r="AD9" s="31" t="s">
        <v>736</v>
      </c>
      <c r="AE9">
        <v>81400</v>
      </c>
      <c r="AF9">
        <f>INDEX(_统一战力!$B$2:$B$501,J9)</f>
        <v>16700</v>
      </c>
    </row>
    <row r="10" ht="25" customHeight="1" spans="1:32">
      <c r="A10" s="30" t="s">
        <v>150</v>
      </c>
      <c r="B10" s="30" t="s">
        <v>59</v>
      </c>
      <c r="C10" s="31" t="s">
        <v>733</v>
      </c>
      <c r="D10" s="31" t="s">
        <v>746</v>
      </c>
      <c r="E10" s="31" t="s">
        <v>747</v>
      </c>
      <c r="F10" s="30" t="s">
        <v>154</v>
      </c>
      <c r="G10" s="40">
        <v>32</v>
      </c>
      <c r="H10" s="41"/>
      <c r="I10" s="42">
        <f t="shared" si="0"/>
        <v>32</v>
      </c>
      <c r="J10" s="43">
        <v>32</v>
      </c>
      <c r="K10" s="44">
        <v>1.09281017575294</v>
      </c>
      <c r="L10" s="44">
        <v>0.835587298989708</v>
      </c>
      <c r="M10" s="44">
        <v>1</v>
      </c>
      <c r="N10" s="45"/>
      <c r="O10" s="45"/>
      <c r="P10" s="45"/>
      <c r="Q10" s="46">
        <f>IF($I10="","",IFERROR(INDEX(_玩家曲线!$H$2:$H$286,MATCH($I10,_玩家曲线!$A$2:$A$286,0)),""))</f>
        <v>40188.015975026</v>
      </c>
      <c r="R10" s="46">
        <f>IF($I10="","",IFERROR(INDEX(_玩家曲线!$I$2:$I$286,MATCH($I10,_玩家曲线!$A$2:$A$286,0)),""))</f>
        <v>112891.038669981</v>
      </c>
      <c r="S10" s="46">
        <f>SUMIF(_爬塔队伍!$A$2:$A$501,VALUE(SUBSTITUTE(SUBSTITUTE(D10,"第",""),"层","")),_爬塔队伍!$C$2:$C$501)</f>
        <v>146083</v>
      </c>
      <c r="T10" s="46">
        <f>SUMIF(_爬塔队伍!$A$2:$A$501,VALUE(SUBSTITUTE(SUBSTITUTE(D10,"第",""),"层","")),_爬塔队伍!$D$2:$D$501)</f>
        <v>9057</v>
      </c>
      <c r="U10" s="46">
        <f>SUMIF(_爬塔队伍!$A$2:$A$501,VALUE(SUBSTITUTE(SUBSTITUTE(D10,"第",""),"层","")),_爬塔队伍!$E$2:$E$501)/COUNTIF(_爬塔队伍!$A$2:$A$501,VALUE(SUBSTITUTE(SUBSTITUTE(D10,"第",""),"层","")))</f>
        <v>2851</v>
      </c>
      <c r="V10" s="47">
        <f t="shared" si="1"/>
        <v>0.106178540836468</v>
      </c>
      <c r="W10" s="48">
        <f>SUMIF(_爬塔队伍!$A$2:$A$501,VALUE(SUBSTITUTE(SUBSTITUTE(D10,"第",""),"层","")),_爬塔队伍!$F$2:$F$501)</f>
        <v>163961.459041667</v>
      </c>
      <c r="X10" s="48">
        <f t="shared" si="2"/>
        <v>4.0798595069624</v>
      </c>
      <c r="Y10" s="48">
        <f t="shared" si="3"/>
        <v>12.4645068643018</v>
      </c>
      <c r="Z10" s="49" t="str">
        <f t="shared" si="4"/>
        <v/>
      </c>
      <c r="AA10" s="30" t="str">
        <f t="shared" si="5"/>
        <v>已计算</v>
      </c>
      <c r="AB10" s="30" t="str">
        <f t="shared" si="6"/>
        <v>有效</v>
      </c>
      <c r="AC10" s="30" t="str">
        <f t="shared" si="7"/>
        <v/>
      </c>
      <c r="AD10" s="31" t="s">
        <v>736</v>
      </c>
      <c r="AE10">
        <v>91400</v>
      </c>
      <c r="AF10">
        <f>INDEX(_统一战力!$B$2:$B$501,J10)</f>
        <v>19800</v>
      </c>
    </row>
    <row r="11" ht="25" customHeight="1" spans="1:32">
      <c r="A11" s="30" t="s">
        <v>150</v>
      </c>
      <c r="B11" s="30" t="s">
        <v>59</v>
      </c>
      <c r="C11" s="31" t="s">
        <v>733</v>
      </c>
      <c r="D11" s="31" t="s">
        <v>748</v>
      </c>
      <c r="E11" s="31" t="s">
        <v>749</v>
      </c>
      <c r="F11" s="30" t="s">
        <v>154</v>
      </c>
      <c r="G11" s="40">
        <v>34</v>
      </c>
      <c r="H11" s="41"/>
      <c r="I11" s="42">
        <f t="shared" si="0"/>
        <v>34</v>
      </c>
      <c r="J11" s="43">
        <v>35</v>
      </c>
      <c r="K11" s="44">
        <v>1.10367102588911</v>
      </c>
      <c r="L11" s="44">
        <v>0.821989230732882</v>
      </c>
      <c r="M11" s="44">
        <v>1</v>
      </c>
      <c r="N11" s="45"/>
      <c r="O11" s="45"/>
      <c r="P11" s="45"/>
      <c r="Q11" s="46">
        <f>IF($I11="","",IFERROR(INDEX(_玩家曲线!$H$2:$H$286,MATCH($I11,_玩家曲线!$A$2:$A$286,0)),""))</f>
        <v>44544.2269978621</v>
      </c>
      <c r="R11" s="46">
        <f>IF($I11="","",IFERROR(INDEX(_玩家曲线!$I$2:$I$286,MATCH($I11,_玩家曲线!$A$2:$A$286,0)),""))</f>
        <v>122519.471284752</v>
      </c>
      <c r="S11" s="46">
        <f>SUMIF(_爬塔队伍!$A$2:$A$501,VALUE(SUBSTITUTE(SUBSTITUTE(D11,"第",""),"层","")),_爬塔队伍!$C$2:$C$501)</f>
        <v>175458</v>
      </c>
      <c r="T11" s="46">
        <f>SUMIF(_爬塔队伍!$A$2:$A$501,VALUE(SUBSTITUTE(SUBSTITUTE(D11,"第",""),"层","")),_爬塔队伍!$D$2:$D$501)</f>
        <v>9519</v>
      </c>
      <c r="U11" s="46">
        <f>SUMIF(_爬塔队伍!$A$2:$A$501,VALUE(SUBSTITUTE(SUBSTITUTE(D11,"第",""),"层","")),_爬塔队伍!$E$2:$E$501)/COUNTIF(_爬塔队伍!$A$2:$A$501,VALUE(SUBSTITUTE(SUBSTITUTE(D11,"第",""),"层","")))</f>
        <v>3267.8</v>
      </c>
      <c r="V11" s="47">
        <f t="shared" si="1"/>
        <v>0.119840984604552</v>
      </c>
      <c r="W11" s="48">
        <f>SUMIF(_爬塔队伍!$A$2:$A$501,VALUE(SUBSTITUTE(SUBSTITUTE(D11,"第",""),"层","")),_爬塔队伍!$F$2:$F$501)</f>
        <v>199928.89375</v>
      </c>
      <c r="X11" s="48">
        <f t="shared" si="2"/>
        <v>4.48832334119516</v>
      </c>
      <c r="Y11" s="48">
        <f t="shared" si="3"/>
        <v>12.8710443623019</v>
      </c>
      <c r="Z11" s="49" t="str">
        <f t="shared" si="4"/>
        <v/>
      </c>
      <c r="AA11" s="30" t="str">
        <f t="shared" si="5"/>
        <v>已计算</v>
      </c>
      <c r="AB11" s="30" t="str">
        <f t="shared" si="6"/>
        <v>有效</v>
      </c>
      <c r="AC11" s="30" t="str">
        <f t="shared" si="7"/>
        <v/>
      </c>
      <c r="AD11" s="31" t="s">
        <v>736</v>
      </c>
      <c r="AE11">
        <v>95900</v>
      </c>
      <c r="AF11">
        <f>INDEX(_统一战力!$B$2:$B$501,J11)</f>
        <v>23100</v>
      </c>
    </row>
    <row r="12" ht="25" customHeight="1" spans="1:32">
      <c r="A12" s="30" t="s">
        <v>150</v>
      </c>
      <c r="B12" s="30" t="s">
        <v>59</v>
      </c>
      <c r="C12" s="31" t="s">
        <v>733</v>
      </c>
      <c r="D12" s="31" t="s">
        <v>750</v>
      </c>
      <c r="E12" s="31" t="s">
        <v>751</v>
      </c>
      <c r="F12" s="30" t="s">
        <v>154</v>
      </c>
      <c r="G12" s="40">
        <v>36</v>
      </c>
      <c r="H12" s="41"/>
      <c r="I12" s="42">
        <f t="shared" si="0"/>
        <v>36</v>
      </c>
      <c r="J12" s="43">
        <v>38</v>
      </c>
      <c r="K12" s="44">
        <v>1.08637314746255</v>
      </c>
      <c r="L12" s="44">
        <v>0.793670586729554</v>
      </c>
      <c r="M12" s="44">
        <v>1</v>
      </c>
      <c r="N12" s="45"/>
      <c r="O12" s="45"/>
      <c r="P12" s="45"/>
      <c r="Q12" s="46">
        <f>IF($I12="","",IFERROR(INDEX(_玩家曲线!$H$2:$H$286,MATCH($I12,_玩家曲线!$A$2:$A$286,0)),""))</f>
        <v>49292.692507259</v>
      </c>
      <c r="R12" s="46">
        <f>IF($I12="","",IFERROR(INDEX(_玩家曲线!$I$2:$I$286,MATCH($I12,_玩家曲线!$A$2:$A$286,0)),""))</f>
        <v>132853.171023986</v>
      </c>
      <c r="S12" s="46">
        <f>SUMIF(_爬塔队伍!$A$2:$A$501,VALUE(SUBSTITUTE(SUBSTITUTE(D12,"第",""),"层","")),_爬塔队伍!$C$2:$C$501)</f>
        <v>211307</v>
      </c>
      <c r="T12" s="46">
        <f>SUMIF(_爬塔队伍!$A$2:$A$501,VALUE(SUBSTITUTE(SUBSTITUTE(D12,"第",""),"层","")),_爬塔队伍!$D$2:$D$501)</f>
        <v>9350</v>
      </c>
      <c r="U12" s="46">
        <f>SUMIF(_爬塔队伍!$A$2:$A$501,VALUE(SUBSTITUTE(SUBSTITUTE(D12,"第",""),"层","")),_爬塔队伍!$E$2:$E$501)/COUNTIF(_爬塔队伍!$A$2:$A$501,VALUE(SUBSTITUTE(SUBSTITUTE(D12,"第",""),"层","")))</f>
        <v>3859.6</v>
      </c>
      <c r="V12" s="47">
        <f t="shared" si="1"/>
        <v>0.138537523869689</v>
      </c>
      <c r="W12" s="48">
        <f>SUMIF(_爬塔队伍!$A$2:$A$501,VALUE(SUBSTITUTE(SUBSTITUTE(D12,"第",""),"层","")),_爬塔队伍!$F$2:$F$501)</f>
        <v>245489.966083333</v>
      </c>
      <c r="X12" s="48">
        <f t="shared" si="2"/>
        <v>4.98025069430285</v>
      </c>
      <c r="Y12" s="48">
        <f t="shared" si="3"/>
        <v>14.208895296683</v>
      </c>
      <c r="Z12" s="49" t="str">
        <f t="shared" si="4"/>
        <v/>
      </c>
      <c r="AA12" s="30" t="str">
        <f t="shared" si="5"/>
        <v>已计算</v>
      </c>
      <c r="AB12" s="30" t="str">
        <f t="shared" si="6"/>
        <v>有效</v>
      </c>
      <c r="AC12" s="30" t="str">
        <f t="shared" si="7"/>
        <v/>
      </c>
      <c r="AD12" s="31" t="s">
        <v>736</v>
      </c>
      <c r="AE12">
        <v>108000</v>
      </c>
      <c r="AF12">
        <f>INDEX(_统一战力!$B$2:$B$501,J12)</f>
        <v>27800</v>
      </c>
    </row>
    <row r="13" ht="25" customHeight="1" spans="1:32">
      <c r="A13" s="30" t="s">
        <v>150</v>
      </c>
      <c r="B13" s="30" t="s">
        <v>59</v>
      </c>
      <c r="C13" s="31" t="s">
        <v>733</v>
      </c>
      <c r="D13" s="31" t="s">
        <v>752</v>
      </c>
      <c r="E13" s="31" t="s">
        <v>753</v>
      </c>
      <c r="F13" s="30" t="s">
        <v>154</v>
      </c>
      <c r="G13" s="40">
        <v>38</v>
      </c>
      <c r="H13" s="41"/>
      <c r="I13" s="42">
        <f t="shared" si="0"/>
        <v>38</v>
      </c>
      <c r="J13" s="43">
        <v>42</v>
      </c>
      <c r="K13" s="44">
        <v>1.10754711497976</v>
      </c>
      <c r="L13" s="44">
        <v>0.787948377143275</v>
      </c>
      <c r="M13" s="44">
        <v>1</v>
      </c>
      <c r="N13" s="45"/>
      <c r="O13" s="45"/>
      <c r="P13" s="45"/>
      <c r="Q13" s="46">
        <f>IF($I13="","",IFERROR(INDEX(_玩家曲线!$H$2:$H$286,MATCH($I13,_玩家曲线!$A$2:$A$286,0)),""))</f>
        <v>54339.9167049591</v>
      </c>
      <c r="R13" s="46">
        <f>IF($I13="","",IFERROR(INDEX(_玩家曲线!$I$2:$I$286,MATCH($I13,_玩家曲线!$A$2:$A$286,0)),""))</f>
        <v>143621.04196543</v>
      </c>
      <c r="S13" s="46">
        <f>SUMIF(_爬塔队伍!$A$2:$A$501,VALUE(SUBSTITUTE(SUBSTITUTE(D13,"第",""),"层","")),_爬塔队伍!$C$2:$C$501)</f>
        <v>231203</v>
      </c>
      <c r="T13" s="46">
        <f>SUMIF(_爬塔队伍!$A$2:$A$501,VALUE(SUBSTITUTE(SUBSTITUTE(D13,"第",""),"层","")),_爬塔队伍!$D$2:$D$501)</f>
        <v>11264</v>
      </c>
      <c r="U13" s="46">
        <f>SUMIF(_爬塔队伍!$A$2:$A$501,VALUE(SUBSTITUTE(SUBSTITUTE(D13,"第",""),"层","")),_爬塔队伍!$E$2:$E$501)/COUNTIF(_爬塔队伍!$A$2:$A$501,VALUE(SUBSTITUTE(SUBSTITUTE(D13,"第",""),"层","")))</f>
        <v>3961.2</v>
      </c>
      <c r="V13" s="47">
        <f t="shared" si="1"/>
        <v>0.141667739581992</v>
      </c>
      <c r="W13" s="48">
        <f>SUMIF(_爬塔队伍!$A$2:$A$501,VALUE(SUBSTITUTE(SUBSTITUTE(D13,"第",""),"层","")),_爬塔队伍!$F$2:$F$501)</f>
        <v>270290.754333333</v>
      </c>
      <c r="X13" s="48">
        <f t="shared" si="2"/>
        <v>4.97407376976466</v>
      </c>
      <c r="Y13" s="48">
        <f t="shared" si="3"/>
        <v>12.7504476176696</v>
      </c>
      <c r="Z13" s="49" t="str">
        <f t="shared" si="4"/>
        <v/>
      </c>
      <c r="AA13" s="30" t="str">
        <f t="shared" si="5"/>
        <v>已计算</v>
      </c>
      <c r="AB13" s="30" t="str">
        <f t="shared" si="6"/>
        <v>有效</v>
      </c>
      <c r="AC13" s="30" t="str">
        <f t="shared" si="7"/>
        <v/>
      </c>
      <c r="AD13" s="31" t="s">
        <v>736</v>
      </c>
      <c r="AE13">
        <v>120000</v>
      </c>
      <c r="AF13">
        <f>INDEX(_统一战力!$B$2:$B$501,J13)</f>
        <v>32800</v>
      </c>
    </row>
    <row r="14" ht="25" customHeight="1" spans="1:32">
      <c r="A14" s="30" t="s">
        <v>150</v>
      </c>
      <c r="B14" s="30" t="s">
        <v>59</v>
      </c>
      <c r="C14" s="31" t="s">
        <v>733</v>
      </c>
      <c r="D14" s="31" t="s">
        <v>754</v>
      </c>
      <c r="E14" s="31" t="s">
        <v>755</v>
      </c>
      <c r="F14" s="30" t="s">
        <v>164</v>
      </c>
      <c r="G14" s="40">
        <v>40</v>
      </c>
      <c r="H14" s="41"/>
      <c r="I14" s="42">
        <f t="shared" si="0"/>
        <v>40</v>
      </c>
      <c r="J14" s="43">
        <v>45</v>
      </c>
      <c r="K14" s="44">
        <v>1.13192683584797</v>
      </c>
      <c r="L14" s="44">
        <v>0.785011875798147</v>
      </c>
      <c r="M14" s="44">
        <v>1</v>
      </c>
      <c r="N14" s="45"/>
      <c r="O14" s="45"/>
      <c r="P14" s="45"/>
      <c r="Q14" s="46">
        <f>IF($I14="","",IFERROR(INDEX(_玩家曲线!$H$2:$H$286,MATCH($I14,_玩家曲线!$A$2:$A$286,0)),""))</f>
        <v>59707.7034555283</v>
      </c>
      <c r="R14" s="46">
        <f>IF($I14="","",IFERROR(INDEX(_玩家曲线!$I$2:$I$286,MATCH($I14,_玩家曲线!$A$2:$A$286,0)),""))</f>
        <v>154857.631643349</v>
      </c>
      <c r="S14" s="46">
        <f>SUMIF(_爬塔队伍!$A$2:$A$501,VALUE(SUBSTITUTE(SUBSTITUTE(D14,"第",""),"层","")),_爬塔队伍!$C$2:$C$501)</f>
        <v>240707</v>
      </c>
      <c r="T14" s="46">
        <f>SUMIF(_爬塔队伍!$A$2:$A$501,VALUE(SUBSTITUTE(SUBSTITUTE(D14,"第",""),"层","")),_爬塔队伍!$D$2:$D$501)</f>
        <v>12618</v>
      </c>
      <c r="U14" s="46">
        <f>SUMIF(_爬塔队伍!$A$2:$A$501,VALUE(SUBSTITUTE(SUBSTITUTE(D14,"第",""),"层","")),_爬塔队伍!$E$2:$E$501)/COUNTIF(_爬塔队伍!$A$2:$A$501,VALUE(SUBSTITUTE(SUBSTITUTE(D14,"第",""),"层","")))</f>
        <v>3907.2</v>
      </c>
      <c r="V14" s="47">
        <f t="shared" si="1"/>
        <v>0.14000687994496</v>
      </c>
      <c r="W14" s="48">
        <f>SUMIF(_爬塔队伍!$A$2:$A$501,VALUE(SUBSTITUTE(SUBSTITUTE(D14,"第",""),"层","")),_爬塔队伍!$F$2:$F$501)</f>
        <v>280379.88</v>
      </c>
      <c r="X14" s="48">
        <f t="shared" si="2"/>
        <v>4.69587446465486</v>
      </c>
      <c r="Y14" s="48">
        <f t="shared" si="3"/>
        <v>12.2727557174948</v>
      </c>
      <c r="Z14" s="49" t="str">
        <f t="shared" si="4"/>
        <v/>
      </c>
      <c r="AA14" s="30" t="str">
        <f t="shared" si="5"/>
        <v>已计算</v>
      </c>
      <c r="AB14" s="30" t="str">
        <f t="shared" si="6"/>
        <v>有效</v>
      </c>
      <c r="AC14" s="30" t="str">
        <f t="shared" si="7"/>
        <v/>
      </c>
      <c r="AD14" s="31" t="s">
        <v>736</v>
      </c>
      <c r="AE14">
        <v>136000</v>
      </c>
      <c r="AF14">
        <f>INDEX(_统一战力!$B$2:$B$501,J14)</f>
        <v>35500</v>
      </c>
    </row>
    <row r="15" ht="25" customHeight="1" spans="1:32">
      <c r="A15" s="30" t="s">
        <v>150</v>
      </c>
      <c r="B15" s="30" t="s">
        <v>59</v>
      </c>
      <c r="C15" s="31" t="s">
        <v>733</v>
      </c>
      <c r="D15" s="31" t="s">
        <v>756</v>
      </c>
      <c r="E15" s="31" t="s">
        <v>757</v>
      </c>
      <c r="F15" s="30" t="s">
        <v>154</v>
      </c>
      <c r="G15" s="40">
        <v>42</v>
      </c>
      <c r="H15" s="41"/>
      <c r="I15" s="42">
        <f t="shared" si="0"/>
        <v>42</v>
      </c>
      <c r="J15" s="43">
        <v>49</v>
      </c>
      <c r="K15" s="44">
        <v>1.13026956740706</v>
      </c>
      <c r="L15" s="44">
        <v>0.773622223301039</v>
      </c>
      <c r="M15" s="44">
        <v>1</v>
      </c>
      <c r="N15" s="45"/>
      <c r="O15" s="45"/>
      <c r="P15" s="45"/>
      <c r="Q15" s="46">
        <f>IF($I15="","",IFERROR(INDEX(_玩家曲线!$H$2:$H$286,MATCH($I15,_玩家曲线!$A$2:$A$286,0)),""))</f>
        <v>66623.8615756816</v>
      </c>
      <c r="R15" s="46">
        <f>IF($I15="","",IFERROR(INDEX(_玩家曲线!$I$2:$I$286,MATCH($I15,_玩家曲线!$A$2:$A$286,0)),""))</f>
        <v>169193.906792731</v>
      </c>
      <c r="S15" s="46">
        <f>SUMIF(_爬塔队伍!$A$2:$A$501,VALUE(SUBSTITUTE(SUBSTITUTE(D15,"第",""),"层","")),_爬塔队伍!$C$2:$C$501)</f>
        <v>274345</v>
      </c>
      <c r="T15" s="46">
        <f>SUMIF(_爬塔队伍!$A$2:$A$501,VALUE(SUBSTITUTE(SUBSTITUTE(D15,"第",""),"层","")),_爬塔队伍!$D$2:$D$501)</f>
        <v>13761</v>
      </c>
      <c r="U15" s="46">
        <f>SUMIF(_爬塔队伍!$A$2:$A$501,VALUE(SUBSTITUTE(SUBSTITUTE(D15,"第",""),"层","")),_爬塔队伍!$E$2:$E$501)/COUNTIF(_爬塔队伍!$A$2:$A$501,VALUE(SUBSTITUTE(SUBSTITUTE(D15,"第",""),"层","")))</f>
        <v>4279.2</v>
      </c>
      <c r="V15" s="47">
        <f t="shared" si="1"/>
        <v>0.151319697869812</v>
      </c>
      <c r="W15" s="48">
        <f>SUMIF(_爬塔队伍!$A$2:$A$501,VALUE(SUBSTITUTE(SUBSTITUTE(D15,"第",""),"层","")),_爬塔队伍!$F$2:$F$501)</f>
        <v>323867.379</v>
      </c>
      <c r="X15" s="48">
        <f t="shared" si="2"/>
        <v>4.86113190290091</v>
      </c>
      <c r="Y15" s="48">
        <f t="shared" si="3"/>
        <v>12.2951752628974</v>
      </c>
      <c r="Z15" s="49" t="str">
        <f t="shared" si="4"/>
        <v/>
      </c>
      <c r="AA15" s="30" t="str">
        <f t="shared" si="5"/>
        <v>已计算</v>
      </c>
      <c r="AB15" s="30" t="str">
        <f t="shared" si="6"/>
        <v>有效</v>
      </c>
      <c r="AC15" s="30" t="str">
        <f t="shared" si="7"/>
        <v/>
      </c>
      <c r="AD15" s="31" t="s">
        <v>736</v>
      </c>
      <c r="AE15">
        <v>147000</v>
      </c>
      <c r="AF15">
        <f>INDEX(_统一战力!$B$2:$B$501,J15)</f>
        <v>43300</v>
      </c>
    </row>
    <row r="16" ht="25" customHeight="1" spans="1:32">
      <c r="A16" s="30" t="s">
        <v>150</v>
      </c>
      <c r="B16" s="30" t="s">
        <v>59</v>
      </c>
      <c r="C16" s="31" t="s">
        <v>733</v>
      </c>
      <c r="D16" s="31" t="s">
        <v>758</v>
      </c>
      <c r="E16" s="31" t="s">
        <v>759</v>
      </c>
      <c r="F16" s="30" t="s">
        <v>154</v>
      </c>
      <c r="G16" s="40">
        <v>44</v>
      </c>
      <c r="H16" s="41"/>
      <c r="I16" s="42">
        <f t="shared" si="0"/>
        <v>44</v>
      </c>
      <c r="J16" s="43">
        <v>52</v>
      </c>
      <c r="K16" s="44">
        <v>1.13196374709648</v>
      </c>
      <c r="L16" s="44">
        <v>0.761718454731972</v>
      </c>
      <c r="M16" s="44">
        <v>1</v>
      </c>
      <c r="N16" s="45"/>
      <c r="O16" s="45"/>
      <c r="P16" s="45"/>
      <c r="Q16" s="46">
        <f>IF($I16="","",IFERROR(INDEX(_玩家曲线!$H$2:$H$286,MATCH($I16,_玩家曲线!$A$2:$A$286,0)),""))</f>
        <v>74012.703804625</v>
      </c>
      <c r="R16" s="46">
        <f>IF($I16="","",IFERROR(INDEX(_玩家曲线!$I$2:$I$286,MATCH($I16,_玩家曲线!$A$2:$A$286,0)),""))</f>
        <v>184219.561156841</v>
      </c>
      <c r="S16" s="46">
        <f>SUMIF(_爬塔队伍!$A$2:$A$501,VALUE(SUBSTITUTE(SUBSTITUTE(D16,"第",""),"层","")),_爬塔队伍!$C$2:$C$501)</f>
        <v>329184</v>
      </c>
      <c r="T16" s="46">
        <f>SUMIF(_爬塔队伍!$A$2:$A$501,VALUE(SUBSTITUTE(SUBSTITUTE(D16,"第",""),"层","")),_爬塔队伍!$D$2:$D$501)</f>
        <v>14033</v>
      </c>
      <c r="U16" s="46">
        <f>SUMIF(_爬塔队伍!$A$2:$A$501,VALUE(SUBSTITUTE(SUBSTITUTE(D16,"第",""),"层","")),_爬塔队伍!$E$2:$E$501)/COUNTIF(_爬塔队伍!$A$2:$A$501,VALUE(SUBSTITUTE(SUBSTITUTE(D16,"第",""),"层","")))</f>
        <v>4975.4</v>
      </c>
      <c r="V16" s="47">
        <f t="shared" si="1"/>
        <v>0.171711175686962</v>
      </c>
      <c r="W16" s="48">
        <f>SUMIF(_爬塔队伍!$A$2:$A$501,VALUE(SUBSTITUTE(SUBSTITUTE(D16,"第",""),"层","")),_爬塔队伍!$F$2:$F$501)</f>
        <v>399085.308</v>
      </c>
      <c r="X16" s="48">
        <f t="shared" si="2"/>
        <v>5.39211902126269</v>
      </c>
      <c r="Y16" s="48">
        <f t="shared" si="3"/>
        <v>13.1275964623987</v>
      </c>
      <c r="Z16" s="49" t="str">
        <f t="shared" si="4"/>
        <v/>
      </c>
      <c r="AA16" s="30" t="str">
        <f t="shared" si="5"/>
        <v>已计算</v>
      </c>
      <c r="AB16" s="30" t="str">
        <f t="shared" si="6"/>
        <v>有效</v>
      </c>
      <c r="AC16" s="30" t="str">
        <f t="shared" si="7"/>
        <v/>
      </c>
      <c r="AD16" s="31" t="s">
        <v>736</v>
      </c>
      <c r="AE16">
        <v>151000</v>
      </c>
      <c r="AF16">
        <f>INDEX(_统一战力!$B$2:$B$501,J16)</f>
        <v>45400</v>
      </c>
    </row>
    <row r="17" ht="25" customHeight="1" spans="1:32">
      <c r="A17" s="30" t="s">
        <v>150</v>
      </c>
      <c r="B17" s="30" t="s">
        <v>59</v>
      </c>
      <c r="C17" s="31" t="s">
        <v>733</v>
      </c>
      <c r="D17" s="31" t="s">
        <v>760</v>
      </c>
      <c r="E17" s="31" t="s">
        <v>761</v>
      </c>
      <c r="F17" s="30" t="s">
        <v>154</v>
      </c>
      <c r="G17" s="40">
        <v>47</v>
      </c>
      <c r="H17" s="41"/>
      <c r="I17" s="42">
        <f t="shared" si="0"/>
        <v>47</v>
      </c>
      <c r="J17" s="43">
        <v>56</v>
      </c>
      <c r="K17" s="44">
        <v>1.12378784957974</v>
      </c>
      <c r="L17" s="44">
        <v>0.751671001397309</v>
      </c>
      <c r="M17" s="44">
        <v>1</v>
      </c>
      <c r="N17" s="45"/>
      <c r="O17" s="45"/>
      <c r="P17" s="45"/>
      <c r="Q17" s="46">
        <f>IF($I17="","",IFERROR(INDEX(_玩家曲线!$H$2:$H$286,MATCH($I17,_玩家曲线!$A$2:$A$286,0)),""))</f>
        <v>86038.300421064</v>
      </c>
      <c r="R17" s="46">
        <f>IF($I17="","",IFERROR(INDEX(_玩家曲线!$I$2:$I$286,MATCH($I17,_玩家曲线!$A$2:$A$286,0)),""))</f>
        <v>208094.426016822</v>
      </c>
      <c r="S17" s="46">
        <f>SUMIF(_爬塔队伍!$A$2:$A$501,VALUE(SUBSTITUTE(SUBSTITUTE(D17,"第",""),"层","")),_爬塔队伍!$C$2:$C$501)</f>
        <v>321967</v>
      </c>
      <c r="T17" s="46">
        <f>SUMIF(_爬塔队伍!$A$2:$A$501,VALUE(SUBSTITUTE(SUBSTITUTE(D17,"第",""),"层","")),_爬塔队伍!$D$2:$D$501)</f>
        <v>16279</v>
      </c>
      <c r="U17" s="46">
        <f>SUMIF(_爬塔队伍!$A$2:$A$501,VALUE(SUBSTITUTE(SUBSTITUTE(D17,"第",""),"层","")),_爬塔队伍!$E$2:$E$501)/COUNTIF(_爬塔队伍!$A$2:$A$501,VALUE(SUBSTITUTE(SUBSTITUTE(D17,"第",""),"层","")))</f>
        <v>4715.6</v>
      </c>
      <c r="V17" s="47">
        <f t="shared" si="1"/>
        <v>0.164217359205449</v>
      </c>
      <c r="W17" s="48">
        <f>SUMIF(_爬塔队伍!$A$2:$A$501,VALUE(SUBSTITUTE(SUBSTITUTE(D17,"第",""),"层","")),_爬塔队伍!$F$2:$F$501)</f>
        <v>385802.07725</v>
      </c>
      <c r="X17" s="48">
        <f t="shared" si="2"/>
        <v>4.48407366674978</v>
      </c>
      <c r="Y17" s="48">
        <f t="shared" si="3"/>
        <v>12.7829980967395</v>
      </c>
      <c r="Z17" s="49" t="str">
        <f t="shared" si="4"/>
        <v/>
      </c>
      <c r="AA17" s="30" t="str">
        <f t="shared" si="5"/>
        <v>已计算</v>
      </c>
      <c r="AB17" s="30" t="str">
        <f t="shared" si="6"/>
        <v>有效</v>
      </c>
      <c r="AC17" s="30" t="str">
        <f t="shared" si="7"/>
        <v/>
      </c>
      <c r="AD17" s="31" t="s">
        <v>736</v>
      </c>
      <c r="AE17">
        <v>175000</v>
      </c>
      <c r="AF17">
        <f>INDEX(_统一战力!$B$2:$B$501,J17)</f>
        <v>56700</v>
      </c>
    </row>
    <row r="18" ht="25" customHeight="1" spans="1:32">
      <c r="A18" s="30" t="s">
        <v>150</v>
      </c>
      <c r="B18" s="30" t="s">
        <v>59</v>
      </c>
      <c r="C18" s="31" t="s">
        <v>733</v>
      </c>
      <c r="D18" s="31" t="s">
        <v>762</v>
      </c>
      <c r="E18" s="31" t="s">
        <v>763</v>
      </c>
      <c r="F18" s="30" t="s">
        <v>154</v>
      </c>
      <c r="G18" s="40">
        <v>49</v>
      </c>
      <c r="H18" s="41"/>
      <c r="I18" s="42">
        <f t="shared" si="0"/>
        <v>49</v>
      </c>
      <c r="J18" s="43">
        <v>59</v>
      </c>
      <c r="K18" s="44">
        <v>1.12010583074231</v>
      </c>
      <c r="L18" s="44">
        <v>0.738990752928763</v>
      </c>
      <c r="M18" s="44">
        <v>1</v>
      </c>
      <c r="N18" s="45"/>
      <c r="O18" s="45"/>
      <c r="P18" s="45"/>
      <c r="Q18" s="46">
        <f>IF($I18="","",IFERROR(INDEX(_玩家曲线!$H$2:$H$286,MATCH($I18,_玩家曲线!$A$2:$A$286,0)),""))</f>
        <v>94722.8402641455</v>
      </c>
      <c r="R18" s="46">
        <f>IF($I18="","",IFERROR(INDEX(_玩家曲线!$I$2:$I$286,MATCH($I18,_玩家曲线!$A$2:$A$286,0)),""))</f>
        <v>224931.698270911</v>
      </c>
      <c r="S18" s="46">
        <f>SUMIF(_爬塔队伍!$A$2:$A$501,VALUE(SUBSTITUTE(SUBSTITUTE(D18,"第",""),"层","")),_爬塔队伍!$C$2:$C$501)</f>
        <v>415811</v>
      </c>
      <c r="T18" s="46">
        <f>SUMIF(_爬塔队伍!$A$2:$A$501,VALUE(SUBSTITUTE(SUBSTITUTE(D18,"第",""),"层","")),_爬塔队伍!$D$2:$D$501)</f>
        <v>15304</v>
      </c>
      <c r="U18" s="46">
        <f>SUMIF(_爬塔队伍!$A$2:$A$501,VALUE(SUBSTITUTE(SUBSTITUTE(D18,"第",""),"层","")),_爬塔队伍!$E$2:$E$501)/COUNTIF(_爬塔队伍!$A$2:$A$501,VALUE(SUBSTITUTE(SUBSTITUTE(D18,"第",""),"层","")))</f>
        <v>5939</v>
      </c>
      <c r="V18" s="47">
        <f t="shared" si="1"/>
        <v>0.198370019038712</v>
      </c>
      <c r="W18" s="48">
        <f>SUMIF(_爬塔队伍!$A$2:$A$501,VALUE(SUBSTITUTE(SUBSTITUTE(D18,"第",""),"层","")),_爬塔队伍!$F$2:$F$501)</f>
        <v>520353.514541667</v>
      </c>
      <c r="X18" s="48">
        <f t="shared" si="2"/>
        <v>5.49343234525698</v>
      </c>
      <c r="Y18" s="48">
        <f t="shared" si="3"/>
        <v>14.6975756841944</v>
      </c>
      <c r="Z18" s="49" t="str">
        <f t="shared" si="4"/>
        <v/>
      </c>
      <c r="AA18" s="30" t="str">
        <f t="shared" si="5"/>
        <v>已计算</v>
      </c>
      <c r="AB18" s="30" t="str">
        <f t="shared" si="6"/>
        <v>有效</v>
      </c>
      <c r="AC18" s="30" t="str">
        <f t="shared" si="7"/>
        <v/>
      </c>
      <c r="AD18" s="31" t="s">
        <v>736</v>
      </c>
      <c r="AE18">
        <v>180000</v>
      </c>
      <c r="AF18">
        <f>INDEX(_统一战力!$B$2:$B$501,J18)</f>
        <v>62400</v>
      </c>
    </row>
    <row r="19" ht="25" customHeight="1" spans="1:32">
      <c r="A19" s="30" t="s">
        <v>150</v>
      </c>
      <c r="B19" s="30" t="s">
        <v>59</v>
      </c>
      <c r="C19" s="31" t="s">
        <v>733</v>
      </c>
      <c r="D19" s="31" t="s">
        <v>764</v>
      </c>
      <c r="E19" s="31" t="s">
        <v>765</v>
      </c>
      <c r="F19" s="30" t="s">
        <v>745</v>
      </c>
      <c r="G19" s="40">
        <v>51</v>
      </c>
      <c r="H19" s="41"/>
      <c r="I19" s="42">
        <f t="shared" si="0"/>
        <v>51</v>
      </c>
      <c r="J19" s="43">
        <v>63</v>
      </c>
      <c r="K19" s="44">
        <v>1.13181912616307</v>
      </c>
      <c r="L19" s="44">
        <v>0.737244833037194</v>
      </c>
      <c r="M19" s="44">
        <v>1</v>
      </c>
      <c r="N19" s="45"/>
      <c r="O19" s="45"/>
      <c r="P19" s="45"/>
      <c r="Q19" s="46">
        <f>IF($I19="","",IFERROR(INDEX(_玩家曲线!$H$2:$H$286,MATCH($I19,_玩家曲线!$A$2:$A$286,0)),""))</f>
        <v>103974.326837061</v>
      </c>
      <c r="R19" s="46">
        <f>IF($I19="","",IFERROR(INDEX(_玩家曲线!$I$2:$I$286,MATCH($I19,_玩家曲线!$A$2:$A$286,0)),""))</f>
        <v>242529.808969776</v>
      </c>
      <c r="S19" s="46">
        <f>SUMIF(_爬塔队伍!$A$2:$A$501,VALUE(SUBSTITUTE(SUBSTITUTE(D19,"第",""),"层","")),_爬塔队伍!$C$2:$C$501)</f>
        <v>449341</v>
      </c>
      <c r="T19" s="46">
        <f>SUMIF(_爬塔队伍!$A$2:$A$501,VALUE(SUBSTITUTE(SUBSTITUTE(D19,"第",""),"层","")),_爬塔队伍!$D$2:$D$501)</f>
        <v>17199</v>
      </c>
      <c r="U19" s="46">
        <f>SUMIF(_爬塔队伍!$A$2:$A$501,VALUE(SUBSTITUTE(SUBSTITUTE(D19,"第",""),"层","")),_爬塔队伍!$E$2:$E$501)/COUNTIF(_爬塔队伍!$A$2:$A$501,VALUE(SUBSTITUTE(SUBSTITUTE(D19,"第",""),"层","")))</f>
        <v>6122.6</v>
      </c>
      <c r="V19" s="47">
        <f t="shared" si="1"/>
        <v>0.203256027036179</v>
      </c>
      <c r="W19" s="48">
        <f>SUMIF(_爬塔队伍!$A$2:$A$501,VALUE(SUBSTITUTE(SUBSTITUTE(D19,"第",""),"层","")),_爬塔队伍!$F$2:$F$501)</f>
        <v>566757.864291667</v>
      </c>
      <c r="X19" s="48">
        <f t="shared" si="2"/>
        <v>5.45094045359714</v>
      </c>
      <c r="Y19" s="48">
        <f t="shared" si="3"/>
        <v>14.1013901372043</v>
      </c>
      <c r="Z19" s="49" t="str">
        <f t="shared" si="4"/>
        <v/>
      </c>
      <c r="AA19" s="30" t="str">
        <f t="shared" si="5"/>
        <v>已计算</v>
      </c>
      <c r="AB19" s="30" t="str">
        <f t="shared" si="6"/>
        <v>有效</v>
      </c>
      <c r="AC19" s="30" t="str">
        <f t="shared" si="7"/>
        <v/>
      </c>
      <c r="AD19" s="31" t="s">
        <v>736</v>
      </c>
      <c r="AE19">
        <v>185000</v>
      </c>
      <c r="AF19">
        <f>INDEX(_统一战力!$B$2:$B$501,J19)</f>
        <v>71400</v>
      </c>
    </row>
    <row r="20" ht="25" customHeight="1" spans="1:32">
      <c r="A20" s="30" t="s">
        <v>150</v>
      </c>
      <c r="B20" s="30" t="s">
        <v>59</v>
      </c>
      <c r="C20" s="31" t="s">
        <v>733</v>
      </c>
      <c r="D20" s="31" t="s">
        <v>766</v>
      </c>
      <c r="E20" s="31" t="s">
        <v>767</v>
      </c>
      <c r="F20" s="30" t="s">
        <v>154</v>
      </c>
      <c r="G20" s="40">
        <v>53</v>
      </c>
      <c r="H20" s="41"/>
      <c r="I20" s="42">
        <f t="shared" si="0"/>
        <v>53</v>
      </c>
      <c r="J20" s="43">
        <v>66</v>
      </c>
      <c r="K20" s="44">
        <v>1.14581687396119</v>
      </c>
      <c r="L20" s="44">
        <v>0.734314126639064</v>
      </c>
      <c r="M20" s="44">
        <v>1</v>
      </c>
      <c r="N20" s="45"/>
      <c r="O20" s="45"/>
      <c r="P20" s="45"/>
      <c r="Q20" s="46">
        <f>IF($I20="","",IFERROR(INDEX(_玩家曲线!$H$2:$H$286,MATCH($I20,_玩家曲线!$A$2:$A$286,0)),""))</f>
        <v>113822.405455727</v>
      </c>
      <c r="R20" s="46">
        <f>IF($I20="","",IFERROR(INDEX(_玩家曲线!$I$2:$I$286,MATCH($I20,_玩家曲线!$A$2:$A$286,0)),""))</f>
        <v>260909.970617466</v>
      </c>
      <c r="S20" s="46">
        <f>SUMIF(_爬塔队伍!$A$2:$A$501,VALUE(SUBSTITUTE(SUBSTITUTE(D20,"第",""),"层","")),_爬塔队伍!$C$2:$C$501)</f>
        <v>512150</v>
      </c>
      <c r="T20" s="46">
        <f>SUMIF(_爬塔队伍!$A$2:$A$501,VALUE(SUBSTITUTE(SUBSTITUTE(D20,"第",""),"层","")),_爬塔队伍!$D$2:$D$501)</f>
        <v>18166</v>
      </c>
      <c r="U20" s="46">
        <f>SUMIF(_爬塔队伍!$A$2:$A$501,VALUE(SUBSTITUTE(SUBSTITUTE(D20,"第",""),"层","")),_爬塔队伍!$E$2:$E$501)/COUNTIF(_爬塔队伍!$A$2:$A$501,VALUE(SUBSTITUTE(SUBSTITUTE(D20,"第",""),"层","")))</f>
        <v>6709</v>
      </c>
      <c r="V20" s="47">
        <f t="shared" si="1"/>
        <v>0.218470155329057</v>
      </c>
      <c r="W20" s="48">
        <f>SUMIF(_爬塔队伍!$A$2:$A$501,VALUE(SUBSTITUTE(SUBSTITUTE(D20,"第",""),"层","")),_爬塔队伍!$F$2:$F$501)</f>
        <v>659899.299916667</v>
      </c>
      <c r="X20" s="48">
        <f t="shared" si="2"/>
        <v>5.79762215773365</v>
      </c>
      <c r="Y20" s="48">
        <f t="shared" si="3"/>
        <v>14.3625437970641</v>
      </c>
      <c r="Z20" s="49" t="str">
        <f t="shared" si="4"/>
        <v/>
      </c>
      <c r="AA20" s="30" t="str">
        <f t="shared" si="5"/>
        <v>已计算</v>
      </c>
      <c r="AB20" s="30" t="str">
        <f t="shared" si="6"/>
        <v>有效</v>
      </c>
      <c r="AC20" s="30" t="str">
        <f t="shared" si="7"/>
        <v/>
      </c>
      <c r="AD20" s="31" t="s">
        <v>736</v>
      </c>
      <c r="AE20">
        <v>197000</v>
      </c>
      <c r="AF20">
        <f>INDEX(_统一战力!$B$2:$B$501,J20)</f>
        <v>71400</v>
      </c>
    </row>
    <row r="21" ht="25" customHeight="1" spans="1:32">
      <c r="A21" s="30" t="s">
        <v>150</v>
      </c>
      <c r="B21" s="30" t="s">
        <v>59</v>
      </c>
      <c r="C21" s="31" t="s">
        <v>733</v>
      </c>
      <c r="D21" s="31" t="s">
        <v>768</v>
      </c>
      <c r="E21" s="31" t="s">
        <v>769</v>
      </c>
      <c r="F21" s="30" t="s">
        <v>154</v>
      </c>
      <c r="G21" s="40">
        <v>55</v>
      </c>
      <c r="H21" s="41"/>
      <c r="I21" s="42">
        <f t="shared" si="0"/>
        <v>55</v>
      </c>
      <c r="J21" s="43">
        <v>70</v>
      </c>
      <c r="K21" s="44">
        <v>1.13362833785909</v>
      </c>
      <c r="L21" s="44">
        <v>0.723026843108719</v>
      </c>
      <c r="M21" s="44">
        <v>1</v>
      </c>
      <c r="N21" s="45"/>
      <c r="O21" s="45"/>
      <c r="P21" s="45"/>
      <c r="Q21" s="46">
        <f>IF($I21="","",IFERROR(INDEX(_玩家曲线!$H$2:$H$286,MATCH($I21,_玩家曲线!$A$2:$A$286,0)),""))</f>
        <v>123546.244245202</v>
      </c>
      <c r="R21" s="46">
        <f>IF($I21="","",IFERROR(INDEX(_玩家曲线!$I$2:$I$286,MATCH($I21,_玩家曲线!$A$2:$A$286,0)),""))</f>
        <v>278746.593810699</v>
      </c>
      <c r="S21" s="46">
        <f>SUMIF(_爬塔队伍!$A$2:$A$501,VALUE(SUBSTITUTE(SUBSTITUTE(D21,"第",""),"层","")),_爬塔队伍!$C$2:$C$501)</f>
        <v>559757</v>
      </c>
      <c r="T21" s="46">
        <f>SUMIF(_爬塔队伍!$A$2:$A$501,VALUE(SUBSTITUTE(SUBSTITUTE(D21,"第",""),"层","")),_爬塔队伍!$D$2:$D$501)</f>
        <v>19278</v>
      </c>
      <c r="U21" s="46">
        <f>SUMIF(_爬塔队伍!$A$2:$A$501,VALUE(SUBSTITUTE(SUBSTITUTE(D21,"第",""),"层","")),_爬塔队伍!$E$2:$E$501)/COUNTIF(_爬塔队伍!$A$2:$A$501,VALUE(SUBSTITUTE(SUBSTITUTE(D21,"第",""),"层","")))</f>
        <v>7156.4</v>
      </c>
      <c r="V21" s="47">
        <f t="shared" si="1"/>
        <v>0.229692775802082</v>
      </c>
      <c r="W21" s="48">
        <f>SUMIF(_爬塔队伍!$A$2:$A$501,VALUE(SUBSTITUTE(SUBSTITUTE(D21,"第",""),"层","")),_爬塔队伍!$F$2:$F$501)</f>
        <v>732009.20825</v>
      </c>
      <c r="X21" s="48">
        <f t="shared" si="2"/>
        <v>5.92498147331118</v>
      </c>
      <c r="Y21" s="48">
        <f t="shared" si="3"/>
        <v>14.459310810805</v>
      </c>
      <c r="Z21" s="49" t="str">
        <f t="shared" si="4"/>
        <v/>
      </c>
      <c r="AA21" s="30" t="str">
        <f t="shared" si="5"/>
        <v>已计算</v>
      </c>
      <c r="AB21" s="30" t="str">
        <f t="shared" si="6"/>
        <v>有效</v>
      </c>
      <c r="AC21" s="30" t="str">
        <f t="shared" si="7"/>
        <v/>
      </c>
      <c r="AD21" s="31" t="s">
        <v>736</v>
      </c>
      <c r="AE21">
        <v>211000</v>
      </c>
      <c r="AF21">
        <f>INDEX(_统一战力!$B$2:$B$501,J21)</f>
        <v>87000</v>
      </c>
    </row>
    <row r="22" ht="25" customHeight="1" spans="1:32">
      <c r="A22" s="30" t="s">
        <v>150</v>
      </c>
      <c r="B22" s="30" t="s">
        <v>59</v>
      </c>
      <c r="C22" s="31" t="s">
        <v>733</v>
      </c>
      <c r="D22" s="31" t="s">
        <v>770</v>
      </c>
      <c r="E22" s="31" t="s">
        <v>771</v>
      </c>
      <c r="F22" s="30" t="s">
        <v>154</v>
      </c>
      <c r="G22" s="40">
        <v>58</v>
      </c>
      <c r="H22" s="41"/>
      <c r="I22" s="42">
        <f t="shared" si="0"/>
        <v>58</v>
      </c>
      <c r="J22" s="43">
        <v>73</v>
      </c>
      <c r="K22" s="44">
        <v>1.15036806139993</v>
      </c>
      <c r="L22" s="44">
        <v>0.724312412508434</v>
      </c>
      <c r="M22" s="44">
        <v>1</v>
      </c>
      <c r="N22" s="45"/>
      <c r="O22" s="45"/>
      <c r="P22" s="45"/>
      <c r="Q22" s="46">
        <f>IF($I22="","",IFERROR(INDEX(_玩家曲线!$H$2:$H$286,MATCH($I22,_玩家曲线!$A$2:$A$286,0)),""))</f>
        <v>136607.494103308</v>
      </c>
      <c r="R22" s="46">
        <f>IF($I22="","",IFERROR(INDEX(_玩家曲线!$I$2:$I$286,MATCH($I22,_玩家曲线!$A$2:$A$286,0)),""))</f>
        <v>302293.344300543</v>
      </c>
      <c r="S22" s="46">
        <f>SUMIF(_爬塔队伍!$A$2:$A$501,VALUE(SUBSTITUTE(SUBSTITUTE(D22,"第",""),"层","")),_爬塔队伍!$C$2:$C$501)</f>
        <v>561581</v>
      </c>
      <c r="T22" s="46">
        <f>SUMIF(_爬塔队伍!$A$2:$A$501,VALUE(SUBSTITUTE(SUBSTITUTE(D22,"第",""),"层","")),_爬塔队伍!$D$2:$D$501)</f>
        <v>20385</v>
      </c>
      <c r="U22" s="46">
        <f>SUMIF(_爬塔队伍!$A$2:$A$501,VALUE(SUBSTITUTE(SUBSTITUTE(D22,"第",""),"层","")),_爬塔队伍!$E$2:$E$501)/COUNTIF(_爬塔队伍!$A$2:$A$501,VALUE(SUBSTITUTE(SUBSTITUTE(D22,"第",""),"层","")))</f>
        <v>6894.4</v>
      </c>
      <c r="V22" s="47">
        <f t="shared" si="1"/>
        <v>0.223160184369983</v>
      </c>
      <c r="W22" s="48">
        <f>SUMIF(_爬塔队伍!$A$2:$A$501,VALUE(SUBSTITUTE(SUBSTITUTE(D22,"第",""),"层","")),_爬塔队伍!$F$2:$F$501)</f>
        <v>724734.556083333</v>
      </c>
      <c r="X22" s="48">
        <f t="shared" si="2"/>
        <v>5.30523278272904</v>
      </c>
      <c r="Y22" s="48">
        <f t="shared" si="3"/>
        <v>14.8292050184225</v>
      </c>
      <c r="Z22" s="49" t="str">
        <f t="shared" si="4"/>
        <v/>
      </c>
      <c r="AA22" s="30" t="str">
        <f t="shared" si="5"/>
        <v>已计算</v>
      </c>
      <c r="AB22" s="30" t="str">
        <f t="shared" si="6"/>
        <v>有效</v>
      </c>
      <c r="AC22" s="30" t="str">
        <f t="shared" si="7"/>
        <v/>
      </c>
      <c r="AD22" s="31" t="s">
        <v>736</v>
      </c>
      <c r="AE22">
        <v>225000</v>
      </c>
      <c r="AF22">
        <f>INDEX(_统一战力!$B$2:$B$501,J22)</f>
        <v>95900</v>
      </c>
    </row>
    <row r="23" ht="25" customHeight="1" spans="1:32">
      <c r="A23" s="30" t="s">
        <v>150</v>
      </c>
      <c r="B23" s="30" t="s">
        <v>59</v>
      </c>
      <c r="C23" s="31" t="s">
        <v>733</v>
      </c>
      <c r="D23" s="31" t="s">
        <v>772</v>
      </c>
      <c r="E23" s="31" t="s">
        <v>773</v>
      </c>
      <c r="F23" s="30" t="s">
        <v>154</v>
      </c>
      <c r="G23" s="40">
        <v>60</v>
      </c>
      <c r="H23" s="41"/>
      <c r="I23" s="42">
        <f t="shared" si="0"/>
        <v>60</v>
      </c>
      <c r="J23" s="43">
        <v>77</v>
      </c>
      <c r="K23" s="44">
        <v>1.13782153739877</v>
      </c>
      <c r="L23" s="44">
        <v>0.711203466451227</v>
      </c>
      <c r="M23" s="44">
        <v>1</v>
      </c>
      <c r="N23" s="45"/>
      <c r="O23" s="45"/>
      <c r="P23" s="45"/>
      <c r="Q23" s="46">
        <f>IF($I23="","",IFERROR(INDEX(_玩家曲线!$H$2:$H$286,MATCH($I23,_玩家曲线!$A$2:$A$286,0)),""))</f>
        <v>145842.967208347</v>
      </c>
      <c r="R23" s="46">
        <f>IF($I23="","",IFERROR(INDEX(_玩家曲线!$I$2:$I$286,MATCH($I23,_玩家曲线!$A$2:$A$286,0)),""))</f>
        <v>318642.987455275</v>
      </c>
      <c r="S23" s="46">
        <f>SUMIF(_爬塔队伍!$A$2:$A$501,VALUE(SUBSTITUTE(SUBSTITUTE(D23,"第",""),"层","")),_爬塔队伍!$C$2:$C$501)</f>
        <v>662440</v>
      </c>
      <c r="T23" s="46">
        <f>SUMIF(_爬塔队伍!$A$2:$A$501,VALUE(SUBSTITUTE(SUBSTITUTE(D23,"第",""),"层","")),_爬塔队伍!$D$2:$D$501)</f>
        <v>20654</v>
      </c>
      <c r="U23" s="46">
        <f>SUMIF(_爬塔队伍!$A$2:$A$501,VALUE(SUBSTITUTE(SUBSTITUTE(D23,"第",""),"层","")),_爬塔队伍!$E$2:$E$501)/COUNTIF(_爬塔队伍!$A$2:$A$501,VALUE(SUBSTITUTE(SUBSTITUTE(D23,"第",""),"层","")))</f>
        <v>7947.8</v>
      </c>
      <c r="V23" s="47">
        <f t="shared" si="1"/>
        <v>0.24877456350672</v>
      </c>
      <c r="W23" s="48">
        <f>SUMIF(_爬塔队伍!$A$2:$A$501,VALUE(SUBSTITUTE(SUBSTITUTE(D23,"第",""),"层","")),_爬塔队伍!$F$2:$F$501)</f>
        <v>885322.40725</v>
      </c>
      <c r="X23" s="48">
        <f t="shared" si="2"/>
        <v>6.0703812065566</v>
      </c>
      <c r="Y23" s="48">
        <f t="shared" si="3"/>
        <v>15.4276647358998</v>
      </c>
      <c r="Z23" s="49" t="str">
        <f t="shared" si="4"/>
        <v/>
      </c>
      <c r="AA23" s="30" t="str">
        <f t="shared" si="5"/>
        <v>已计算</v>
      </c>
      <c r="AB23" s="30" t="str">
        <f t="shared" si="6"/>
        <v>有效</v>
      </c>
      <c r="AC23" s="30" t="str">
        <f t="shared" si="7"/>
        <v/>
      </c>
      <c r="AD23" s="31" t="s">
        <v>736</v>
      </c>
      <c r="AE23">
        <v>240000</v>
      </c>
      <c r="AF23">
        <f>INDEX(_统一战力!$B$2:$B$501,J23)</f>
        <v>110000</v>
      </c>
    </row>
    <row r="24" ht="25" customHeight="1" spans="1:32">
      <c r="A24" s="30" t="s">
        <v>150</v>
      </c>
      <c r="B24" s="30" t="s">
        <v>59</v>
      </c>
      <c r="C24" s="31" t="s">
        <v>733</v>
      </c>
      <c r="D24" s="31" t="s">
        <v>774</v>
      </c>
      <c r="E24" s="31" t="s">
        <v>775</v>
      </c>
      <c r="F24" s="30" t="s">
        <v>164</v>
      </c>
      <c r="G24" s="40">
        <v>62</v>
      </c>
      <c r="H24" s="41"/>
      <c r="I24" s="42">
        <f t="shared" si="0"/>
        <v>62</v>
      </c>
      <c r="J24" s="43">
        <v>80</v>
      </c>
      <c r="K24" s="44">
        <v>1.14019537889564</v>
      </c>
      <c r="L24" s="44">
        <v>0.709306542104563</v>
      </c>
      <c r="M24" s="44">
        <v>1</v>
      </c>
      <c r="N24" s="45"/>
      <c r="O24" s="45"/>
      <c r="P24" s="45"/>
      <c r="Q24" s="46">
        <f>IF($I24="","",IFERROR(INDEX(_玩家曲线!$H$2:$H$286,MATCH($I24,_玩家曲线!$A$2:$A$286,0)),""))</f>
        <v>155520.17908224</v>
      </c>
      <c r="R24" s="46">
        <f>IF($I24="","",IFERROR(INDEX(_玩家曲线!$I$2:$I$286,MATCH($I24,_玩家曲线!$A$2:$A$286,0)),""))</f>
        <v>335526.961890732</v>
      </c>
      <c r="S24" s="46">
        <f>SUMIF(_爬塔队伍!$A$2:$A$501,VALUE(SUBSTITUTE(SUBSTITUTE(D24,"第",""),"层","")),_爬塔队伍!$C$2:$C$501)</f>
        <v>624849</v>
      </c>
      <c r="T24" s="46">
        <f>SUMIF(_爬塔队伍!$A$2:$A$501,VALUE(SUBSTITUTE(SUBSTITUTE(D24,"第",""),"层","")),_爬塔队伍!$D$2:$D$501)</f>
        <v>23324</v>
      </c>
      <c r="U24" s="46">
        <f>SUMIF(_爬塔队伍!$A$2:$A$501,VALUE(SUBSTITUTE(SUBSTITUTE(D24,"第",""),"层","")),_爬塔队伍!$E$2:$E$501)/COUNTIF(_爬塔队伍!$A$2:$A$501,VALUE(SUBSTITUTE(SUBSTITUTE(D24,"第",""),"层","")))</f>
        <v>7296.2</v>
      </c>
      <c r="V24" s="47">
        <f t="shared" si="1"/>
        <v>0.233133735086049</v>
      </c>
      <c r="W24" s="48">
        <f>SUMIF(_爬塔队伍!$A$2:$A$501,VALUE(SUBSTITUTE(SUBSTITUTE(D24,"第",""),"层","")),_爬塔队伍!$F$2:$F$501)</f>
        <v>817162.828875</v>
      </c>
      <c r="X24" s="48">
        <f t="shared" si="2"/>
        <v>5.25438456730994</v>
      </c>
      <c r="Y24" s="48">
        <f t="shared" si="3"/>
        <v>14.3854811306265</v>
      </c>
      <c r="Z24" s="49" t="str">
        <f t="shared" si="4"/>
        <v/>
      </c>
      <c r="AA24" s="30" t="str">
        <f t="shared" si="5"/>
        <v>已计算</v>
      </c>
      <c r="AB24" s="30" t="str">
        <f t="shared" si="6"/>
        <v>有效</v>
      </c>
      <c r="AC24" s="30" t="str">
        <f t="shared" si="7"/>
        <v/>
      </c>
      <c r="AD24" s="31" t="s">
        <v>736</v>
      </c>
      <c r="AE24">
        <v>255000</v>
      </c>
      <c r="AF24">
        <f>INDEX(_统一战力!$B$2:$B$501,J24)</f>
        <v>115000</v>
      </c>
    </row>
    <row r="25" ht="25" customHeight="1" spans="1:32">
      <c r="A25" s="30" t="s">
        <v>150</v>
      </c>
      <c r="B25" s="30" t="s">
        <v>59</v>
      </c>
      <c r="C25" s="31" t="s">
        <v>733</v>
      </c>
      <c r="D25" s="31" t="s">
        <v>776</v>
      </c>
      <c r="E25" s="31" t="s">
        <v>777</v>
      </c>
      <c r="F25" s="30" t="s">
        <v>154</v>
      </c>
      <c r="G25" s="40">
        <v>65</v>
      </c>
      <c r="H25" s="41"/>
      <c r="I25" s="42">
        <f t="shared" si="0"/>
        <v>65</v>
      </c>
      <c r="J25" s="43">
        <v>84</v>
      </c>
      <c r="K25" s="44">
        <v>1.15603728878297</v>
      </c>
      <c r="L25" s="44">
        <v>0.706296922729767</v>
      </c>
      <c r="M25" s="44">
        <v>1</v>
      </c>
      <c r="N25" s="45"/>
      <c r="O25" s="45"/>
      <c r="P25" s="45"/>
      <c r="Q25" s="46">
        <f>IF($I25="","",IFERROR(INDEX(_玩家曲线!$H$2:$H$286,MATCH($I25,_玩家曲线!$A$2:$A$286,0)),""))</f>
        <v>171927.518056297</v>
      </c>
      <c r="R25" s="46">
        <f>IF($I25="","",IFERROR(INDEX(_玩家曲线!$I$2:$I$286,MATCH($I25,_玩家曲线!$A$2:$A$286,0)),""))</f>
        <v>364957.353601822</v>
      </c>
      <c r="S25" s="46">
        <f>SUMIF(_爬塔队伍!$A$2:$A$501,VALUE(SUBSTITUTE(SUBSTITUTE(D25,"第",""),"层","")),_爬塔队伍!$C$2:$C$501)</f>
        <v>785383</v>
      </c>
      <c r="T25" s="46">
        <f>SUMIF(_爬塔队伍!$A$2:$A$501,VALUE(SUBSTITUTE(SUBSTITUTE(D25,"第",""),"层","")),_爬塔队伍!$D$2:$D$501)</f>
        <v>23895</v>
      </c>
      <c r="U25" s="46">
        <f>SUMIF(_爬塔队伍!$A$2:$A$501,VALUE(SUBSTITUTE(SUBSTITUTE(D25,"第",""),"层","")),_爬塔队伍!$E$2:$E$501)/COUNTIF(_爬塔队伍!$A$2:$A$501,VALUE(SUBSTITUTE(SUBSTITUTE(D25,"第",""),"层","")))</f>
        <v>8754</v>
      </c>
      <c r="V25" s="47">
        <f t="shared" si="1"/>
        <v>0.267265066862063</v>
      </c>
      <c r="W25" s="48">
        <f>SUMIF(_爬塔队伍!$A$2:$A$501,VALUE(SUBSTITUTE(SUBSTITUTE(D25,"第",""),"层","")),_爬塔队伍!$F$2:$F$501)</f>
        <v>1081019.53933333</v>
      </c>
      <c r="X25" s="48">
        <f t="shared" si="2"/>
        <v>6.28764697795124</v>
      </c>
      <c r="Y25" s="48">
        <f t="shared" si="3"/>
        <v>15.273377426316</v>
      </c>
      <c r="Z25" s="49" t="str">
        <f t="shared" si="4"/>
        <v/>
      </c>
      <c r="AA25" s="30" t="str">
        <f t="shared" si="5"/>
        <v>已计算</v>
      </c>
      <c r="AB25" s="30" t="str">
        <f t="shared" si="6"/>
        <v>有效</v>
      </c>
      <c r="AC25" s="30" t="str">
        <f t="shared" si="7"/>
        <v/>
      </c>
      <c r="AD25" s="31" t="s">
        <v>736</v>
      </c>
      <c r="AE25">
        <v>261000</v>
      </c>
      <c r="AF25">
        <f>INDEX(_统一战力!$B$2:$B$501,J25)</f>
        <v>131000</v>
      </c>
    </row>
    <row r="26" ht="25" customHeight="1" spans="1:32">
      <c r="A26" s="30" t="s">
        <v>150</v>
      </c>
      <c r="B26" s="30" t="s">
        <v>59</v>
      </c>
      <c r="C26" s="31" t="s">
        <v>733</v>
      </c>
      <c r="D26" s="31" t="s">
        <v>778</v>
      </c>
      <c r="E26" s="31" t="s">
        <v>779</v>
      </c>
      <c r="F26" s="30" t="s">
        <v>154</v>
      </c>
      <c r="G26" s="40">
        <v>67</v>
      </c>
      <c r="H26" s="41"/>
      <c r="I26" s="42">
        <f t="shared" si="0"/>
        <v>67</v>
      </c>
      <c r="J26" s="43">
        <v>88</v>
      </c>
      <c r="K26" s="44">
        <v>1.1643979107152</v>
      </c>
      <c r="L26" s="44">
        <v>0.704486371215438</v>
      </c>
      <c r="M26" s="44">
        <v>1</v>
      </c>
      <c r="N26" s="45"/>
      <c r="O26" s="45"/>
      <c r="P26" s="45"/>
      <c r="Q26" s="46">
        <f>IF($I26="","",IFERROR(INDEX(_玩家曲线!$H$2:$H$286,MATCH($I26,_玩家曲线!$A$2:$A$286,0)),""))</f>
        <v>184909.132903604</v>
      </c>
      <c r="R26" s="46">
        <f>IF($I26="","",IFERROR(INDEX(_玩家曲线!$I$2:$I$286,MATCH($I26,_玩家曲线!$A$2:$A$286,0)),""))</f>
        <v>389605.676229176</v>
      </c>
      <c r="S26" s="46">
        <f>SUMIF(_爬塔队伍!$A$2:$A$501,VALUE(SUBSTITUTE(SUBSTITUTE(D26,"第",""),"层","")),_爬塔队伍!$C$2:$C$501)</f>
        <v>826154</v>
      </c>
      <c r="T26" s="46">
        <f>SUMIF(_爬塔队伍!$A$2:$A$501,VALUE(SUBSTITUTE(SUBSTITUTE(D26,"第",""),"层","")),_爬塔队伍!$D$2:$D$501)</f>
        <v>26307</v>
      </c>
      <c r="U26" s="46">
        <f>SUMIF(_爬塔队伍!$A$2:$A$501,VALUE(SUBSTITUTE(SUBSTITUTE(D26,"第",""),"层","")),_爬塔队伍!$E$2:$E$501)/COUNTIF(_爬塔队伍!$A$2:$A$501,VALUE(SUBSTITUTE(SUBSTITUTE(D26,"第",""),"层","")))</f>
        <v>8852.6</v>
      </c>
      <c r="V26" s="47">
        <f t="shared" si="1"/>
        <v>0.269464212878128</v>
      </c>
      <c r="W26" s="48">
        <f>SUMIF(_爬塔队伍!$A$2:$A$501,VALUE(SUBSTITUTE(SUBSTITUTE(D26,"第",""),"层","")),_爬塔队伍!$F$2:$F$501)</f>
        <v>1143586.61666667</v>
      </c>
      <c r="X26" s="48">
        <f t="shared" si="2"/>
        <v>6.18458698447759</v>
      </c>
      <c r="Y26" s="48">
        <f t="shared" si="3"/>
        <v>14.8099622240915</v>
      </c>
      <c r="Z26" s="49" t="str">
        <f t="shared" si="4"/>
        <v/>
      </c>
      <c r="AA26" s="30" t="str">
        <f t="shared" si="5"/>
        <v>已计算</v>
      </c>
      <c r="AB26" s="30" t="str">
        <f t="shared" si="6"/>
        <v>有效</v>
      </c>
      <c r="AC26" s="30" t="str">
        <f t="shared" si="7"/>
        <v/>
      </c>
      <c r="AD26" s="31" t="s">
        <v>736</v>
      </c>
      <c r="AE26">
        <v>287000</v>
      </c>
      <c r="AF26">
        <f>INDEX(_统一战力!$B$2:$B$501,J26)</f>
        <v>142000</v>
      </c>
    </row>
    <row r="27" ht="25" customHeight="1" spans="1:32">
      <c r="A27" s="30" t="s">
        <v>150</v>
      </c>
      <c r="B27" s="30" t="s">
        <v>59</v>
      </c>
      <c r="C27" s="31" t="s">
        <v>733</v>
      </c>
      <c r="D27" s="31" t="s">
        <v>780</v>
      </c>
      <c r="E27" s="31" t="s">
        <v>781</v>
      </c>
      <c r="F27" s="30" t="s">
        <v>154</v>
      </c>
      <c r="G27" s="40">
        <v>69</v>
      </c>
      <c r="H27" s="41"/>
      <c r="I27" s="42">
        <f t="shared" si="0"/>
        <v>69</v>
      </c>
      <c r="J27" s="43">
        <v>92</v>
      </c>
      <c r="K27" s="44">
        <v>1.14558616402225</v>
      </c>
      <c r="L27" s="44">
        <v>0.693272974166658</v>
      </c>
      <c r="M27" s="44">
        <v>1</v>
      </c>
      <c r="N27" s="45"/>
      <c r="O27" s="45"/>
      <c r="P27" s="45"/>
      <c r="Q27" s="46">
        <f>IF($I27="","",IFERROR(INDEX(_玩家曲线!$H$2:$H$286,MATCH($I27,_玩家曲线!$A$2:$A$286,0)),""))</f>
        <v>198494.437394498</v>
      </c>
      <c r="R27" s="46">
        <f>IF($I27="","",IFERROR(INDEX(_玩家曲线!$I$2:$I$286,MATCH($I27,_玩家曲线!$A$2:$A$286,0)),""))</f>
        <v>415130.422661991</v>
      </c>
      <c r="S27" s="46">
        <f>SUMIF(_爬塔队伍!$A$2:$A$501,VALUE(SUBSTITUTE(SUBSTITUTE(D27,"第",""),"层","")),_爬塔队伍!$C$2:$C$501)</f>
        <v>955422</v>
      </c>
      <c r="T27" s="46">
        <f>SUMIF(_爬塔队伍!$A$2:$A$501,VALUE(SUBSTITUTE(SUBSTITUTE(D27,"第",""),"层","")),_爬塔队伍!$D$2:$D$501)</f>
        <v>25532</v>
      </c>
      <c r="U27" s="46">
        <f>SUMIF(_爬塔队伍!$A$2:$A$501,VALUE(SUBSTITUTE(SUBSTITUTE(D27,"第",""),"层","")),_爬塔队伍!$E$2:$E$501)/COUNTIF(_爬塔队伍!$A$2:$A$501,VALUE(SUBSTITUTE(SUBSTITUTE(D27,"第",""),"层","")))</f>
        <v>10080.4</v>
      </c>
      <c r="V27" s="47">
        <f t="shared" si="1"/>
        <v>0.295782913346087</v>
      </c>
      <c r="W27" s="48">
        <f>SUMIF(_爬塔队伍!$A$2:$A$501,VALUE(SUBSTITUTE(SUBSTITUTE(D27,"第",""),"层","")),_爬塔队伍!$F$2:$F$501)</f>
        <v>1365025.49775</v>
      </c>
      <c r="X27" s="48">
        <f t="shared" si="2"/>
        <v>6.8768954720735</v>
      </c>
      <c r="Y27" s="48">
        <f t="shared" si="3"/>
        <v>16.2592206901923</v>
      </c>
      <c r="Z27" s="49" t="str">
        <f t="shared" si="4"/>
        <v/>
      </c>
      <c r="AA27" s="30" t="str">
        <f t="shared" si="5"/>
        <v>已计算</v>
      </c>
      <c r="AB27" s="30" t="str">
        <f t="shared" si="6"/>
        <v>有效</v>
      </c>
      <c r="AC27" s="30" t="str">
        <f t="shared" si="7"/>
        <v/>
      </c>
      <c r="AD27" s="31" t="s">
        <v>736</v>
      </c>
      <c r="AE27">
        <v>293000</v>
      </c>
      <c r="AF27">
        <f>INDEX(_统一战力!$B$2:$B$501,J27)</f>
        <v>142000</v>
      </c>
    </row>
    <row r="28" ht="25" customHeight="1" spans="1:32">
      <c r="A28" s="30" t="s">
        <v>150</v>
      </c>
      <c r="B28" s="30" t="s">
        <v>59</v>
      </c>
      <c r="C28" s="31" t="s">
        <v>733</v>
      </c>
      <c r="D28" s="31" t="s">
        <v>782</v>
      </c>
      <c r="E28" s="31" t="s">
        <v>783</v>
      </c>
      <c r="F28" s="30" t="s">
        <v>154</v>
      </c>
      <c r="G28" s="40">
        <v>72</v>
      </c>
      <c r="H28" s="41"/>
      <c r="I28" s="42">
        <f t="shared" si="0"/>
        <v>72</v>
      </c>
      <c r="J28" s="43">
        <v>96</v>
      </c>
      <c r="K28" s="44">
        <v>1.16272779973454</v>
      </c>
      <c r="L28" s="44">
        <v>0.692791463529269</v>
      </c>
      <c r="M28" s="44">
        <v>1</v>
      </c>
      <c r="N28" s="45"/>
      <c r="O28" s="45"/>
      <c r="P28" s="45"/>
      <c r="Q28" s="46">
        <f>IF($I28="","",IFERROR(INDEX(_玩家曲线!$H$2:$H$286,MATCH($I28,_玩家曲线!$A$2:$A$286,0)),""))</f>
        <v>216890.590855432</v>
      </c>
      <c r="R28" s="46">
        <f>IF($I28="","",IFERROR(INDEX(_玩家曲线!$I$2:$I$286,MATCH($I28,_玩家曲线!$A$2:$A$286,0)),""))</f>
        <v>449316.591842609</v>
      </c>
      <c r="S28" s="46">
        <f>SUMIF(_爬塔队伍!$A$2:$A$501,VALUE(SUBSTITUTE(SUBSTITUTE(D28,"第",""),"层","")),_爬塔队伍!$C$2:$C$501)</f>
        <v>1049677</v>
      </c>
      <c r="T28" s="46">
        <f>SUMIF(_爬塔队伍!$A$2:$A$501,VALUE(SUBSTITUTE(SUBSTITUTE(D28,"第",""),"层","")),_爬塔队伍!$D$2:$D$501)</f>
        <v>26010</v>
      </c>
      <c r="U28" s="46">
        <f>SUMIF(_爬塔队伍!$A$2:$A$501,VALUE(SUBSTITUTE(SUBSTITUTE(D28,"第",""),"层","")),_爬塔队伍!$E$2:$E$501)/COUNTIF(_爬塔队伍!$A$2:$A$501,VALUE(SUBSTITUTE(SUBSTITUTE(D28,"第",""),"层","")))</f>
        <v>10575.8</v>
      </c>
      <c r="V28" s="47">
        <f t="shared" si="1"/>
        <v>0.305872893758062</v>
      </c>
      <c r="W28" s="48">
        <f>SUMIF(_爬塔队伍!$A$2:$A$501,VALUE(SUBSTITUTE(SUBSTITUTE(D28,"第",""),"层","")),_爬塔队伍!$F$2:$F$501)</f>
        <v>1514963.13895833</v>
      </c>
      <c r="X28" s="48">
        <f t="shared" si="2"/>
        <v>6.98491867712292</v>
      </c>
      <c r="Y28" s="48">
        <f t="shared" si="3"/>
        <v>17.2747632388546</v>
      </c>
      <c r="Z28" s="49" t="str">
        <f t="shared" si="4"/>
        <v/>
      </c>
      <c r="AA28" s="30" t="str">
        <f t="shared" si="5"/>
        <v>已计算</v>
      </c>
      <c r="AB28" s="30" t="str">
        <f t="shared" si="6"/>
        <v>有效</v>
      </c>
      <c r="AC28" s="30" t="str">
        <f t="shared" si="7"/>
        <v/>
      </c>
      <c r="AD28" s="31" t="s">
        <v>736</v>
      </c>
      <c r="AE28">
        <v>300000</v>
      </c>
      <c r="AF28">
        <f>INDEX(_统一战力!$B$2:$B$501,J28)</f>
        <v>166000</v>
      </c>
    </row>
    <row r="29" ht="25" customHeight="1" spans="1:32">
      <c r="A29" s="30" t="s">
        <v>150</v>
      </c>
      <c r="B29" s="30" t="s">
        <v>59</v>
      </c>
      <c r="C29" s="31" t="s">
        <v>733</v>
      </c>
      <c r="D29" s="31" t="s">
        <v>784</v>
      </c>
      <c r="E29" s="31" t="s">
        <v>785</v>
      </c>
      <c r="F29" s="30" t="s">
        <v>745</v>
      </c>
      <c r="G29" s="40">
        <v>74</v>
      </c>
      <c r="H29" s="41"/>
      <c r="I29" s="42">
        <f t="shared" si="0"/>
        <v>74</v>
      </c>
      <c r="J29" s="43">
        <v>100</v>
      </c>
      <c r="K29" s="44">
        <v>1.14969429601044</v>
      </c>
      <c r="L29" s="44">
        <v>0.68423679516723</v>
      </c>
      <c r="M29" s="44">
        <v>1</v>
      </c>
      <c r="N29" s="45"/>
      <c r="O29" s="45"/>
      <c r="P29" s="45"/>
      <c r="Q29" s="46">
        <f>IF($I29="","",IFERROR(INDEX(_玩家曲线!$H$2:$H$286,MATCH($I29,_玩家曲线!$A$2:$A$286,0)),""))</f>
        <v>229107.066317105</v>
      </c>
      <c r="R29" s="46">
        <f>IF($I29="","",IFERROR(INDEX(_玩家曲线!$I$2:$I$286,MATCH($I29,_玩家曲线!$A$2:$A$286,0)),""))</f>
        <v>471776.255639066</v>
      </c>
      <c r="S29" s="46">
        <f>SUMIF(_爬塔队伍!$A$2:$A$501,VALUE(SUBSTITUTE(SUBSTITUTE(D29,"第",""),"层","")),_爬塔队伍!$C$2:$C$501)</f>
        <v>1077895</v>
      </c>
      <c r="T29" s="46">
        <f>SUMIF(_爬塔队伍!$A$2:$A$501,VALUE(SUBSTITUTE(SUBSTITUTE(D29,"第",""),"层","")),_爬塔队伍!$D$2:$D$501)</f>
        <v>28273</v>
      </c>
      <c r="U29" s="46">
        <f>SUMIF(_爬塔队伍!$A$2:$A$501,VALUE(SUBSTITUTE(SUBSTITUTE(D29,"第",""),"层","")),_爬塔队伍!$E$2:$E$501)/COUNTIF(_爬塔队伍!$A$2:$A$501,VALUE(SUBSTITUTE(SUBSTITUTE(D29,"第",""),"层","")))</f>
        <v>10649</v>
      </c>
      <c r="V29" s="47">
        <f t="shared" si="1"/>
        <v>0.30733931715201</v>
      </c>
      <c r="W29" s="48">
        <f>SUMIF(_爬塔队伍!$A$2:$A$501,VALUE(SUBSTITUTE(SUBSTITUTE(D29,"第",""),"层","")),_爬塔队伍!$F$2:$F$501)</f>
        <v>1563819.08395833</v>
      </c>
      <c r="X29" s="48">
        <f t="shared" si="2"/>
        <v>6.82571301311966</v>
      </c>
      <c r="Y29" s="48">
        <f t="shared" si="3"/>
        <v>16.686459011745</v>
      </c>
      <c r="Z29" s="49" t="str">
        <f t="shared" si="4"/>
        <v/>
      </c>
      <c r="AA29" s="30" t="str">
        <f t="shared" si="5"/>
        <v>已计算</v>
      </c>
      <c r="AB29" s="30" t="str">
        <f t="shared" si="6"/>
        <v>有效</v>
      </c>
      <c r="AC29" s="30" t="str">
        <f t="shared" si="7"/>
        <v/>
      </c>
      <c r="AD29" s="31" t="s">
        <v>736</v>
      </c>
      <c r="AE29">
        <v>307000</v>
      </c>
      <c r="AF29">
        <f>INDEX(_统一战力!$B$2:$B$501,J29)</f>
        <v>180000</v>
      </c>
    </row>
    <row r="30" ht="25" customHeight="1" spans="1:32">
      <c r="A30" s="30" t="s">
        <v>150</v>
      </c>
      <c r="B30" s="30" t="s">
        <v>59</v>
      </c>
      <c r="C30" s="31" t="s">
        <v>733</v>
      </c>
      <c r="D30" s="31" t="s">
        <v>786</v>
      </c>
      <c r="E30" s="31" t="s">
        <v>787</v>
      </c>
      <c r="F30" s="30" t="s">
        <v>154</v>
      </c>
      <c r="G30" s="40">
        <v>76</v>
      </c>
      <c r="H30" s="41"/>
      <c r="I30" s="42">
        <f t="shared" si="0"/>
        <v>76</v>
      </c>
      <c r="J30" s="43">
        <v>104</v>
      </c>
      <c r="K30" s="44">
        <v>1.16724116660848</v>
      </c>
      <c r="L30" s="44">
        <v>0.689417739041316</v>
      </c>
      <c r="M30" s="44">
        <v>1</v>
      </c>
      <c r="N30" s="45"/>
      <c r="O30" s="45"/>
      <c r="P30" s="45"/>
      <c r="Q30" s="46">
        <f>IF($I30="","",IFERROR(INDEX(_玩家曲线!$H$2:$H$286,MATCH($I30,_玩家曲线!$A$2:$A$286,0)),""))</f>
        <v>241771.641497773</v>
      </c>
      <c r="R30" s="46">
        <f>IF($I30="","",IFERROR(INDEX(_玩家曲线!$I$2:$I$286,MATCH($I30,_玩家曲线!$A$2:$A$286,0)),""))</f>
        <v>494857.08136754</v>
      </c>
      <c r="S30" s="46">
        <f>SUMIF(_爬塔队伍!$A$2:$A$501,VALUE(SUBSTITUTE(SUBSTITUTE(D30,"第",""),"层","")),_爬塔队伍!$C$2:$C$501)</f>
        <v>1085244</v>
      </c>
      <c r="T30" s="46">
        <f>SUMIF(_爬塔队伍!$A$2:$A$501,VALUE(SUBSTITUTE(SUBSTITUTE(D30,"第",""),"层","")),_爬塔队伍!$D$2:$D$501)</f>
        <v>32411</v>
      </c>
      <c r="U30" s="46">
        <f>SUMIF(_爬塔队伍!$A$2:$A$501,VALUE(SUBSTITUTE(SUBSTITUTE(D30,"第",""),"层","")),_爬塔队伍!$E$2:$E$501)/COUNTIF(_爬塔队伍!$A$2:$A$501,VALUE(SUBSTITUTE(SUBSTITUTE(D30,"第",""),"层","")))</f>
        <v>10243.2</v>
      </c>
      <c r="V30" s="47">
        <f t="shared" si="1"/>
        <v>0.299130922343706</v>
      </c>
      <c r="W30" s="48">
        <f>SUMIF(_爬塔队伍!$A$2:$A$501,VALUE(SUBSTITUTE(SUBSTITUTE(D30,"第",""),"层","")),_爬塔队伍!$F$2:$F$501)</f>
        <v>1562436.808625</v>
      </c>
      <c r="X30" s="48">
        <f t="shared" si="2"/>
        <v>6.46244861037349</v>
      </c>
      <c r="Y30" s="48">
        <f t="shared" si="3"/>
        <v>15.2681830664756</v>
      </c>
      <c r="Z30" s="49" t="str">
        <f t="shared" si="4"/>
        <v/>
      </c>
      <c r="AA30" s="30" t="str">
        <f t="shared" si="5"/>
        <v>已计算</v>
      </c>
      <c r="AB30" s="30" t="str">
        <f t="shared" si="6"/>
        <v>有效</v>
      </c>
      <c r="AC30" s="30" t="str">
        <f t="shared" si="7"/>
        <v/>
      </c>
      <c r="AD30" s="31" t="s">
        <v>736</v>
      </c>
      <c r="AE30">
        <v>353000</v>
      </c>
      <c r="AF30">
        <f>INDEX(_统一战力!$B$2:$B$501,J30)</f>
        <v>197000</v>
      </c>
    </row>
    <row r="31" ht="25" customHeight="1" spans="1:32">
      <c r="A31" s="30" t="s">
        <v>150</v>
      </c>
      <c r="B31" s="30" t="s">
        <v>59</v>
      </c>
      <c r="C31" s="31" t="s">
        <v>733</v>
      </c>
      <c r="D31" s="31" t="s">
        <v>788</v>
      </c>
      <c r="E31" s="31" t="s">
        <v>789</v>
      </c>
      <c r="F31" s="30" t="s">
        <v>154</v>
      </c>
      <c r="G31" s="40">
        <v>79</v>
      </c>
      <c r="H31" s="41"/>
      <c r="I31" s="42">
        <f t="shared" si="0"/>
        <v>79</v>
      </c>
      <c r="J31" s="43">
        <v>108</v>
      </c>
      <c r="K31" s="44">
        <v>1.16303148484125</v>
      </c>
      <c r="L31" s="44">
        <v>0.681464488943416</v>
      </c>
      <c r="M31" s="44">
        <v>1</v>
      </c>
      <c r="N31" s="45"/>
      <c r="O31" s="45"/>
      <c r="P31" s="45"/>
      <c r="Q31" s="46">
        <f>IF($I31="","",IFERROR(INDEX(_玩家曲线!$H$2:$H$286,MATCH($I31,_玩家曲线!$A$2:$A$286,0)),""))</f>
        <v>261637.468664634</v>
      </c>
      <c r="R31" s="46">
        <f>IF($I31="","",IFERROR(INDEX(_玩家曲线!$I$2:$I$286,MATCH($I31,_玩家曲线!$A$2:$A$286,0)),""))</f>
        <v>530664.445346229</v>
      </c>
      <c r="S31" s="46">
        <f>SUMIF(_爬塔队伍!$A$2:$A$501,VALUE(SUBSTITUTE(SUBSTITUTE(D31,"第",""),"层","")),_爬塔队伍!$C$2:$C$501)</f>
        <v>1315085</v>
      </c>
      <c r="T31" s="46">
        <f>SUMIF(_爬塔队伍!$A$2:$A$501,VALUE(SUBSTITUTE(SUBSTITUTE(D31,"第",""),"层","")),_爬塔队伍!$D$2:$D$501)</f>
        <v>31382</v>
      </c>
      <c r="U31" s="46">
        <f>SUMIF(_爬塔队伍!$A$2:$A$501,VALUE(SUBSTITUTE(SUBSTITUTE(D31,"第",""),"层","")),_爬塔队伍!$E$2:$E$501)/COUNTIF(_爬塔队伍!$A$2:$A$501,VALUE(SUBSTITUTE(SUBSTITUTE(D31,"第",""),"层","")))</f>
        <v>12089</v>
      </c>
      <c r="V31" s="47">
        <f t="shared" si="1"/>
        <v>0.33497741694145</v>
      </c>
      <c r="W31" s="48">
        <f>SUMIF(_爬塔队伍!$A$2:$A$501,VALUE(SUBSTITUTE(SUBSTITUTE(D31,"第",""),"层","")),_爬塔队伍!$F$2:$F$501)</f>
        <v>1991224.09854167</v>
      </c>
      <c r="X31" s="48">
        <f t="shared" si="2"/>
        <v>7.61062285422892</v>
      </c>
      <c r="Y31" s="48">
        <f t="shared" si="3"/>
        <v>16.9098351075849</v>
      </c>
      <c r="Z31" s="49" t="str">
        <f t="shared" si="4"/>
        <v/>
      </c>
      <c r="AA31" s="30" t="str">
        <f t="shared" si="5"/>
        <v>已计算</v>
      </c>
      <c r="AB31" s="30" t="str">
        <f t="shared" si="6"/>
        <v>有效</v>
      </c>
      <c r="AC31" s="30" t="str">
        <f t="shared" si="7"/>
        <v/>
      </c>
      <c r="AD31" s="31" t="s">
        <v>736</v>
      </c>
      <c r="AE31">
        <v>361000</v>
      </c>
      <c r="AF31">
        <f>INDEX(_统一战力!$B$2:$B$501,J31)</f>
        <v>218000</v>
      </c>
    </row>
    <row r="32" ht="25" customHeight="1" spans="1:32">
      <c r="A32" s="30" t="s">
        <v>150</v>
      </c>
      <c r="B32" s="30" t="s">
        <v>59</v>
      </c>
      <c r="C32" s="31" t="s">
        <v>733</v>
      </c>
      <c r="D32" s="31" t="s">
        <v>790</v>
      </c>
      <c r="E32" s="31" t="s">
        <v>791</v>
      </c>
      <c r="F32" s="30" t="s">
        <v>154</v>
      </c>
      <c r="G32" s="40">
        <v>81</v>
      </c>
      <c r="H32" s="41"/>
      <c r="I32" s="42">
        <f t="shared" si="0"/>
        <v>81</v>
      </c>
      <c r="J32" s="43">
        <v>112</v>
      </c>
      <c r="K32" s="44">
        <v>1.16640085694238</v>
      </c>
      <c r="L32" s="44">
        <v>0.680501860332393</v>
      </c>
      <c r="M32" s="44">
        <v>1</v>
      </c>
      <c r="N32" s="45"/>
      <c r="O32" s="45"/>
      <c r="P32" s="45"/>
      <c r="Q32" s="46">
        <f>IF($I32="","",IFERROR(INDEX(_玩家曲线!$H$2:$H$286,MATCH($I32,_玩家曲线!$A$2:$A$286,0)),""))</f>
        <v>275480.354315355</v>
      </c>
      <c r="R32" s="46">
        <f>IF($I32="","",IFERROR(INDEX(_玩家曲线!$I$2:$I$286,MATCH($I32,_玩家曲线!$A$2:$A$286,0)),""))</f>
        <v>555341.188571833</v>
      </c>
      <c r="S32" s="46">
        <f>SUMIF(_爬塔队伍!$A$2:$A$501,VALUE(SUBSTITUTE(SUBSTITUTE(D32,"第",""),"层","")),_爬塔队伍!$C$2:$C$501)</f>
        <v>1416488</v>
      </c>
      <c r="T32" s="46">
        <f>SUMIF(_爬塔队伍!$A$2:$A$501,VALUE(SUBSTITUTE(SUBSTITUTE(D32,"第",""),"层","")),_爬塔队伍!$D$2:$D$501)</f>
        <v>34280</v>
      </c>
      <c r="U32" s="46">
        <f>SUMIF(_爬塔队伍!$A$2:$A$501,VALUE(SUBSTITUTE(SUBSTITUTE(D32,"第",""),"层","")),_爬塔队伍!$E$2:$E$501)/COUNTIF(_爬塔队伍!$A$2:$A$501,VALUE(SUBSTITUTE(SUBSTITUTE(D32,"第",""),"层","")))</f>
        <v>12602.2</v>
      </c>
      <c r="V32" s="47">
        <f t="shared" si="1"/>
        <v>0.344301708640464</v>
      </c>
      <c r="W32" s="48">
        <f>SUMIF(_爬塔队伍!$A$2:$A$501,VALUE(SUBSTITUTE(SUBSTITUTE(D32,"第",""),"层","")),_爬塔队伍!$F$2:$F$501)</f>
        <v>2186680.74308333</v>
      </c>
      <c r="X32" s="48">
        <f t="shared" si="2"/>
        <v>7.93770121473032</v>
      </c>
      <c r="Y32" s="48">
        <f t="shared" si="3"/>
        <v>16.2001513585716</v>
      </c>
      <c r="Z32" s="49" t="str">
        <f t="shared" si="4"/>
        <v/>
      </c>
      <c r="AA32" s="30" t="str">
        <f t="shared" si="5"/>
        <v>已计算</v>
      </c>
      <c r="AB32" s="30" t="str">
        <f t="shared" si="6"/>
        <v>有效</v>
      </c>
      <c r="AC32" s="30" t="str">
        <f t="shared" si="7"/>
        <v/>
      </c>
      <c r="AD32" s="31" t="s">
        <v>736</v>
      </c>
      <c r="AE32">
        <v>369000</v>
      </c>
      <c r="AF32">
        <f>INDEX(_统一战力!$B$2:$B$501,J32)</f>
        <v>225000</v>
      </c>
    </row>
    <row r="33" ht="25" customHeight="1" spans="1:32">
      <c r="A33" s="30" t="s">
        <v>150</v>
      </c>
      <c r="B33" s="30" t="s">
        <v>59</v>
      </c>
      <c r="C33" s="31" t="s">
        <v>733</v>
      </c>
      <c r="D33" s="31" t="s">
        <v>792</v>
      </c>
      <c r="E33" s="31" t="s">
        <v>793</v>
      </c>
      <c r="F33" s="30" t="s">
        <v>154</v>
      </c>
      <c r="G33" s="40">
        <v>84</v>
      </c>
      <c r="H33" s="41"/>
      <c r="I33" s="42">
        <f t="shared" si="0"/>
        <v>84</v>
      </c>
      <c r="J33" s="43">
        <v>116</v>
      </c>
      <c r="K33" s="44">
        <v>1.16284078604177</v>
      </c>
      <c r="L33" s="44">
        <v>0.679448918464657</v>
      </c>
      <c r="M33" s="44">
        <v>1</v>
      </c>
      <c r="N33" s="45"/>
      <c r="O33" s="45"/>
      <c r="P33" s="45"/>
      <c r="Q33" s="46">
        <f>IF($I33="","",IFERROR(INDEX(_玩家曲线!$H$2:$H$286,MATCH($I33,_玩家曲线!$A$2:$A$286,0)),""))</f>
        <v>297177.924285564</v>
      </c>
      <c r="R33" s="46">
        <f>IF($I33="","",IFERROR(INDEX(_玩家曲线!$I$2:$I$286,MATCH($I33,_玩家曲线!$A$2:$A$286,0)),""))</f>
        <v>593588.996599568</v>
      </c>
      <c r="S33" s="46">
        <f>SUMIF(_爬塔队伍!$A$2:$A$501,VALUE(SUBSTITUTE(SUBSTITUTE(D33,"第",""),"层","")),_爬塔队伍!$C$2:$C$501)</f>
        <v>1397640</v>
      </c>
      <c r="T33" s="46">
        <f>SUMIF(_爬塔队伍!$A$2:$A$501,VALUE(SUBSTITUTE(SUBSTITUTE(D33,"第",""),"层","")),_爬塔队伍!$D$2:$D$501)</f>
        <v>37347</v>
      </c>
      <c r="U33" s="46">
        <f>SUMIF(_爬塔队伍!$A$2:$A$501,VALUE(SUBSTITUTE(SUBSTITUTE(D33,"第",""),"层","")),_爬塔队伍!$E$2:$E$501)/COUNTIF(_爬塔队伍!$A$2:$A$501,VALUE(SUBSTITUTE(SUBSTITUTE(D33,"第",""),"层","")))</f>
        <v>12111.8</v>
      </c>
      <c r="V33" s="47">
        <f t="shared" si="1"/>
        <v>0.335397293959315</v>
      </c>
      <c r="W33" s="48">
        <f>SUMIF(_爬塔队伍!$A$2:$A$501,VALUE(SUBSTITUTE(SUBSTITUTE(D33,"第",""),"层","")),_爬塔队伍!$F$2:$F$501)</f>
        <v>2132361.8775</v>
      </c>
      <c r="X33" s="48">
        <f t="shared" si="2"/>
        <v>7.17537105969881</v>
      </c>
      <c r="Y33" s="48">
        <f t="shared" si="3"/>
        <v>15.8938869681519</v>
      </c>
      <c r="Z33" s="49" t="str">
        <f t="shared" si="4"/>
        <v/>
      </c>
      <c r="AA33" s="30" t="str">
        <f t="shared" si="5"/>
        <v>已计算</v>
      </c>
      <c r="AB33" s="30" t="str">
        <f t="shared" si="6"/>
        <v>有效</v>
      </c>
      <c r="AC33" s="30" t="str">
        <f t="shared" si="7"/>
        <v/>
      </c>
      <c r="AD33" s="31" t="s">
        <v>736</v>
      </c>
      <c r="AE33">
        <v>403000</v>
      </c>
      <c r="AF33">
        <f>INDEX(_统一战力!$B$2:$B$501,J33)</f>
        <v>255000</v>
      </c>
    </row>
    <row r="34" ht="25" customHeight="1" spans="1:32">
      <c r="A34" s="30" t="s">
        <v>150</v>
      </c>
      <c r="B34" s="30" t="s">
        <v>59</v>
      </c>
      <c r="C34" s="31" t="s">
        <v>733</v>
      </c>
      <c r="D34" s="31" t="s">
        <v>794</v>
      </c>
      <c r="E34" s="31" t="s">
        <v>795</v>
      </c>
      <c r="F34" s="30" t="s">
        <v>164</v>
      </c>
      <c r="G34" s="40">
        <v>86</v>
      </c>
      <c r="H34" s="41"/>
      <c r="I34" s="42">
        <f t="shared" si="0"/>
        <v>86</v>
      </c>
      <c r="J34" s="43">
        <v>120</v>
      </c>
      <c r="K34" s="44">
        <v>1.15790204370874</v>
      </c>
      <c r="L34" s="44">
        <v>0.675485081391402</v>
      </c>
      <c r="M34" s="44">
        <v>1</v>
      </c>
      <c r="N34" s="45"/>
      <c r="O34" s="45"/>
      <c r="P34" s="45"/>
      <c r="Q34" s="46">
        <f>IF($I34="","",IFERROR(INDEX(_玩家曲线!$H$2:$H$286,MATCH($I34,_玩家曲线!$A$2:$A$286,0)),""))</f>
        <v>309251.070113964</v>
      </c>
      <c r="R34" s="46">
        <f>IF($I34="","",IFERROR(INDEX(_玩家曲线!$I$2:$I$286,MATCH($I34,_玩家曲线!$A$2:$A$286,0)),""))</f>
        <v>614695.104720324</v>
      </c>
      <c r="S34" s="46">
        <f>SUMIF(_爬塔队伍!$A$2:$A$501,VALUE(SUBSTITUTE(SUBSTITUTE(D34,"第",""),"层","")),_爬塔队伍!$C$2:$C$501)</f>
        <v>1489915</v>
      </c>
      <c r="T34" s="46">
        <f>SUMIF(_爬塔队伍!$A$2:$A$501,VALUE(SUBSTITUTE(SUBSTITUTE(D34,"第",""),"层","")),_爬塔队伍!$D$2:$D$501)</f>
        <v>37621</v>
      </c>
      <c r="U34" s="46">
        <f>SUMIF(_爬塔队伍!$A$2:$A$501,VALUE(SUBSTITUTE(SUBSTITUTE(D34,"第",""),"层","")),_爬塔队伍!$E$2:$E$501)/COUNTIF(_爬塔队伍!$A$2:$A$501,VALUE(SUBSTITUTE(SUBSTITUTE(D34,"第",""),"层","")))</f>
        <v>12595.2</v>
      </c>
      <c r="V34" s="47">
        <f t="shared" si="1"/>
        <v>0.344176285414481</v>
      </c>
      <c r="W34" s="48">
        <f>SUMIF(_爬塔队伍!$A$2:$A$501,VALUE(SUBSTITUTE(SUBSTITUTE(D34,"第",""),"层","")),_爬塔队伍!$F$2:$F$501)</f>
        <v>2290827.14933333</v>
      </c>
      <c r="X34" s="48">
        <f t="shared" si="2"/>
        <v>7.40766118768522</v>
      </c>
      <c r="Y34" s="48">
        <f t="shared" si="3"/>
        <v>16.3391484734676</v>
      </c>
      <c r="Z34" s="49" t="str">
        <f t="shared" si="4"/>
        <v/>
      </c>
      <c r="AA34" s="30" t="str">
        <f t="shared" si="5"/>
        <v>已计算</v>
      </c>
      <c r="AB34" s="30" t="str">
        <f t="shared" si="6"/>
        <v>有效</v>
      </c>
      <c r="AC34" s="30" t="str">
        <f t="shared" si="7"/>
        <v/>
      </c>
      <c r="AD34" s="31" t="s">
        <v>736</v>
      </c>
      <c r="AE34">
        <v>409000</v>
      </c>
      <c r="AF34">
        <f>INDEX(_统一战力!$B$2:$B$501,J34)</f>
        <v>274000</v>
      </c>
    </row>
    <row r="35" ht="25" customHeight="1" spans="1:32">
      <c r="A35" s="30" t="s">
        <v>150</v>
      </c>
      <c r="B35" s="30" t="s">
        <v>59</v>
      </c>
      <c r="C35" s="31" t="s">
        <v>733</v>
      </c>
      <c r="D35" s="31" t="s">
        <v>796</v>
      </c>
      <c r="E35" s="31" t="s">
        <v>797</v>
      </c>
      <c r="F35" s="30" t="s">
        <v>154</v>
      </c>
      <c r="G35" s="40">
        <v>89</v>
      </c>
      <c r="H35" s="41"/>
      <c r="I35" s="42">
        <f t="shared" si="0"/>
        <v>89</v>
      </c>
      <c r="J35" s="43">
        <v>124</v>
      </c>
      <c r="K35" s="44">
        <v>1.16967741431087</v>
      </c>
      <c r="L35" s="44">
        <v>0.676370195756928</v>
      </c>
      <c r="M35" s="44">
        <v>1</v>
      </c>
      <c r="N35" s="45"/>
      <c r="O35" s="45"/>
      <c r="P35" s="45"/>
      <c r="Q35" s="46">
        <f>IF($I35="","",IFERROR(INDEX(_玩家曲线!$H$2:$H$286,MATCH($I35,_玩家曲线!$A$2:$A$286,0)),""))</f>
        <v>326620.567530564</v>
      </c>
      <c r="R35" s="46">
        <f>IF($I35="","",IFERROR(INDEX(_玩家曲线!$I$2:$I$286,MATCH($I35,_玩家曲线!$A$2:$A$286,0)),""))</f>
        <v>644822.593466224</v>
      </c>
      <c r="S35" s="46">
        <f>SUMIF(_爬塔队伍!$A$2:$A$501,VALUE(SUBSTITUTE(SUBSTITUTE(D35,"第",""),"层","")),_爬塔队伍!$C$2:$C$501)</f>
        <v>1608906</v>
      </c>
      <c r="T35" s="46">
        <f>SUMIF(_爬塔队伍!$A$2:$A$501,VALUE(SUBSTITUTE(SUBSTITUTE(D35,"第",""),"层","")),_爬塔队伍!$D$2:$D$501)</f>
        <v>39538</v>
      </c>
      <c r="U35" s="46">
        <f>SUMIF(_爬塔队伍!$A$2:$A$501,VALUE(SUBSTITUTE(SUBSTITUTE(D35,"第",""),"层","")),_爬塔队伍!$E$2:$E$501)/COUNTIF(_爬塔队伍!$A$2:$A$501,VALUE(SUBSTITUTE(SUBSTITUTE(D35,"第",""),"层","")))</f>
        <v>13082.6</v>
      </c>
      <c r="V35" s="47">
        <f t="shared" si="1"/>
        <v>0.352796190126906</v>
      </c>
      <c r="W35" s="48">
        <f>SUMIF(_爬塔队伍!$A$2:$A$501,VALUE(SUBSTITUTE(SUBSTITUTE(D35,"第",""),"层","")),_爬塔队伍!$F$2:$F$501)</f>
        <v>2507250.89858333</v>
      </c>
      <c r="X35" s="48">
        <f t="shared" si="2"/>
        <v>7.67634113656579</v>
      </c>
      <c r="Y35" s="48">
        <f t="shared" si="3"/>
        <v>16.3089330129552</v>
      </c>
      <c r="Z35" s="49" t="str">
        <f t="shared" si="4"/>
        <v/>
      </c>
      <c r="AA35" s="30" t="str">
        <f t="shared" si="5"/>
        <v>已计算</v>
      </c>
      <c r="AB35" s="30" t="str">
        <f t="shared" si="6"/>
        <v>有效</v>
      </c>
      <c r="AC35" s="30" t="str">
        <f t="shared" si="7"/>
        <v/>
      </c>
      <c r="AD35" s="31" t="s">
        <v>736</v>
      </c>
      <c r="AE35">
        <v>426000</v>
      </c>
      <c r="AF35">
        <f>INDEX(_统一战力!$B$2:$B$501,J35)</f>
        <v>300000</v>
      </c>
    </row>
    <row r="36" ht="25" customHeight="1" spans="1:32">
      <c r="A36" s="30" t="s">
        <v>150</v>
      </c>
      <c r="B36" s="30" t="s">
        <v>59</v>
      </c>
      <c r="C36" s="31" t="s">
        <v>733</v>
      </c>
      <c r="D36" s="31" t="s">
        <v>798</v>
      </c>
      <c r="E36" s="31" t="s">
        <v>799</v>
      </c>
      <c r="F36" s="30" t="s">
        <v>154</v>
      </c>
      <c r="G36" s="40">
        <v>91</v>
      </c>
      <c r="H36" s="41"/>
      <c r="I36" s="42">
        <f t="shared" si="0"/>
        <v>91</v>
      </c>
      <c r="J36" s="43">
        <v>128</v>
      </c>
      <c r="K36" s="44">
        <v>1.17397097419226</v>
      </c>
      <c r="L36" s="44">
        <v>0.675278998801872</v>
      </c>
      <c r="M36" s="44">
        <v>1</v>
      </c>
      <c r="N36" s="45"/>
      <c r="O36" s="45"/>
      <c r="P36" s="45"/>
      <c r="Q36" s="46">
        <f>IF($I36="","",IFERROR(INDEX(_玩家曲线!$H$2:$H$286,MATCH($I36,_玩家曲线!$A$2:$A$286,0)),""))</f>
        <v>338576.001251768</v>
      </c>
      <c r="R36" s="46">
        <f>IF($I36="","",IFERROR(INDEX(_玩家曲线!$I$2:$I$286,MATCH($I36,_玩家曲线!$A$2:$A$286,0)),""))</f>
        <v>665388.142051713</v>
      </c>
      <c r="S36" s="46">
        <f>SUMIF(_爬塔队伍!$A$2:$A$501,VALUE(SUBSTITUTE(SUBSTITUTE(D36,"第",""),"层","")),_爬塔队伍!$C$2:$C$501)</f>
        <v>1795705</v>
      </c>
      <c r="T36" s="46">
        <f>SUMIF(_爬塔队伍!$A$2:$A$501,VALUE(SUBSTITUTE(SUBSTITUTE(D36,"第",""),"层","")),_爬塔队伍!$D$2:$D$501)</f>
        <v>39858</v>
      </c>
      <c r="U36" s="46">
        <f>SUMIF(_爬塔队伍!$A$2:$A$501,VALUE(SUBSTITUTE(SUBSTITUTE(D36,"第",""),"层","")),_爬塔队伍!$E$2:$E$501)/COUNTIF(_爬塔队伍!$A$2:$A$501,VALUE(SUBSTITUTE(SUBSTITUTE(D36,"第",""),"层","")))</f>
        <v>14140</v>
      </c>
      <c r="V36" s="47">
        <f t="shared" si="1"/>
        <v>0.370739381227058</v>
      </c>
      <c r="W36" s="48">
        <f>SUMIF(_爬塔队伍!$A$2:$A$501,VALUE(SUBSTITUTE(SUBSTITUTE(D36,"第",""),"层","")),_爬塔队伍!$F$2:$F$501)</f>
        <v>2870601.9945</v>
      </c>
      <c r="X36" s="48">
        <f t="shared" si="2"/>
        <v>8.47845678337194</v>
      </c>
      <c r="Y36" s="48">
        <f t="shared" si="3"/>
        <v>16.6939671346207</v>
      </c>
      <c r="Z36" s="49" t="str">
        <f t="shared" si="4"/>
        <v/>
      </c>
      <c r="AA36" s="30" t="str">
        <f t="shared" si="5"/>
        <v>已计算</v>
      </c>
      <c r="AB36" s="30" t="str">
        <f t="shared" si="6"/>
        <v>有效</v>
      </c>
      <c r="AC36" s="30" t="str">
        <f t="shared" si="7"/>
        <v/>
      </c>
      <c r="AD36" s="31" t="s">
        <v>736</v>
      </c>
      <c r="AE36">
        <v>435000</v>
      </c>
      <c r="AF36">
        <f>INDEX(_统一战力!$B$2:$B$501,J36)</f>
        <v>314000</v>
      </c>
    </row>
    <row r="37" ht="25" customHeight="1" spans="1:32">
      <c r="A37" s="30" t="s">
        <v>150</v>
      </c>
      <c r="B37" s="30" t="s">
        <v>59</v>
      </c>
      <c r="C37" s="31" t="s">
        <v>733</v>
      </c>
      <c r="D37" s="31" t="s">
        <v>800</v>
      </c>
      <c r="E37" s="31" t="s">
        <v>801</v>
      </c>
      <c r="F37" s="30" t="s">
        <v>154</v>
      </c>
      <c r="G37" s="40">
        <v>94</v>
      </c>
      <c r="H37" s="41"/>
      <c r="I37" s="42">
        <f t="shared" si="0"/>
        <v>94</v>
      </c>
      <c r="J37" s="43">
        <v>132</v>
      </c>
      <c r="K37" s="44">
        <v>1.16994480700504</v>
      </c>
      <c r="L37" s="44">
        <v>0.672863596505294</v>
      </c>
      <c r="M37" s="44">
        <v>1</v>
      </c>
      <c r="N37" s="45"/>
      <c r="O37" s="45"/>
      <c r="P37" s="45"/>
      <c r="Q37" s="46">
        <f>IF($I37="","",IFERROR(INDEX(_玩家曲线!$H$2:$H$286,MATCH($I37,_玩家曲线!$A$2:$A$286,0)),""))</f>
        <v>357088.545345091</v>
      </c>
      <c r="R37" s="46">
        <f>IF($I37="","",IFERROR(INDEX(_玩家曲线!$I$2:$I$286,MATCH($I37,_玩家曲线!$A$2:$A$286,0)),""))</f>
        <v>696968.146649284</v>
      </c>
      <c r="S37" s="46">
        <f>SUMIF(_爬塔队伍!$A$2:$A$501,VALUE(SUBSTITUTE(SUBSTITUTE(D37,"第",""),"层","")),_爬塔队伍!$C$2:$C$501)</f>
        <v>1831600</v>
      </c>
      <c r="T37" s="46">
        <f>SUMIF(_爬塔队伍!$A$2:$A$501,VALUE(SUBSTITUTE(SUBSTITUTE(D37,"第",""),"层","")),_爬塔队伍!$D$2:$D$501)</f>
        <v>43200</v>
      </c>
      <c r="U37" s="46">
        <f>SUMIF(_爬塔队伍!$A$2:$A$501,VALUE(SUBSTITUTE(SUBSTITUTE(D37,"第",""),"层","")),_爬塔队伍!$E$2:$E$501)/COUNTIF(_爬塔队伍!$A$2:$A$501,VALUE(SUBSTITUTE(SUBSTITUTE(D37,"第",""),"层","")))</f>
        <v>14071.4</v>
      </c>
      <c r="V37" s="47">
        <f t="shared" si="1"/>
        <v>0.369605530660811</v>
      </c>
      <c r="W37" s="48">
        <f>SUMIF(_爬塔队伍!$A$2:$A$501,VALUE(SUBSTITUTE(SUBSTITUTE(D37,"第",""),"层","")),_爬塔队伍!$F$2:$F$501)</f>
        <v>2931583.83383333</v>
      </c>
      <c r="X37" s="48">
        <f t="shared" si="2"/>
        <v>8.20968320616458</v>
      </c>
      <c r="Y37" s="48">
        <f t="shared" si="3"/>
        <v>16.1335219131779</v>
      </c>
      <c r="Z37" s="49" t="str">
        <f t="shared" si="4"/>
        <v/>
      </c>
      <c r="AA37" s="30" t="str">
        <f t="shared" si="5"/>
        <v>已计算</v>
      </c>
      <c r="AB37" s="30" t="str">
        <f t="shared" si="6"/>
        <v>有效</v>
      </c>
      <c r="AC37" s="30" t="str">
        <f t="shared" si="7"/>
        <v/>
      </c>
      <c r="AD37" s="31" t="s">
        <v>736</v>
      </c>
      <c r="AE37">
        <v>473000</v>
      </c>
      <c r="AF37">
        <f>INDEX(_统一战力!$B$2:$B$501,J37)</f>
        <v>320000</v>
      </c>
    </row>
    <row r="38" ht="25" customHeight="1" spans="1:32">
      <c r="A38" s="30" t="s">
        <v>150</v>
      </c>
      <c r="B38" s="30" t="s">
        <v>59</v>
      </c>
      <c r="C38" s="31" t="s">
        <v>733</v>
      </c>
      <c r="D38" s="31" t="s">
        <v>802</v>
      </c>
      <c r="E38" s="31" t="s">
        <v>803</v>
      </c>
      <c r="F38" s="30" t="s">
        <v>154</v>
      </c>
      <c r="G38" s="40">
        <v>96</v>
      </c>
      <c r="H38" s="41"/>
      <c r="I38" s="42">
        <f t="shared" si="0"/>
        <v>96</v>
      </c>
      <c r="J38" s="43">
        <v>136</v>
      </c>
      <c r="K38" s="44">
        <v>1.1761990096556</v>
      </c>
      <c r="L38" s="44">
        <v>0.673956999018393</v>
      </c>
      <c r="M38" s="44">
        <v>1</v>
      </c>
      <c r="N38" s="45"/>
      <c r="O38" s="45"/>
      <c r="P38" s="45"/>
      <c r="Q38" s="46">
        <f>IF($I38="","",IFERROR(INDEX(_玩家曲线!$H$2:$H$286,MATCH($I38,_玩家曲线!$A$2:$A$286,0)),""))</f>
        <v>369825.877110177</v>
      </c>
      <c r="R38" s="46">
        <f>IF($I38="","",IFERROR(INDEX(_玩家曲线!$I$2:$I$286,MATCH($I38,_玩家曲线!$A$2:$A$286,0)),""))</f>
        <v>718515.642412547</v>
      </c>
      <c r="S38" s="46">
        <f>SUMIF(_爬塔队伍!$A$2:$A$501,VALUE(SUBSTITUTE(SUBSTITUTE(D38,"第",""),"层","")),_爬塔队伍!$C$2:$C$501)</f>
        <v>1960800</v>
      </c>
      <c r="T38" s="46">
        <f>SUMIF(_爬塔队伍!$A$2:$A$501,VALUE(SUBSTITUTE(SUBSTITUTE(D38,"第",""),"层","")),_爬塔队伍!$D$2:$D$501)</f>
        <v>45279</v>
      </c>
      <c r="U38" s="46">
        <f>SUMIF(_爬塔队伍!$A$2:$A$501,VALUE(SUBSTITUTE(SUBSTITUTE(D38,"第",""),"层","")),_爬塔队伍!$E$2:$E$501)/COUNTIF(_爬塔队伍!$A$2:$A$501,VALUE(SUBSTITUTE(SUBSTITUTE(D38,"第",""),"层","")))</f>
        <v>14571.8</v>
      </c>
      <c r="V38" s="47">
        <f t="shared" si="1"/>
        <v>0.377783769489627</v>
      </c>
      <c r="W38" s="48">
        <f>SUMIF(_爬塔队伍!$A$2:$A$501,VALUE(SUBSTITUTE(SUBSTITUTE(D38,"第",""),"层","")),_爬塔队伍!$F$2:$F$501)</f>
        <v>3180254.2</v>
      </c>
      <c r="X38" s="48">
        <f t="shared" si="2"/>
        <v>8.59932848628803</v>
      </c>
      <c r="Y38" s="48">
        <f t="shared" si="3"/>
        <v>15.8686287774144</v>
      </c>
      <c r="Z38" s="49" t="str">
        <f t="shared" si="4"/>
        <v/>
      </c>
      <c r="AA38" s="30" t="str">
        <f t="shared" si="5"/>
        <v>已计算</v>
      </c>
      <c r="AB38" s="30" t="str">
        <f t="shared" si="6"/>
        <v>有效</v>
      </c>
      <c r="AC38" s="30" t="str">
        <f t="shared" si="7"/>
        <v/>
      </c>
      <c r="AD38" s="31" t="s">
        <v>736</v>
      </c>
      <c r="AE38">
        <v>492000</v>
      </c>
      <c r="AF38">
        <f>INDEX(_统一战力!$B$2:$B$501,J38)</f>
        <v>358000</v>
      </c>
    </row>
    <row r="39" ht="25" customHeight="1" spans="1:32">
      <c r="A39" s="30" t="s">
        <v>150</v>
      </c>
      <c r="B39" s="30" t="s">
        <v>59</v>
      </c>
      <c r="C39" s="31" t="s">
        <v>733</v>
      </c>
      <c r="D39" s="31" t="s">
        <v>804</v>
      </c>
      <c r="E39" s="31" t="s">
        <v>805</v>
      </c>
      <c r="F39" s="30" t="s">
        <v>745</v>
      </c>
      <c r="G39" s="40">
        <v>99</v>
      </c>
      <c r="H39" s="41"/>
      <c r="I39" s="42">
        <f t="shared" si="0"/>
        <v>99</v>
      </c>
      <c r="J39" s="43">
        <v>140</v>
      </c>
      <c r="K39" s="44">
        <v>1.16304350071123</v>
      </c>
      <c r="L39" s="44">
        <v>0.668010949572134</v>
      </c>
      <c r="M39" s="44">
        <v>1</v>
      </c>
      <c r="N39" s="45"/>
      <c r="O39" s="45"/>
      <c r="P39" s="45"/>
      <c r="Q39" s="46">
        <f>IF($I39="","",IFERROR(INDEX(_玩家曲线!$H$2:$H$286,MATCH($I39,_玩家曲线!$A$2:$A$286,0)),""))</f>
        <v>389541.730298325</v>
      </c>
      <c r="R39" s="46">
        <f>IF($I39="","",IFERROR(INDEX(_玩家曲线!$I$2:$I$286,MATCH($I39,_玩家曲线!$A$2:$A$286,0)),""))</f>
        <v>751589.12299661</v>
      </c>
      <c r="S39" s="46">
        <f>SUMIF(_爬塔队伍!$A$2:$A$501,VALUE(SUBSTITUTE(SUBSTITUTE(D39,"第",""),"层","")),_爬塔队伍!$C$2:$C$501)</f>
        <v>2148084</v>
      </c>
      <c r="T39" s="46">
        <f>SUMIF(_爬塔队伍!$A$2:$A$501,VALUE(SUBSTITUTE(SUBSTITUTE(D39,"第",""),"层","")),_爬塔队伍!$D$2:$D$501)</f>
        <v>45188</v>
      </c>
      <c r="U39" s="46">
        <f>SUMIF(_爬塔队伍!$A$2:$A$501,VALUE(SUBSTITUTE(SUBSTITUTE(D39,"第",""),"层","")),_爬塔队伍!$E$2:$E$501)/COUNTIF(_爬塔队伍!$A$2:$A$501,VALUE(SUBSTITUTE(SUBSTITUTE(D39,"第",""),"层","")))</f>
        <v>15705</v>
      </c>
      <c r="V39" s="47">
        <f t="shared" si="1"/>
        <v>0.395542123158292</v>
      </c>
      <c r="W39" s="48">
        <f>SUMIF(_爬塔队伍!$A$2:$A$501,VALUE(SUBSTITUTE(SUBSTITUTE(D39,"第",""),"层","")),_爬塔队伍!$F$2:$F$501)</f>
        <v>3576226.943625</v>
      </c>
      <c r="X39" s="48">
        <f t="shared" si="2"/>
        <v>9.18060034514453</v>
      </c>
      <c r="Y39" s="48">
        <f t="shared" si="3"/>
        <v>16.6324936486813</v>
      </c>
      <c r="Z39" s="49" t="str">
        <f t="shared" si="4"/>
        <v/>
      </c>
      <c r="AA39" s="30" t="str">
        <f t="shared" si="5"/>
        <v>已计算</v>
      </c>
      <c r="AB39" s="30" t="str">
        <f t="shared" si="6"/>
        <v>有效</v>
      </c>
      <c r="AC39" s="30" t="str">
        <f t="shared" si="7"/>
        <v/>
      </c>
      <c r="AD39" s="31" t="s">
        <v>736</v>
      </c>
      <c r="AE39">
        <v>517000</v>
      </c>
      <c r="AF39">
        <f>INDEX(_统一战力!$B$2:$B$501,J39)</f>
        <v>381000</v>
      </c>
    </row>
    <row r="40" ht="25" customHeight="1" spans="1:32">
      <c r="A40" s="30" t="s">
        <v>150</v>
      </c>
      <c r="B40" s="30" t="s">
        <v>59</v>
      </c>
      <c r="C40" s="31" t="s">
        <v>733</v>
      </c>
      <c r="D40" s="31" t="s">
        <v>806</v>
      </c>
      <c r="E40" s="31" t="s">
        <v>807</v>
      </c>
      <c r="F40" s="30" t="s">
        <v>154</v>
      </c>
      <c r="G40" s="40">
        <v>101</v>
      </c>
      <c r="H40" s="41"/>
      <c r="I40" s="42">
        <f t="shared" si="0"/>
        <v>101</v>
      </c>
      <c r="J40" s="43">
        <v>144</v>
      </c>
      <c r="K40" s="44">
        <v>1.17542560624017</v>
      </c>
      <c r="L40" s="44">
        <v>0.671359586349877</v>
      </c>
      <c r="M40" s="44">
        <v>1</v>
      </c>
      <c r="N40" s="45"/>
      <c r="O40" s="45"/>
      <c r="P40" s="45"/>
      <c r="Q40" s="46">
        <f>IF($I40="","",IFERROR(INDEX(_玩家曲线!$H$2:$H$286,MATCH($I40,_玩家曲线!$A$2:$A$286,0)),""))</f>
        <v>405743.55804063</v>
      </c>
      <c r="R40" s="46">
        <f>IF($I40="","",IFERROR(INDEX(_玩家曲线!$I$2:$I$286,MATCH($I40,_玩家曲线!$A$2:$A$286,0)),""))</f>
        <v>776696.17263262</v>
      </c>
      <c r="S40" s="46">
        <f>SUMIF(_爬塔队伍!$A$2:$A$501,VALUE(SUBSTITUTE(SUBSTITUTE(D40,"第",""),"层","")),_爬塔队伍!$C$2:$C$501)</f>
        <v>2214192</v>
      </c>
      <c r="T40" s="46">
        <f>SUMIF(_爬塔队伍!$A$2:$A$501,VALUE(SUBSTITUTE(SUBSTITUTE(D40,"第",""),"层","")),_爬塔队伍!$D$2:$D$501)</f>
        <v>49270</v>
      </c>
      <c r="U40" s="46">
        <f>SUMIF(_爬塔队伍!$A$2:$A$501,VALUE(SUBSTITUTE(SUBSTITUTE(D40,"第",""),"层","")),_爬塔队伍!$E$2:$E$501)/COUNTIF(_爬塔队伍!$A$2:$A$501,VALUE(SUBSTITUTE(SUBSTITUTE(D40,"第",""),"层","")))</f>
        <v>15585.6</v>
      </c>
      <c r="V40" s="47">
        <f t="shared" si="1"/>
        <v>0.393718928095065</v>
      </c>
      <c r="W40" s="48">
        <f>SUMIF(_爬塔队伍!$A$2:$A$501,VALUE(SUBSTITUTE(SUBSTITUTE(D40,"第",""),"层","")),_爬塔队伍!$F$2:$F$501)</f>
        <v>3687037.15283333</v>
      </c>
      <c r="X40" s="48">
        <f t="shared" si="2"/>
        <v>9.0871119941826</v>
      </c>
      <c r="Y40" s="48">
        <f t="shared" si="3"/>
        <v>15.7640790061421</v>
      </c>
      <c r="Z40" s="49" t="str">
        <f t="shared" si="4"/>
        <v/>
      </c>
      <c r="AA40" s="30" t="str">
        <f t="shared" si="5"/>
        <v>已计算</v>
      </c>
      <c r="AB40" s="30" t="str">
        <f t="shared" si="6"/>
        <v>有效</v>
      </c>
      <c r="AC40" s="30" t="str">
        <f t="shared" si="7"/>
        <v/>
      </c>
      <c r="AD40" s="31" t="s">
        <v>736</v>
      </c>
      <c r="AE40">
        <v>542000</v>
      </c>
      <c r="AF40">
        <f>INDEX(_统一战力!$B$2:$B$501,J40)</f>
        <v>403000</v>
      </c>
    </row>
    <row r="41" ht="25" customHeight="1" spans="1:32">
      <c r="A41" s="30" t="s">
        <v>150</v>
      </c>
      <c r="B41" s="30" t="s">
        <v>59</v>
      </c>
      <c r="C41" s="31" t="s">
        <v>733</v>
      </c>
      <c r="D41" s="31" t="s">
        <v>808</v>
      </c>
      <c r="E41" s="31" t="s">
        <v>809</v>
      </c>
      <c r="F41" s="30" t="s">
        <v>154</v>
      </c>
      <c r="G41" s="40">
        <v>104</v>
      </c>
      <c r="H41" s="41"/>
      <c r="I41" s="42">
        <f t="shared" si="0"/>
        <v>104</v>
      </c>
      <c r="J41" s="43">
        <v>148</v>
      </c>
      <c r="K41" s="44">
        <v>1.17237889170564</v>
      </c>
      <c r="L41" s="44">
        <v>0.667931756315419</v>
      </c>
      <c r="M41" s="44">
        <v>1</v>
      </c>
      <c r="N41" s="45"/>
      <c r="O41" s="45"/>
      <c r="P41" s="45"/>
      <c r="Q41" s="46">
        <f>IF($I41="","",IFERROR(INDEX(_玩家曲线!$H$2:$H$286,MATCH($I41,_玩家曲线!$A$2:$A$286,0)),""))</f>
        <v>438193.789707759</v>
      </c>
      <c r="R41" s="46">
        <f>IF($I41="","",IFERROR(INDEX(_玩家曲线!$I$2:$I$286,MATCH($I41,_玩家曲线!$A$2:$A$286,0)),""))</f>
        <v>824109.783432818</v>
      </c>
      <c r="S41" s="46">
        <f>SUMIF(_爬塔队伍!$A$2:$A$501,VALUE(SUBSTITUTE(SUBSTITUTE(D41,"第",""),"层","")),_爬塔队伍!$C$2:$C$501)</f>
        <v>2539108</v>
      </c>
      <c r="T41" s="46">
        <f>SUMIF(_爬塔队伍!$A$2:$A$501,VALUE(SUBSTITUTE(SUBSTITUTE(D41,"第",""),"层","")),_爬塔队伍!$D$2:$D$501)</f>
        <v>49270</v>
      </c>
      <c r="U41" s="46">
        <f>SUMIF(_爬塔队伍!$A$2:$A$501,VALUE(SUBSTITUTE(SUBSTITUTE(D41,"第",""),"层","")),_爬塔队伍!$E$2:$E$501)/COUNTIF(_爬塔队伍!$A$2:$A$501,VALUE(SUBSTITUTE(SUBSTITUTE(D41,"第",""),"层","")))</f>
        <v>17442.2</v>
      </c>
      <c r="V41" s="47">
        <f t="shared" si="1"/>
        <v>0.420880165628273</v>
      </c>
      <c r="W41" s="48">
        <f>SUMIF(_爬塔队伍!$A$2:$A$501,VALUE(SUBSTITUTE(SUBSTITUTE(D41,"第",""),"层","")),_爬塔队伍!$F$2:$F$501)</f>
        <v>4422645.98416667</v>
      </c>
      <c r="X41" s="48">
        <f t="shared" si="2"/>
        <v>10.0928997353345</v>
      </c>
      <c r="Y41" s="48">
        <f t="shared" si="3"/>
        <v>16.7264011250826</v>
      </c>
      <c r="Z41" s="49" t="str">
        <f t="shared" si="4"/>
        <v/>
      </c>
      <c r="AA41" s="30" t="str">
        <f t="shared" si="5"/>
        <v>已计算</v>
      </c>
      <c r="AB41" s="30" t="str">
        <f t="shared" si="6"/>
        <v>有效</v>
      </c>
      <c r="AC41" s="30" t="str">
        <f t="shared" si="7"/>
        <v/>
      </c>
      <c r="AD41" s="31" t="s">
        <v>736</v>
      </c>
      <c r="AE41">
        <v>577000</v>
      </c>
      <c r="AF41">
        <f>INDEX(_统一战力!$B$2:$B$501,J41)</f>
        <v>403000</v>
      </c>
    </row>
    <row r="42" ht="25" customHeight="1" spans="1:32">
      <c r="A42" s="30" t="s">
        <v>150</v>
      </c>
      <c r="B42" s="30" t="s">
        <v>59</v>
      </c>
      <c r="C42" s="31" t="s">
        <v>733</v>
      </c>
      <c r="D42" s="31" t="s">
        <v>810</v>
      </c>
      <c r="E42" s="31" t="s">
        <v>811</v>
      </c>
      <c r="F42" s="30" t="s">
        <v>154</v>
      </c>
      <c r="G42" s="40">
        <v>106</v>
      </c>
      <c r="H42" s="41"/>
      <c r="I42" s="42">
        <f t="shared" si="0"/>
        <v>106</v>
      </c>
      <c r="J42" s="43">
        <v>152</v>
      </c>
      <c r="K42" s="44">
        <v>1.16805227807085</v>
      </c>
      <c r="L42" s="44">
        <v>0.669062845144116</v>
      </c>
      <c r="M42" s="44">
        <v>1</v>
      </c>
      <c r="N42" s="45"/>
      <c r="O42" s="45"/>
      <c r="P42" s="45"/>
      <c r="Q42" s="46">
        <f>IF($I42="","",IFERROR(INDEX(_玩家曲线!$H$2:$H$286,MATCH($I42,_玩家曲线!$A$2:$A$286,0)),""))</f>
        <v>460869.647293257</v>
      </c>
      <c r="R42" s="46">
        <f>IF($I42="","",IFERROR(INDEX(_玩家曲线!$I$2:$I$286,MATCH($I42,_玩家曲线!$A$2:$A$286,0)),""))</f>
        <v>856634.661818488</v>
      </c>
      <c r="S42" s="46">
        <f>SUMIF(_爬塔队伍!$A$2:$A$501,VALUE(SUBSTITUTE(SUBSTITUTE(D42,"第",""),"层","")),_爬塔队伍!$C$2:$C$501)</f>
        <v>2372572</v>
      </c>
      <c r="T42" s="46">
        <f>SUMIF(_爬塔队伍!$A$2:$A$501,VALUE(SUBSTITUTE(SUBSTITUTE(D42,"第",""),"层","")),_爬塔队伍!$D$2:$D$501)</f>
        <v>55435</v>
      </c>
      <c r="U42" s="46">
        <f>SUMIF(_爬塔队伍!$A$2:$A$501,VALUE(SUBSTITUTE(SUBSTITUTE(D42,"第",""),"层","")),_爬塔队伍!$E$2:$E$501)/COUNTIF(_爬塔队伍!$A$2:$A$501,VALUE(SUBSTITUTE(SUBSTITUTE(D42,"第",""),"层","")))</f>
        <v>15925.2</v>
      </c>
      <c r="V42" s="47">
        <f t="shared" si="1"/>
        <v>0.398875897929128</v>
      </c>
      <c r="W42" s="48">
        <f>SUMIF(_爬塔队伍!$A$2:$A$501,VALUE(SUBSTITUTE(SUBSTITUTE(D42,"第",""),"层","")),_爬塔队伍!$F$2:$F$501)</f>
        <v>3994508.75825</v>
      </c>
      <c r="X42" s="48">
        <f t="shared" si="2"/>
        <v>8.66732878094757</v>
      </c>
      <c r="Y42" s="48">
        <f t="shared" si="3"/>
        <v>15.4529568290518</v>
      </c>
      <c r="Z42" s="49" t="str">
        <f t="shared" si="4"/>
        <v/>
      </c>
      <c r="AA42" s="30" t="str">
        <f t="shared" si="5"/>
        <v>已计算</v>
      </c>
      <c r="AB42" s="30" t="str">
        <f t="shared" si="6"/>
        <v>有效</v>
      </c>
      <c r="AC42" s="30" t="str">
        <f t="shared" si="7"/>
        <v/>
      </c>
      <c r="AD42" s="31" t="s">
        <v>736</v>
      </c>
      <c r="AE42">
        <v>613000</v>
      </c>
      <c r="AF42">
        <f>INDEX(_统一战力!$B$2:$B$501,J42)</f>
        <v>403000</v>
      </c>
    </row>
    <row r="43" ht="25" customHeight="1" spans="1:32">
      <c r="A43" s="30" t="s">
        <v>150</v>
      </c>
      <c r="B43" s="30" t="s">
        <v>59</v>
      </c>
      <c r="C43" s="31" t="s">
        <v>733</v>
      </c>
      <c r="D43" s="31" t="s">
        <v>812</v>
      </c>
      <c r="E43" s="31" t="s">
        <v>813</v>
      </c>
      <c r="F43" s="30" t="s">
        <v>154</v>
      </c>
      <c r="G43" s="40">
        <v>109</v>
      </c>
      <c r="H43" s="41"/>
      <c r="I43" s="42">
        <f t="shared" si="0"/>
        <v>109</v>
      </c>
      <c r="J43" s="43">
        <v>156</v>
      </c>
      <c r="K43" s="44">
        <v>1.17586973931056</v>
      </c>
      <c r="L43" s="44">
        <v>0.671014300557864</v>
      </c>
      <c r="M43" s="44">
        <v>1</v>
      </c>
      <c r="N43" s="45"/>
      <c r="O43" s="45"/>
      <c r="P43" s="45"/>
      <c r="Q43" s="46">
        <f>IF($I43="","",IFERROR(INDEX(_玩家曲线!$H$2:$H$286,MATCH($I43,_玩家曲线!$A$2:$A$286,0)),""))</f>
        <v>496512.167466769</v>
      </c>
      <c r="R43" s="46">
        <f>IF($I43="","",IFERROR(INDEX(_玩家曲线!$I$2:$I$286,MATCH($I43,_玩家曲线!$A$2:$A$286,0)),""))</f>
        <v>906819.150288173</v>
      </c>
      <c r="S43" s="46">
        <f>SUMIF(_爬塔队伍!$A$2:$A$501,VALUE(SUBSTITUTE(SUBSTITUTE(D43,"第",""),"层","")),_爬塔队伍!$C$2:$C$501)</f>
        <v>2639779</v>
      </c>
      <c r="T43" s="46">
        <f>SUMIF(_爬塔队伍!$A$2:$A$501,VALUE(SUBSTITUTE(SUBSTITUTE(D43,"第",""),"层","")),_爬塔队伍!$D$2:$D$501)</f>
        <v>57952</v>
      </c>
      <c r="U43" s="46">
        <f>SUMIF(_爬塔队伍!$A$2:$A$501,VALUE(SUBSTITUTE(SUBSTITUTE(D43,"第",""),"层","")),_爬塔队伍!$E$2:$E$501)/COUNTIF(_爬塔队伍!$A$2:$A$501,VALUE(SUBSTITUTE(SUBSTITUTE(D43,"第",""),"层","")))</f>
        <v>17140.8</v>
      </c>
      <c r="V43" s="47">
        <f t="shared" si="1"/>
        <v>0.416637498541594</v>
      </c>
      <c r="W43" s="48">
        <f>SUMIF(_爬塔队伍!$A$2:$A$501,VALUE(SUBSTITUTE(SUBSTITUTE(D43,"第",""),"层","")),_爬塔队伍!$F$2:$F$501)</f>
        <v>4603664.734</v>
      </c>
      <c r="X43" s="48">
        <f t="shared" si="2"/>
        <v>9.27200788953096</v>
      </c>
      <c r="Y43" s="48">
        <f t="shared" si="3"/>
        <v>15.6477628086722</v>
      </c>
      <c r="Z43" s="49" t="str">
        <f t="shared" si="4"/>
        <v/>
      </c>
      <c r="AA43" s="30" t="str">
        <f t="shared" si="5"/>
        <v>已计算</v>
      </c>
      <c r="AB43" s="30" t="str">
        <f t="shared" si="6"/>
        <v>有效</v>
      </c>
      <c r="AC43" s="30" t="str">
        <f t="shared" si="7"/>
        <v/>
      </c>
      <c r="AD43" s="31" t="s">
        <v>736</v>
      </c>
      <c r="AE43">
        <v>640000</v>
      </c>
      <c r="AF43">
        <f>INDEX(_统一战力!$B$2:$B$501,J43)</f>
        <v>409000</v>
      </c>
    </row>
    <row r="44" ht="25" customHeight="1" spans="1:32">
      <c r="A44" s="30" t="s">
        <v>150</v>
      </c>
      <c r="B44" s="30" t="s">
        <v>59</v>
      </c>
      <c r="C44" s="31" t="s">
        <v>733</v>
      </c>
      <c r="D44" s="31" t="s">
        <v>814</v>
      </c>
      <c r="E44" s="31" t="s">
        <v>815</v>
      </c>
      <c r="F44" s="30" t="s">
        <v>164</v>
      </c>
      <c r="G44" s="40">
        <v>111</v>
      </c>
      <c r="H44" s="41"/>
      <c r="I44" s="42">
        <f t="shared" si="0"/>
        <v>111</v>
      </c>
      <c r="J44" s="43">
        <v>160</v>
      </c>
      <c r="K44" s="44">
        <v>1.16347845028068</v>
      </c>
      <c r="L44" s="44">
        <v>0.666707854003219</v>
      </c>
      <c r="M44" s="44">
        <v>1</v>
      </c>
      <c r="N44" s="45"/>
      <c r="O44" s="45"/>
      <c r="P44" s="45"/>
      <c r="Q44" s="46">
        <f>IF($I44="","",IFERROR(INDEX(_玩家曲线!$H$2:$H$286,MATCH($I44,_玩家曲线!$A$2:$A$286,0)),""))</f>
        <v>521398.846252701</v>
      </c>
      <c r="R44" s="46">
        <f>IF($I44="","",IFERROR(INDEX(_玩家曲线!$I$2:$I$286,MATCH($I44,_玩家曲线!$A$2:$A$286,0)),""))</f>
        <v>941220.710756804</v>
      </c>
      <c r="S44" s="46">
        <f>SUMIF(_爬塔队伍!$A$2:$A$501,VALUE(SUBSTITUTE(SUBSTITUTE(D44,"第",""),"层","")),_爬塔队伍!$C$2:$C$501)</f>
        <v>2879115</v>
      </c>
      <c r="T44" s="46">
        <f>SUMIF(_爬塔队伍!$A$2:$A$501,VALUE(SUBSTITUTE(SUBSTITUTE(D44,"第",""),"层","")),_爬塔队伍!$D$2:$D$501)</f>
        <v>55692</v>
      </c>
      <c r="U44" s="46">
        <f>SUMIF(_爬塔队伍!$A$2:$A$501,VALUE(SUBSTITUTE(SUBSTITUTE(D44,"第",""),"层","")),_爬塔队伍!$E$2:$E$501)/COUNTIF(_爬塔队伍!$A$2:$A$501,VALUE(SUBSTITUTE(SUBSTITUTE(D44,"第",""),"层","")))</f>
        <v>18404</v>
      </c>
      <c r="V44" s="47">
        <f t="shared" si="1"/>
        <v>0.434015658900104</v>
      </c>
      <c r="W44" s="48">
        <f>SUMIF(_爬塔队伍!$A$2:$A$501,VALUE(SUBSTITUTE(SUBSTITUTE(D44,"第",""),"层","")),_爬塔队伍!$F$2:$F$501)</f>
        <v>5122243.21625</v>
      </c>
      <c r="X44" s="48">
        <f t="shared" si="2"/>
        <v>9.82404018164523</v>
      </c>
      <c r="Y44" s="48">
        <f t="shared" si="3"/>
        <v>16.9004652509661</v>
      </c>
      <c r="Z44" s="49" t="str">
        <f t="shared" si="4"/>
        <v/>
      </c>
      <c r="AA44" s="30" t="str">
        <f t="shared" si="5"/>
        <v>已计算</v>
      </c>
      <c r="AB44" s="30" t="str">
        <f t="shared" si="6"/>
        <v>有效</v>
      </c>
      <c r="AC44" s="30" t="str">
        <f t="shared" si="7"/>
        <v/>
      </c>
      <c r="AD44" s="31" t="s">
        <v>736</v>
      </c>
      <c r="AE44">
        <v>646000</v>
      </c>
      <c r="AF44">
        <f>INDEX(_统一战力!$B$2:$B$501,J44)</f>
        <v>409000</v>
      </c>
    </row>
    <row r="45" ht="25" customHeight="1" spans="1:32">
      <c r="A45" s="30" t="s">
        <v>150</v>
      </c>
      <c r="B45" s="30" t="s">
        <v>59</v>
      </c>
      <c r="C45" s="31" t="s">
        <v>733</v>
      </c>
      <c r="D45" s="31" t="s">
        <v>816</v>
      </c>
      <c r="E45" s="31" t="s">
        <v>817</v>
      </c>
      <c r="F45" s="30" t="s">
        <v>154</v>
      </c>
      <c r="G45" s="40">
        <v>114</v>
      </c>
      <c r="H45" s="41"/>
      <c r="I45" s="42">
        <f t="shared" si="0"/>
        <v>114</v>
      </c>
      <c r="J45" s="43">
        <v>164</v>
      </c>
      <c r="K45" s="44">
        <v>1.1668186396599</v>
      </c>
      <c r="L45" s="44">
        <v>0.668610159368872</v>
      </c>
      <c r="M45" s="44">
        <v>1</v>
      </c>
      <c r="N45" s="45"/>
      <c r="O45" s="45"/>
      <c r="P45" s="45"/>
      <c r="Q45" s="46">
        <f>IF($I45="","",IFERROR(INDEX(_玩家曲线!$H$2:$H$286,MATCH($I45,_玩家曲线!$A$2:$A$286,0)),""))</f>
        <v>560485.544118465</v>
      </c>
      <c r="R45" s="46">
        <f>IF($I45="","",IFERROR(INDEX(_玩家曲线!$I$2:$I$286,MATCH($I45,_玩家曲线!$A$2:$A$286,0)),""))</f>
        <v>994264.71152202</v>
      </c>
      <c r="S45" s="46">
        <f>SUMIF(_爬塔队伍!$A$2:$A$501,VALUE(SUBSTITUTE(SUBSTITUTE(D45,"第",""),"层","")),_爬塔队伍!$C$2:$C$501)</f>
        <v>3174766</v>
      </c>
      <c r="T45" s="46">
        <f>SUMIF(_爬塔队伍!$A$2:$A$501,VALUE(SUBSTITUTE(SUBSTITUTE(D45,"第",""),"层","")),_爬塔队伍!$D$2:$D$501)</f>
        <v>58136</v>
      </c>
      <c r="U45" s="46">
        <f>SUMIF(_爬塔队伍!$A$2:$A$501,VALUE(SUBSTITUTE(SUBSTITUTE(D45,"第",""),"层","")),_爬塔队伍!$E$2:$E$501)/COUNTIF(_爬塔队伍!$A$2:$A$501,VALUE(SUBSTITUTE(SUBSTITUTE(D45,"第",""),"层","")))</f>
        <v>19714.6</v>
      </c>
      <c r="V45" s="47">
        <f t="shared" si="1"/>
        <v>0.450984339328279</v>
      </c>
      <c r="W45" s="48">
        <f>SUMIF(_爬塔队伍!$A$2:$A$501,VALUE(SUBSTITUTE(SUBSTITUTE(D45,"第",""),"层","")),_爬塔队伍!$F$2:$F$501)</f>
        <v>5836664.66341667</v>
      </c>
      <c r="X45" s="48">
        <f t="shared" si="2"/>
        <v>10.4135864424418</v>
      </c>
      <c r="Y45" s="48">
        <f t="shared" si="3"/>
        <v>17.1023928636649</v>
      </c>
      <c r="Z45" s="49" t="str">
        <f t="shared" si="4"/>
        <v/>
      </c>
      <c r="AA45" s="30" t="str">
        <f t="shared" si="5"/>
        <v>已计算</v>
      </c>
      <c r="AB45" s="30" t="str">
        <f t="shared" si="6"/>
        <v>有效</v>
      </c>
      <c r="AC45" s="30" t="str">
        <f t="shared" si="7"/>
        <v/>
      </c>
      <c r="AD45" s="31" t="s">
        <v>736</v>
      </c>
      <c r="AE45">
        <v>652000</v>
      </c>
      <c r="AF45">
        <f>INDEX(_统一战力!$B$2:$B$501,J45)</f>
        <v>409000</v>
      </c>
    </row>
    <row r="46" ht="25" customHeight="1" spans="1:32">
      <c r="A46" s="30" t="s">
        <v>150</v>
      </c>
      <c r="B46" s="30" t="s">
        <v>59</v>
      </c>
      <c r="C46" s="31" t="s">
        <v>733</v>
      </c>
      <c r="D46" s="31" t="s">
        <v>818</v>
      </c>
      <c r="E46" s="31" t="s">
        <v>819</v>
      </c>
      <c r="F46" s="30" t="s">
        <v>154</v>
      </c>
      <c r="G46" s="40">
        <v>117</v>
      </c>
      <c r="H46" s="41"/>
      <c r="I46" s="42">
        <f t="shared" si="0"/>
        <v>117</v>
      </c>
      <c r="J46" s="43">
        <v>167</v>
      </c>
      <c r="K46" s="44">
        <v>1.1626296034588</v>
      </c>
      <c r="L46" s="44">
        <v>0.668485213188333</v>
      </c>
      <c r="M46" s="44">
        <v>1</v>
      </c>
      <c r="N46" s="45"/>
      <c r="O46" s="45"/>
      <c r="P46" s="45"/>
      <c r="Q46" s="46">
        <f>IF($I46="","",IFERROR(INDEX(_玩家曲线!$H$2:$H$286,MATCH($I46,_玩家曲线!$A$2:$A$286,0)),""))</f>
        <v>595222.457060331</v>
      </c>
      <c r="R46" s="46">
        <f>IF($I46="","",IFERROR(INDEX(_玩家曲线!$I$2:$I$286,MATCH($I46,_玩家曲线!$A$2:$A$286,0)),""))</f>
        <v>1040579.63637491</v>
      </c>
      <c r="S46" s="46">
        <f>SUMIF(_爬塔队伍!$A$2:$A$501,VALUE(SUBSTITUTE(SUBSTITUTE(D46,"第",""),"层","")),_爬塔队伍!$C$2:$C$501)</f>
        <v>3169561</v>
      </c>
      <c r="T46" s="46">
        <f>SUMIF(_爬塔队伍!$A$2:$A$501,VALUE(SUBSTITUTE(SUBSTITUTE(D46,"第",""),"层","")),_爬塔队伍!$D$2:$D$501)</f>
        <v>59877</v>
      </c>
      <c r="U46" s="46">
        <f>SUMIF(_爬塔队伍!$A$2:$A$501,VALUE(SUBSTITUTE(SUBSTITUTE(D46,"第",""),"层","")),_爬塔队伍!$E$2:$E$501)/COUNTIF(_爬塔队伍!$A$2:$A$501,VALUE(SUBSTITUTE(SUBSTITUTE(D46,"第",""),"层","")))</f>
        <v>19375</v>
      </c>
      <c r="V46" s="47">
        <f t="shared" si="1"/>
        <v>0.446685878962536</v>
      </c>
      <c r="W46" s="48">
        <f>SUMIF(_爬塔队伍!$A$2:$A$501,VALUE(SUBSTITUTE(SUBSTITUTE(D46,"第",""),"层","")),_爬塔队伍!$F$2:$F$501)</f>
        <v>5769261.36458333</v>
      </c>
      <c r="X46" s="48">
        <f t="shared" si="2"/>
        <v>9.69261373819195</v>
      </c>
      <c r="Y46" s="48">
        <f t="shared" si="3"/>
        <v>17.378620110809</v>
      </c>
      <c r="Z46" s="49" t="str">
        <f t="shared" si="4"/>
        <v/>
      </c>
      <c r="AA46" s="30" t="str">
        <f t="shared" si="5"/>
        <v>已计算</v>
      </c>
      <c r="AB46" s="30" t="str">
        <f t="shared" si="6"/>
        <v>有效</v>
      </c>
      <c r="AC46" s="30" t="str">
        <f t="shared" si="7"/>
        <v/>
      </c>
      <c r="AD46" s="31" t="s">
        <v>736</v>
      </c>
      <c r="AE46">
        <v>659000</v>
      </c>
      <c r="AF46">
        <f>INDEX(_统一战力!$B$2:$B$501,J46)</f>
        <v>426000</v>
      </c>
    </row>
    <row r="47" ht="25" customHeight="1" spans="1:32">
      <c r="A47" s="30" t="s">
        <v>150</v>
      </c>
      <c r="B47" s="30" t="s">
        <v>59</v>
      </c>
      <c r="C47" s="31" t="s">
        <v>733</v>
      </c>
      <c r="D47" s="31" t="s">
        <v>820</v>
      </c>
      <c r="E47" s="31" t="s">
        <v>821</v>
      </c>
      <c r="F47" s="30" t="s">
        <v>154</v>
      </c>
      <c r="G47" s="40">
        <v>119</v>
      </c>
      <c r="H47" s="41"/>
      <c r="I47" s="42">
        <f t="shared" si="0"/>
        <v>119</v>
      </c>
      <c r="J47" s="43">
        <v>171</v>
      </c>
      <c r="K47" s="44">
        <v>1.15701985376253</v>
      </c>
      <c r="L47" s="44">
        <v>0.666077166265881</v>
      </c>
      <c r="M47" s="44">
        <v>1</v>
      </c>
      <c r="N47" s="45"/>
      <c r="O47" s="45"/>
      <c r="P47" s="45"/>
      <c r="Q47" s="46">
        <f>IF($I47="","",IFERROR(INDEX(_玩家曲线!$H$2:$H$286,MATCH($I47,_玩家曲线!$A$2:$A$286,0)),""))</f>
        <v>618477.560118961</v>
      </c>
      <c r="R47" s="46">
        <f>IF($I47="","",IFERROR(INDEX(_玩家曲线!$I$2:$I$286,MATCH($I47,_玩家曲线!$A$2:$A$286,0)),""))</f>
        <v>1071138.0509984</v>
      </c>
      <c r="S47" s="46">
        <f>SUMIF(_爬塔队伍!$A$2:$A$501,VALUE(SUBSTITUTE(SUBSTITUTE(D47,"第",""),"层","")),_爬塔队伍!$C$2:$C$501)</f>
        <v>3463101</v>
      </c>
      <c r="T47" s="46">
        <f>SUMIF(_爬塔队伍!$A$2:$A$501,VALUE(SUBSTITUTE(SUBSTITUTE(D47,"第",""),"层","")),_爬塔队伍!$D$2:$D$501)</f>
        <v>62036</v>
      </c>
      <c r="U47" s="46">
        <f>SUMIF(_爬塔队伍!$A$2:$A$501,VALUE(SUBSTITUTE(SUBSTITUTE(D47,"第",""),"层","")),_爬塔队伍!$E$2:$E$501)/COUNTIF(_爬塔队伍!$A$2:$A$501,VALUE(SUBSTITUTE(SUBSTITUTE(D47,"第",""),"层","")))</f>
        <v>20733.8</v>
      </c>
      <c r="V47" s="47">
        <f t="shared" si="1"/>
        <v>0.463492929283897</v>
      </c>
      <c r="W47" s="48">
        <f>SUMIF(_爬塔队伍!$A$2:$A$501,VALUE(SUBSTITUTE(SUBSTITUTE(D47,"第",""),"层","")),_爬塔队伍!$F$2:$F$501)</f>
        <v>6516867.81220833</v>
      </c>
      <c r="X47" s="48">
        <f t="shared" si="2"/>
        <v>10.5369511077408</v>
      </c>
      <c r="Y47" s="48">
        <f t="shared" si="3"/>
        <v>17.2663945289574</v>
      </c>
      <c r="Z47" s="49" t="str">
        <f t="shared" si="4"/>
        <v/>
      </c>
      <c r="AA47" s="30" t="str">
        <f t="shared" si="5"/>
        <v>已计算</v>
      </c>
      <c r="AB47" s="30" t="str">
        <f t="shared" si="6"/>
        <v>有效</v>
      </c>
      <c r="AC47" s="30" t="str">
        <f t="shared" si="7"/>
        <v/>
      </c>
      <c r="AD47" s="31" t="s">
        <v>736</v>
      </c>
      <c r="AE47">
        <v>686000</v>
      </c>
      <c r="AF47">
        <f>INDEX(_统一战力!$B$2:$B$501,J47)</f>
        <v>454000</v>
      </c>
    </row>
    <row r="48" ht="25" customHeight="1" spans="1:32">
      <c r="A48" s="30" t="s">
        <v>150</v>
      </c>
      <c r="B48" s="30" t="s">
        <v>59</v>
      </c>
      <c r="C48" s="31" t="s">
        <v>733</v>
      </c>
      <c r="D48" s="31" t="s">
        <v>822</v>
      </c>
      <c r="E48" s="31" t="s">
        <v>823</v>
      </c>
      <c r="F48" s="30" t="s">
        <v>154</v>
      </c>
      <c r="G48" s="40">
        <v>122</v>
      </c>
      <c r="H48" s="41"/>
      <c r="I48" s="42">
        <f t="shared" si="0"/>
        <v>122</v>
      </c>
      <c r="J48" s="43">
        <v>174</v>
      </c>
      <c r="K48" s="44">
        <v>1.16687871974651</v>
      </c>
      <c r="L48" s="44">
        <v>0.67038170805797</v>
      </c>
      <c r="M48" s="44">
        <v>1</v>
      </c>
      <c r="N48" s="45"/>
      <c r="O48" s="45"/>
      <c r="P48" s="45"/>
      <c r="Q48" s="46">
        <f>IF($I48="","",IFERROR(INDEX(_玩家曲线!$H$2:$H$286,MATCH($I48,_玩家曲线!$A$2:$A$286,0)),""))</f>
        <v>654667.477063403</v>
      </c>
      <c r="R48" s="46">
        <f>IF($I48="","",IFERROR(INDEX(_玩家曲线!$I$2:$I$286,MATCH($I48,_玩家曲线!$A$2:$A$286,0)),""))</f>
        <v>1117995.99828374</v>
      </c>
      <c r="S48" s="46">
        <f>SUMIF(_爬塔队伍!$A$2:$A$501,VALUE(SUBSTITUTE(SUBSTITUTE(D48,"第",""),"层","")),_爬塔队伍!$C$2:$C$501)</f>
        <v>3635502</v>
      </c>
      <c r="T48" s="46">
        <f>SUMIF(_爬塔队伍!$A$2:$A$501,VALUE(SUBSTITUTE(SUBSTITUTE(D48,"第",""),"层","")),_爬塔队伍!$D$2:$D$501)</f>
        <v>64272</v>
      </c>
      <c r="U48" s="46">
        <f>SUMIF(_爬塔队伍!$A$2:$A$501,VALUE(SUBSTITUTE(SUBSTITUTE(D48,"第",""),"层","")),_爬塔队伍!$E$2:$E$501)/COUNTIF(_爬塔队伍!$A$2:$A$501,VALUE(SUBSTITUTE(SUBSTITUTE(D48,"第",""),"层","")))</f>
        <v>21174.4</v>
      </c>
      <c r="V48" s="47">
        <f t="shared" si="1"/>
        <v>0.468725649925622</v>
      </c>
      <c r="W48" s="48">
        <f>SUMIF(_爬塔队伍!$A$2:$A$501,VALUE(SUBSTITUTE(SUBSTITUTE(D48,"第",""),"层","")),_爬塔队伍!$F$2:$F$501)</f>
        <v>6909411.378</v>
      </c>
      <c r="X48" s="48">
        <f t="shared" si="2"/>
        <v>10.5540776349439</v>
      </c>
      <c r="Y48" s="48">
        <f t="shared" si="3"/>
        <v>17.3947597442703</v>
      </c>
      <c r="Z48" s="49" t="str">
        <f t="shared" si="4"/>
        <v/>
      </c>
      <c r="AA48" s="30" t="str">
        <f t="shared" si="5"/>
        <v>已计算</v>
      </c>
      <c r="AB48" s="30" t="str">
        <f t="shared" si="6"/>
        <v>有效</v>
      </c>
      <c r="AC48" s="30" t="str">
        <f t="shared" si="7"/>
        <v/>
      </c>
      <c r="AD48" s="31" t="s">
        <v>736</v>
      </c>
      <c r="AE48">
        <v>710000</v>
      </c>
      <c r="AF48">
        <f>INDEX(_统一战力!$B$2:$B$501,J48)</f>
        <v>463000</v>
      </c>
    </row>
    <row r="49" ht="25" customHeight="1" spans="1:32">
      <c r="A49" s="30" t="s">
        <v>150</v>
      </c>
      <c r="B49" s="30" t="s">
        <v>59</v>
      </c>
      <c r="C49" s="31" t="s">
        <v>733</v>
      </c>
      <c r="D49" s="31" t="s">
        <v>824</v>
      </c>
      <c r="E49" s="31" t="s">
        <v>825</v>
      </c>
      <c r="F49" s="30" t="s">
        <v>745</v>
      </c>
      <c r="G49" s="40">
        <v>124</v>
      </c>
      <c r="H49" s="41"/>
      <c r="I49" s="42">
        <f t="shared" si="0"/>
        <v>124</v>
      </c>
      <c r="J49" s="43">
        <v>178</v>
      </c>
      <c r="K49" s="44">
        <v>1.15735739795593</v>
      </c>
      <c r="L49" s="44">
        <v>0.669688309096367</v>
      </c>
      <c r="M49" s="44">
        <v>1</v>
      </c>
      <c r="N49" s="45"/>
      <c r="O49" s="45"/>
      <c r="P49" s="45"/>
      <c r="Q49" s="46">
        <f>IF($I49="","",IFERROR(INDEX(_玩家曲线!$H$2:$H$286,MATCH($I49,_玩家曲线!$A$2:$A$286,0)),""))</f>
        <v>679690.332421241</v>
      </c>
      <c r="R49" s="46">
        <f>IF($I49="","",IFERROR(INDEX(_玩家曲线!$I$2:$I$286,MATCH($I49,_玩家曲线!$A$2:$A$286,0)),""))</f>
        <v>1149922.97980537</v>
      </c>
      <c r="S49" s="46">
        <f>SUMIF(_爬塔队伍!$A$2:$A$501,VALUE(SUBSTITUTE(SUBSTITUTE(D49,"第",""),"层","")),_爬塔队伍!$C$2:$C$501)</f>
        <v>3508904</v>
      </c>
      <c r="T49" s="46">
        <f>SUMIF(_爬塔队伍!$A$2:$A$501,VALUE(SUBSTITUTE(SUBSTITUTE(D49,"第",""),"层","")),_爬塔队伍!$D$2:$D$501)</f>
        <v>69260</v>
      </c>
      <c r="U49" s="46">
        <f>SUMIF(_爬塔队伍!$A$2:$A$501,VALUE(SUBSTITUTE(SUBSTITUTE(D49,"第",""),"层","")),_爬塔队伍!$E$2:$E$501)/COUNTIF(_爬塔队伍!$A$2:$A$501,VALUE(SUBSTITUTE(SUBSTITUTE(D49,"第",""),"层","")))</f>
        <v>20091.8</v>
      </c>
      <c r="V49" s="47">
        <f t="shared" si="1"/>
        <v>0.45568110170145</v>
      </c>
      <c r="W49" s="48">
        <f>SUMIF(_爬塔队伍!$A$2:$A$501,VALUE(SUBSTITUTE(SUBSTITUTE(D49,"第",""),"层","")),_爬塔队伍!$F$2:$F$501)</f>
        <v>6517813.66366667</v>
      </c>
      <c r="X49" s="48">
        <f t="shared" si="2"/>
        <v>9.5893870381361</v>
      </c>
      <c r="Y49" s="48">
        <f t="shared" si="3"/>
        <v>16.6029884465113</v>
      </c>
      <c r="Z49" s="49" t="str">
        <f t="shared" si="4"/>
        <v/>
      </c>
      <c r="AA49" s="30" t="str">
        <f t="shared" si="5"/>
        <v>已计算</v>
      </c>
      <c r="AB49" s="30" t="str">
        <f t="shared" si="6"/>
        <v>有效</v>
      </c>
      <c r="AC49" s="30" t="str">
        <f t="shared" si="7"/>
        <v/>
      </c>
      <c r="AD49" s="31" t="s">
        <v>736</v>
      </c>
      <c r="AE49">
        <v>768000</v>
      </c>
      <c r="AF49">
        <f>INDEX(_统一战力!$B$2:$B$501,J49)</f>
        <v>492000</v>
      </c>
    </row>
    <row r="50" ht="25" customHeight="1" spans="1:32">
      <c r="A50" s="30" t="s">
        <v>150</v>
      </c>
      <c r="B50" s="30" t="s">
        <v>59</v>
      </c>
      <c r="C50" s="31" t="s">
        <v>733</v>
      </c>
      <c r="D50" s="31" t="s">
        <v>826</v>
      </c>
      <c r="E50" s="31" t="s">
        <v>827</v>
      </c>
      <c r="F50" s="30" t="s">
        <v>154</v>
      </c>
      <c r="G50" s="40">
        <v>127</v>
      </c>
      <c r="H50" s="41"/>
      <c r="I50" s="42">
        <f t="shared" si="0"/>
        <v>127</v>
      </c>
      <c r="J50" s="43">
        <v>182</v>
      </c>
      <c r="K50" s="44">
        <v>1.15902261534038</v>
      </c>
      <c r="L50" s="44">
        <v>0.670428662462566</v>
      </c>
      <c r="M50" s="44">
        <v>1</v>
      </c>
      <c r="N50" s="45"/>
      <c r="O50" s="45"/>
      <c r="P50" s="45"/>
      <c r="Q50" s="46">
        <f>IF($I50="","",IFERROR(INDEX(_玩家曲线!$H$2:$H$286,MATCH($I50,_玩家曲线!$A$2:$A$286,0)),""))</f>
        <v>718612.39067118</v>
      </c>
      <c r="R50" s="46">
        <f>IF($I50="","",IFERROR(INDEX(_玩家曲线!$I$2:$I$286,MATCH($I50,_玩家曲线!$A$2:$A$286,0)),""))</f>
        <v>1198860.00494108</v>
      </c>
      <c r="S50" s="46">
        <f>SUMIF(_爬塔队伍!$A$2:$A$501,VALUE(SUBSTITUTE(SUBSTITUTE(D50,"第",""),"层","")),_爬塔队伍!$C$2:$C$501)</f>
        <v>4010131</v>
      </c>
      <c r="T50" s="46">
        <f>SUMIF(_爬塔队伍!$A$2:$A$501,VALUE(SUBSTITUTE(SUBSTITUTE(D50,"第",""),"层","")),_爬塔队伍!$D$2:$D$501)</f>
        <v>66660</v>
      </c>
      <c r="U50" s="46">
        <f>SUMIF(_爬塔队伍!$A$2:$A$501,VALUE(SUBSTITUTE(SUBSTITUTE(D50,"第",""),"层","")),_爬塔队伍!$E$2:$E$501)/COUNTIF(_爬塔队伍!$A$2:$A$501,VALUE(SUBSTITUTE(SUBSTITUTE(D50,"第",""),"层","")))</f>
        <v>22364.2</v>
      </c>
      <c r="V50" s="47">
        <f t="shared" si="1"/>
        <v>0.482359234064213</v>
      </c>
      <c r="W50" s="48">
        <f>SUMIF(_爬塔队伍!$A$2:$A$501,VALUE(SUBSTITUTE(SUBSTITUTE(D50,"第",""),"层","")),_爬塔队伍!$F$2:$F$501)</f>
        <v>7769050.45579167</v>
      </c>
      <c r="X50" s="48">
        <f t="shared" si="2"/>
        <v>10.8111835485266</v>
      </c>
      <c r="Y50" s="48">
        <f t="shared" si="3"/>
        <v>17.9846985439706</v>
      </c>
      <c r="Z50" s="49" t="str">
        <f t="shared" si="4"/>
        <v/>
      </c>
      <c r="AA50" s="30" t="str">
        <f t="shared" si="5"/>
        <v>已计算</v>
      </c>
      <c r="AB50" s="30" t="str">
        <f t="shared" si="6"/>
        <v>有效</v>
      </c>
      <c r="AC50" s="30" t="str">
        <f t="shared" si="7"/>
        <v/>
      </c>
      <c r="AD50" s="31" t="s">
        <v>736</v>
      </c>
      <c r="AE50">
        <v>796000</v>
      </c>
      <c r="AF50">
        <f>INDEX(_统一战力!$B$2:$B$501,J50)</f>
        <v>522000</v>
      </c>
    </row>
    <row r="51" ht="25" customHeight="1" spans="1:32">
      <c r="A51" s="30" t="s">
        <v>150</v>
      </c>
      <c r="B51" s="30" t="s">
        <v>59</v>
      </c>
      <c r="C51" s="31" t="s">
        <v>733</v>
      </c>
      <c r="D51" s="31" t="s">
        <v>828</v>
      </c>
      <c r="E51" s="31" t="s">
        <v>829</v>
      </c>
      <c r="F51" s="30" t="s">
        <v>154</v>
      </c>
      <c r="G51" s="40">
        <v>130</v>
      </c>
      <c r="H51" s="41"/>
      <c r="I51" s="42">
        <f t="shared" si="0"/>
        <v>130</v>
      </c>
      <c r="J51" s="43">
        <v>185</v>
      </c>
      <c r="K51" s="44">
        <v>1.15723303110238</v>
      </c>
      <c r="L51" s="44">
        <v>0.672811477945234</v>
      </c>
      <c r="M51" s="44">
        <v>1</v>
      </c>
      <c r="N51" s="45"/>
      <c r="O51" s="45"/>
      <c r="P51" s="45"/>
      <c r="Q51" s="46">
        <f>IF($I51="","",IFERROR(INDEX(_玩家曲线!$H$2:$H$286,MATCH($I51,_玩家曲线!$A$2:$A$286,0)),""))</f>
        <v>757968.357025353</v>
      </c>
      <c r="R51" s="46">
        <f>IF($I51="","",IFERROR(INDEX(_玩家曲线!$I$2:$I$286,MATCH($I51,_玩家曲线!$A$2:$A$286,0)),""))</f>
        <v>1247521.37459489</v>
      </c>
      <c r="S51" s="46">
        <f>SUMIF(_爬塔队伍!$A$2:$A$501,VALUE(SUBSTITUTE(SUBSTITUTE(D51,"第",""),"层","")),_爬塔队伍!$C$2:$C$501)</f>
        <v>3841200</v>
      </c>
      <c r="T51" s="46">
        <f>SUMIF(_爬塔队伍!$A$2:$A$501,VALUE(SUBSTITUTE(SUBSTITUTE(D51,"第",""),"层","")),_爬塔队伍!$D$2:$D$501)</f>
        <v>74287</v>
      </c>
      <c r="U51" s="46">
        <f>SUMIF(_爬塔队伍!$A$2:$A$501,VALUE(SUBSTITUTE(SUBSTITUTE(D51,"第",""),"层","")),_爬塔队伍!$E$2:$E$501)/COUNTIF(_爬塔队伍!$A$2:$A$501,VALUE(SUBSTITUTE(SUBSTITUTE(D51,"第",""),"层","")))</f>
        <v>21058.8</v>
      </c>
      <c r="V51" s="47">
        <f t="shared" si="1"/>
        <v>0.467362646142374</v>
      </c>
      <c r="W51" s="48">
        <f>SUMIF(_爬塔队伍!$A$2:$A$501,VALUE(SUBSTITUTE(SUBSTITUTE(D51,"第",""),"层","")),_爬塔队伍!$F$2:$F$501)</f>
        <v>7293585.2</v>
      </c>
      <c r="X51" s="48">
        <f t="shared" si="2"/>
        <v>9.62254575985689</v>
      </c>
      <c r="Y51" s="48">
        <f t="shared" si="3"/>
        <v>16.7932663130143</v>
      </c>
      <c r="Z51" s="49" t="str">
        <f t="shared" si="4"/>
        <v/>
      </c>
      <c r="AA51" s="30" t="str">
        <f t="shared" si="5"/>
        <v>已计算</v>
      </c>
      <c r="AB51" s="30" t="str">
        <f t="shared" si="6"/>
        <v>有效</v>
      </c>
      <c r="AC51" s="30" t="str">
        <f t="shared" si="7"/>
        <v/>
      </c>
      <c r="AD51" s="31" t="s">
        <v>736</v>
      </c>
      <c r="AE51">
        <v>825000</v>
      </c>
      <c r="AF51">
        <f>INDEX(_统一战力!$B$2:$B$501,J51)</f>
        <v>542000</v>
      </c>
    </row>
    <row r="52" ht="25" customHeight="1" spans="1:32">
      <c r="A52" s="30" t="s">
        <v>150</v>
      </c>
      <c r="B52" s="30" t="s">
        <v>59</v>
      </c>
      <c r="C52" s="31" t="s">
        <v>733</v>
      </c>
      <c r="D52" s="31" t="s">
        <v>830</v>
      </c>
      <c r="E52" s="31" t="s">
        <v>831</v>
      </c>
      <c r="F52" s="30" t="s">
        <v>154</v>
      </c>
      <c r="G52" s="40">
        <v>132</v>
      </c>
      <c r="H52" s="41"/>
      <c r="I52" s="42">
        <f t="shared" si="0"/>
        <v>132</v>
      </c>
      <c r="J52" s="43">
        <v>189</v>
      </c>
      <c r="K52" s="44">
        <v>1.15628599730198</v>
      </c>
      <c r="L52" s="44">
        <v>0.672487082221314</v>
      </c>
      <c r="M52" s="44">
        <v>1</v>
      </c>
      <c r="N52" s="45"/>
      <c r="O52" s="45"/>
      <c r="P52" s="45"/>
      <c r="Q52" s="46">
        <f>IF($I52="","",IFERROR(INDEX(_玩家曲线!$H$2:$H$286,MATCH($I52,_玩家曲线!$A$2:$A$286,0)),""))</f>
        <v>781156.424338479</v>
      </c>
      <c r="R52" s="46">
        <f>IF($I52="","",IFERROR(INDEX(_玩家曲线!$I$2:$I$286,MATCH($I52,_玩家曲线!$A$2:$A$286,0)),""))</f>
        <v>1275891.98519872</v>
      </c>
      <c r="S52" s="46">
        <f>SUMIF(_爬塔队伍!$A$2:$A$501,VALUE(SUBSTITUTE(SUBSTITUTE(D52,"第",""),"层","")),_爬塔队伍!$C$2:$C$501)</f>
        <v>4206220</v>
      </c>
      <c r="T52" s="46">
        <f>SUMIF(_爬塔队伍!$A$2:$A$501,VALUE(SUBSTITUTE(SUBSTITUTE(D52,"第",""),"层","")),_爬塔队伍!$D$2:$D$501)</f>
        <v>74178</v>
      </c>
      <c r="U52" s="46">
        <f>SUMIF(_爬塔队伍!$A$2:$A$501,VALUE(SUBSTITUTE(SUBSTITUTE(D52,"第",""),"层","")),_爬塔队伍!$E$2:$E$501)/COUNTIF(_爬塔队伍!$A$2:$A$501,VALUE(SUBSTITUTE(SUBSTITUTE(D52,"第",""),"层","")))</f>
        <v>22519</v>
      </c>
      <c r="V52" s="47">
        <f t="shared" si="1"/>
        <v>0.484081773038973</v>
      </c>
      <c r="W52" s="48">
        <f>SUMIF(_爬塔队伍!$A$2:$A$501,VALUE(SUBSTITUTE(SUBSTITUTE(D52,"第",""),"层","")),_爬塔队伍!$F$2:$F$501)</f>
        <v>8216030.63216667</v>
      </c>
      <c r="X52" s="48">
        <f t="shared" si="2"/>
        <v>10.5177789955762</v>
      </c>
      <c r="Y52" s="48">
        <f t="shared" si="3"/>
        <v>17.2004096254782</v>
      </c>
      <c r="Z52" s="49" t="str">
        <f t="shared" si="4"/>
        <v/>
      </c>
      <c r="AA52" s="30" t="str">
        <f t="shared" si="5"/>
        <v>已计算</v>
      </c>
      <c r="AB52" s="30" t="str">
        <f t="shared" si="6"/>
        <v>有效</v>
      </c>
      <c r="AC52" s="30" t="str">
        <f t="shared" si="7"/>
        <v/>
      </c>
      <c r="AD52" s="31" t="s">
        <v>736</v>
      </c>
      <c r="AE52">
        <v>836000</v>
      </c>
      <c r="AF52">
        <f>INDEX(_统一战力!$B$2:$B$501,J52)</f>
        <v>569000</v>
      </c>
    </row>
    <row r="53" ht="25" customHeight="1" spans="1:32">
      <c r="A53" s="30" t="s">
        <v>150</v>
      </c>
      <c r="B53" s="30" t="s">
        <v>59</v>
      </c>
      <c r="C53" s="31" t="s">
        <v>733</v>
      </c>
      <c r="D53" s="31" t="s">
        <v>832</v>
      </c>
      <c r="E53" s="31" t="s">
        <v>833</v>
      </c>
      <c r="F53" s="30" t="s">
        <v>154</v>
      </c>
      <c r="G53" s="40">
        <v>135</v>
      </c>
      <c r="H53" s="41"/>
      <c r="I53" s="42">
        <f t="shared" si="0"/>
        <v>135</v>
      </c>
      <c r="J53" s="43">
        <v>192</v>
      </c>
      <c r="K53" s="44">
        <v>1.1558279872176</v>
      </c>
      <c r="L53" s="44">
        <v>0.671805468942296</v>
      </c>
      <c r="M53" s="44">
        <v>1</v>
      </c>
      <c r="N53" s="45"/>
      <c r="O53" s="45"/>
      <c r="P53" s="45"/>
      <c r="Q53" s="46">
        <f>IF($I53="","",IFERROR(INDEX(_玩家曲线!$H$2:$H$286,MATCH($I53,_玩家曲线!$A$2:$A$286,0)),""))</f>
        <v>816982.952001487</v>
      </c>
      <c r="R53" s="46">
        <f>IF($I53="","",IFERROR(INDEX(_玩家曲线!$I$2:$I$286,MATCH($I53,_玩家曲线!$A$2:$A$286,0)),""))</f>
        <v>1319205.62267016</v>
      </c>
      <c r="S53" s="46">
        <f>SUMIF(_爬塔队伍!$A$2:$A$501,VALUE(SUBSTITUTE(SUBSTITUTE(D53,"第",""),"层","")),_爬塔队伍!$C$2:$C$501)</f>
        <v>4715056</v>
      </c>
      <c r="T53" s="46">
        <f>SUMIF(_爬塔队伍!$A$2:$A$501,VALUE(SUBSTITUTE(SUBSTITUTE(D53,"第",""),"层","")),_爬塔队伍!$D$2:$D$501)</f>
        <v>76144</v>
      </c>
      <c r="U53" s="46">
        <f>SUMIF(_爬塔队伍!$A$2:$A$501,VALUE(SUBSTITUTE(SUBSTITUTE(D53,"第",""),"层","")),_爬塔队伍!$E$2:$E$501)/COUNTIF(_爬塔队伍!$A$2:$A$501,VALUE(SUBSTITUTE(SUBSTITUTE(D53,"第",""),"层","")))</f>
        <v>24794.2</v>
      </c>
      <c r="V53" s="47">
        <f t="shared" si="1"/>
        <v>0.508138262334458</v>
      </c>
      <c r="W53" s="48">
        <f>SUMIF(_爬塔队伍!$A$2:$A$501,VALUE(SUBSTITUTE(SUBSTITUTE(D53,"第",""),"层","")),_爬塔队伍!$F$2:$F$501)</f>
        <v>9693048.97225</v>
      </c>
      <c r="X53" s="48">
        <f t="shared" si="2"/>
        <v>11.8644445988787</v>
      </c>
      <c r="Y53" s="48">
        <f t="shared" si="3"/>
        <v>17.3251421342477</v>
      </c>
      <c r="Z53" s="49" t="str">
        <f t="shared" si="4"/>
        <v/>
      </c>
      <c r="AA53" s="30" t="str">
        <f t="shared" si="5"/>
        <v>已计算</v>
      </c>
      <c r="AB53" s="30" t="str">
        <f t="shared" si="6"/>
        <v>有效</v>
      </c>
      <c r="AC53" s="30" t="str">
        <f t="shared" si="7"/>
        <v/>
      </c>
      <c r="AD53" s="31" t="s">
        <v>736</v>
      </c>
      <c r="AE53">
        <v>847000</v>
      </c>
      <c r="AF53">
        <f>INDEX(_统一战力!$B$2:$B$501,J53)</f>
        <v>586000</v>
      </c>
    </row>
    <row r="54" ht="25" customHeight="1" spans="1:32">
      <c r="A54" s="30" t="s">
        <v>150</v>
      </c>
      <c r="B54" s="30" t="s">
        <v>59</v>
      </c>
      <c r="C54" s="31" t="s">
        <v>733</v>
      </c>
      <c r="D54" s="31" t="s">
        <v>834</v>
      </c>
      <c r="E54" s="31" t="s">
        <v>835</v>
      </c>
      <c r="F54" s="30" t="s">
        <v>164</v>
      </c>
      <c r="G54" s="40">
        <v>138</v>
      </c>
      <c r="H54" s="41"/>
      <c r="I54" s="42">
        <f t="shared" si="0"/>
        <v>138</v>
      </c>
      <c r="J54" s="43">
        <v>196</v>
      </c>
      <c r="K54" s="44">
        <v>1.16486059105706</v>
      </c>
      <c r="L54" s="44">
        <v>0.677862042556071</v>
      </c>
      <c r="M54" s="44">
        <v>1</v>
      </c>
      <c r="N54" s="45"/>
      <c r="O54" s="45"/>
      <c r="P54" s="45"/>
      <c r="Q54" s="46">
        <f>IF($I54="","",IFERROR(INDEX(_玩家曲线!$H$2:$H$286,MATCH($I54,_玩家曲线!$A$2:$A$286,0)),""))</f>
        <v>854095.555061231</v>
      </c>
      <c r="R54" s="46">
        <f>IF($I54="","",IFERROR(INDEX(_玩家曲线!$I$2:$I$286,MATCH($I54,_玩家曲线!$A$2:$A$286,0)),""))</f>
        <v>1363438.7856067</v>
      </c>
      <c r="S54" s="46">
        <f>SUMIF(_爬塔队伍!$A$2:$A$501,VALUE(SUBSTITUTE(SUBSTITUTE(D54,"第",""),"层","")),_爬塔队伍!$C$2:$C$501)</f>
        <v>4623595</v>
      </c>
      <c r="T54" s="46">
        <f>SUMIF(_爬塔队伍!$A$2:$A$501,VALUE(SUBSTITUTE(SUBSTITUTE(D54,"第",""),"层","")),_爬塔队伍!$D$2:$D$501)</f>
        <v>79638</v>
      </c>
      <c r="U54" s="46">
        <f>SUMIF(_爬塔队伍!$A$2:$A$501,VALUE(SUBSTITUTE(SUBSTITUTE(D54,"第",""),"层","")),_爬塔队伍!$E$2:$E$501)/COUNTIF(_爬塔队伍!$A$2:$A$501,VALUE(SUBSTITUTE(SUBSTITUTE(D54,"第",""),"层","")))</f>
        <v>23547.8</v>
      </c>
      <c r="V54" s="47">
        <f t="shared" si="1"/>
        <v>0.495244785247688</v>
      </c>
      <c r="W54" s="48">
        <f>SUMIF(_爬塔队伍!$A$2:$A$501,VALUE(SUBSTITUTE(SUBSTITUTE(D54,"第",""),"层","")),_爬塔队伍!$F$2:$F$501)</f>
        <v>9232656.57820833</v>
      </c>
      <c r="X54" s="48">
        <f t="shared" si="2"/>
        <v>10.8098637482623</v>
      </c>
      <c r="Y54" s="48">
        <f t="shared" si="3"/>
        <v>17.1204548784085</v>
      </c>
      <c r="Z54" s="49" t="str">
        <f t="shared" si="4"/>
        <v/>
      </c>
      <c r="AA54" s="30" t="str">
        <f t="shared" si="5"/>
        <v>已计算</v>
      </c>
      <c r="AB54" s="30" t="str">
        <f t="shared" si="6"/>
        <v>有效</v>
      </c>
      <c r="AC54" s="30" t="str">
        <f t="shared" si="7"/>
        <v/>
      </c>
      <c r="AD54" s="31" t="s">
        <v>736</v>
      </c>
      <c r="AE54">
        <v>885000</v>
      </c>
      <c r="AF54">
        <f>INDEX(_统一战力!$B$2:$B$501,J54)</f>
        <v>613000</v>
      </c>
    </row>
    <row r="55" ht="25" customHeight="1" spans="1:32">
      <c r="A55" s="30" t="s">
        <v>150</v>
      </c>
      <c r="B55" s="30" t="s">
        <v>59</v>
      </c>
      <c r="C55" s="31" t="s">
        <v>733</v>
      </c>
      <c r="D55" s="31" t="s">
        <v>836</v>
      </c>
      <c r="E55" s="31" t="s">
        <v>837</v>
      </c>
      <c r="F55" s="30" t="s">
        <v>154</v>
      </c>
      <c r="G55" s="40">
        <v>140</v>
      </c>
      <c r="H55" s="41"/>
      <c r="I55" s="42">
        <f t="shared" si="0"/>
        <v>140</v>
      </c>
      <c r="J55" s="43">
        <v>198</v>
      </c>
      <c r="K55" s="44">
        <v>1.16221696952162</v>
      </c>
      <c r="L55" s="44">
        <v>0.679422160763523</v>
      </c>
      <c r="M55" s="44">
        <v>1</v>
      </c>
      <c r="N55" s="45"/>
      <c r="O55" s="45"/>
      <c r="P55" s="45"/>
      <c r="Q55" s="46">
        <f>IF($I55="","",IFERROR(INDEX(_玩家曲线!$H$2:$H$286,MATCH($I55,_玩家曲线!$A$2:$A$286,0)),""))</f>
        <v>879570.325884402</v>
      </c>
      <c r="R55" s="46">
        <f>IF($I55="","",IFERROR(INDEX(_玩家曲线!$I$2:$I$286,MATCH($I55,_玩家曲线!$A$2:$A$286,0)),""))</f>
        <v>1393444.13795912</v>
      </c>
      <c r="S55" s="46">
        <f>SUMIF(_爬塔队伍!$A$2:$A$501,VALUE(SUBSTITUTE(SUBSTITUTE(D55,"第",""),"层","")),_爬塔队伍!$C$2:$C$501)</f>
        <v>4349559</v>
      </c>
      <c r="T55" s="46">
        <f>SUMIF(_爬塔队伍!$A$2:$A$501,VALUE(SUBSTITUTE(SUBSTITUTE(D55,"第",""),"层","")),_爬塔队伍!$D$2:$D$501)</f>
        <v>87505</v>
      </c>
      <c r="U55" s="46">
        <f>SUMIF(_爬塔队伍!$A$2:$A$501,VALUE(SUBSTITUTE(SUBSTITUTE(D55,"第",""),"层","")),_爬塔队伍!$E$2:$E$501)/COUNTIF(_爬塔队伍!$A$2:$A$501,VALUE(SUBSTITUTE(SUBSTITUTE(D55,"第",""),"层","")))</f>
        <v>21936.4</v>
      </c>
      <c r="V55" s="47">
        <f t="shared" si="1"/>
        <v>0.477538509765676</v>
      </c>
      <c r="W55" s="48">
        <f>SUMIF(_爬塔队伍!$A$2:$A$501,VALUE(SUBSTITUTE(SUBSTITUTE(D55,"第",""),"层","")),_爬塔队伍!$F$2:$F$501)</f>
        <v>8445378.07804167</v>
      </c>
      <c r="X55" s="48">
        <f t="shared" si="2"/>
        <v>9.60170873153309</v>
      </c>
      <c r="Y55" s="48">
        <f t="shared" si="3"/>
        <v>15.9241659100522</v>
      </c>
      <c r="Z55" s="49" t="str">
        <f t="shared" si="4"/>
        <v/>
      </c>
      <c r="AA55" s="30" t="str">
        <f t="shared" si="5"/>
        <v>已计算</v>
      </c>
      <c r="AB55" s="30" t="str">
        <f t="shared" si="6"/>
        <v>有效</v>
      </c>
      <c r="AC55" s="30" t="str">
        <f t="shared" si="7"/>
        <v/>
      </c>
      <c r="AD55" s="31" t="s">
        <v>736</v>
      </c>
      <c r="AE55">
        <v>972000</v>
      </c>
      <c r="AF55">
        <f>INDEX(_统一战力!$B$2:$B$501,J55)</f>
        <v>631000</v>
      </c>
    </row>
    <row r="56" ht="25" customHeight="1" spans="1:32">
      <c r="A56" s="30" t="s">
        <v>150</v>
      </c>
      <c r="B56" s="30" t="s">
        <v>59</v>
      </c>
      <c r="C56" s="31" t="s">
        <v>733</v>
      </c>
      <c r="D56" s="31" t="s">
        <v>838</v>
      </c>
      <c r="E56" s="31" t="s">
        <v>839</v>
      </c>
      <c r="F56" s="30" t="s">
        <v>154</v>
      </c>
      <c r="G56" s="40">
        <v>143</v>
      </c>
      <c r="H56" s="41"/>
      <c r="I56" s="42">
        <f t="shared" si="0"/>
        <v>143</v>
      </c>
      <c r="J56" s="43">
        <v>201</v>
      </c>
      <c r="K56" s="44">
        <v>1.15514989318123</v>
      </c>
      <c r="L56" s="44">
        <v>0.678032893523875</v>
      </c>
      <c r="M56" s="44">
        <v>1</v>
      </c>
      <c r="N56" s="45"/>
      <c r="O56" s="45"/>
      <c r="P56" s="45"/>
      <c r="Q56" s="46">
        <f>IF($I56="","",IFERROR(INDEX(_玩家曲线!$H$2:$H$286,MATCH($I56,_玩家曲线!$A$2:$A$286,0)),""))</f>
        <v>918910.439902437</v>
      </c>
      <c r="R56" s="46">
        <f>IF($I56="","",IFERROR(INDEX(_玩家曲线!$I$2:$I$286,MATCH($I56,_玩家曲线!$A$2:$A$286,0)),""))</f>
        <v>1439235.67570825</v>
      </c>
      <c r="S56" s="46">
        <f>SUMIF(_爬塔队伍!$A$2:$A$501,VALUE(SUBSTITUTE(SUBSTITUTE(D56,"第",""),"层","")),_爬塔队伍!$C$2:$C$501)</f>
        <v>4678883</v>
      </c>
      <c r="T56" s="46">
        <f>SUMIF(_爬塔队伍!$A$2:$A$501,VALUE(SUBSTITUTE(SUBSTITUTE(D56,"第",""),"层","")),_爬塔队伍!$D$2:$D$501)</f>
        <v>86471</v>
      </c>
      <c r="U56" s="46">
        <f>SUMIF(_爬塔队伍!$A$2:$A$501,VALUE(SUBSTITUTE(SUBSTITUTE(D56,"第",""),"层","")),_爬塔队伍!$E$2:$E$501)/COUNTIF(_爬塔队伍!$A$2:$A$501,VALUE(SUBSTITUTE(SUBSTITUTE(D56,"第",""),"层","")))</f>
        <v>23319.6</v>
      </c>
      <c r="V56" s="47">
        <f t="shared" si="1"/>
        <v>0.492810590114878</v>
      </c>
      <c r="W56" s="48">
        <f>SUMIF(_爬塔队伍!$A$2:$A$501,VALUE(SUBSTITUTE(SUBSTITUTE(D56,"第",""),"层","")),_爬塔队伍!$F$2:$F$501)</f>
        <v>9335622.5195</v>
      </c>
      <c r="X56" s="48">
        <f t="shared" si="2"/>
        <v>10.1594476611792</v>
      </c>
      <c r="Y56" s="48">
        <f t="shared" si="3"/>
        <v>16.6441428422043</v>
      </c>
      <c r="Z56" s="49" t="str">
        <f t="shared" si="4"/>
        <v/>
      </c>
      <c r="AA56" s="30" t="str">
        <f t="shared" si="5"/>
        <v>已计算</v>
      </c>
      <c r="AB56" s="30" t="str">
        <f t="shared" si="6"/>
        <v>有效</v>
      </c>
      <c r="AC56" s="30" t="str">
        <f t="shared" si="7"/>
        <v/>
      </c>
      <c r="AD56" s="31" t="s">
        <v>736</v>
      </c>
      <c r="AE56">
        <v>975000</v>
      </c>
      <c r="AF56">
        <f>INDEX(_统一战力!$B$2:$B$501,J56)</f>
        <v>649000</v>
      </c>
    </row>
    <row r="57" ht="25" customHeight="1" spans="1:32">
      <c r="A57" s="30" t="s">
        <v>150</v>
      </c>
      <c r="B57" s="30" t="s">
        <v>59</v>
      </c>
      <c r="C57" s="31" t="s">
        <v>733</v>
      </c>
      <c r="D57" s="31" t="s">
        <v>840</v>
      </c>
      <c r="E57" s="31" t="s">
        <v>841</v>
      </c>
      <c r="F57" s="30" t="s">
        <v>154</v>
      </c>
      <c r="G57" s="40">
        <v>146</v>
      </c>
      <c r="H57" s="41"/>
      <c r="I57" s="42">
        <f t="shared" si="0"/>
        <v>146</v>
      </c>
      <c r="J57" s="43">
        <v>203</v>
      </c>
      <c r="K57" s="44">
        <v>1.15736206117284</v>
      </c>
      <c r="L57" s="44">
        <v>0.680269080212309</v>
      </c>
      <c r="M57" s="44">
        <v>1</v>
      </c>
      <c r="N57" s="45"/>
      <c r="O57" s="45"/>
      <c r="P57" s="45"/>
      <c r="Q57" s="46">
        <f>IF($I57="","",IFERROR(INDEX(_玩家曲线!$H$2:$H$286,MATCH($I57,_玩家曲线!$A$2:$A$286,0)),""))</f>
        <v>956281.237189549</v>
      </c>
      <c r="R57" s="46">
        <f>IF($I57="","",IFERROR(INDEX(_玩家曲线!$I$2:$I$286,MATCH($I57,_玩家曲线!$A$2:$A$286,0)),""))</f>
        <v>1482216.44272426</v>
      </c>
      <c r="S57" s="46">
        <f>SUMIF(_爬塔队伍!$A$2:$A$501,VALUE(SUBSTITUTE(SUBSTITUTE(D57,"第",""),"层","")),_爬塔队伍!$C$2:$C$501)</f>
        <v>4802478</v>
      </c>
      <c r="T57" s="46">
        <f>SUMIF(_爬塔队伍!$A$2:$A$501,VALUE(SUBSTITUTE(SUBSTITUTE(D57,"第",""),"层","")),_爬塔队伍!$D$2:$D$501)</f>
        <v>88285</v>
      </c>
      <c r="U57" s="46">
        <f>SUMIF(_爬塔队伍!$A$2:$A$501,VALUE(SUBSTITUTE(SUBSTITUTE(D57,"第",""),"层","")),_爬塔队伍!$E$2:$E$501)/COUNTIF(_爬塔队伍!$A$2:$A$501,VALUE(SUBSTITUTE(SUBSTITUTE(D57,"第",""),"层","")))</f>
        <v>23606.4</v>
      </c>
      <c r="V57" s="47">
        <f t="shared" si="1"/>
        <v>0.495866102036701</v>
      </c>
      <c r="W57" s="48">
        <f>SUMIF(_爬塔队伍!$A$2:$A$501,VALUE(SUBSTITUTE(SUBSTITUTE(D57,"第",""),"层","")),_爬塔队伍!$F$2:$F$501)</f>
        <v>9641008.038</v>
      </c>
      <c r="X57" s="48">
        <f t="shared" si="2"/>
        <v>10.0817705744539</v>
      </c>
      <c r="Y57" s="48">
        <f t="shared" si="3"/>
        <v>16.7889952169028</v>
      </c>
      <c r="Z57" s="49" t="str">
        <f t="shared" si="4"/>
        <v/>
      </c>
      <c r="AA57" s="30" t="str">
        <f t="shared" si="5"/>
        <v>已计算</v>
      </c>
      <c r="AB57" s="30" t="str">
        <f t="shared" si="6"/>
        <v>有效</v>
      </c>
      <c r="AC57" s="30" t="str">
        <f t="shared" si="7"/>
        <v/>
      </c>
      <c r="AD57" s="31" t="s">
        <v>736</v>
      </c>
      <c r="AE57">
        <v>979000</v>
      </c>
      <c r="AF57">
        <f>INDEX(_统一战力!$B$2:$B$501,J57)</f>
        <v>668000</v>
      </c>
    </row>
    <row r="58" ht="25" customHeight="1" spans="1:32">
      <c r="A58" s="30" t="s">
        <v>150</v>
      </c>
      <c r="B58" s="30" t="s">
        <v>59</v>
      </c>
      <c r="C58" s="31" t="s">
        <v>733</v>
      </c>
      <c r="D58" s="31" t="s">
        <v>842</v>
      </c>
      <c r="E58" s="31" t="s">
        <v>843</v>
      </c>
      <c r="F58" s="30" t="s">
        <v>154</v>
      </c>
      <c r="G58" s="40">
        <v>148</v>
      </c>
      <c r="H58" s="41"/>
      <c r="I58" s="42">
        <f t="shared" si="0"/>
        <v>148</v>
      </c>
      <c r="J58" s="43">
        <v>205</v>
      </c>
      <c r="K58" s="44">
        <v>1.15736163280393</v>
      </c>
      <c r="L58" s="44">
        <v>0.681130891349837</v>
      </c>
      <c r="M58" s="44">
        <v>1</v>
      </c>
      <c r="N58" s="45"/>
      <c r="O58" s="45"/>
      <c r="P58" s="45"/>
      <c r="Q58" s="46">
        <f>IF($I58="","",IFERROR(INDEX(_玩家曲线!$H$2:$H$286,MATCH($I58,_玩家曲线!$A$2:$A$286,0)),""))</f>
        <v>979708.960954924</v>
      </c>
      <c r="R58" s="46">
        <f>IF($I58="","",IFERROR(INDEX(_玩家曲线!$I$2:$I$286,MATCH($I58,_玩家曲线!$A$2:$A$286,0)),""))</f>
        <v>1508928.7098391</v>
      </c>
      <c r="S58" s="46">
        <f>SUMIF(_爬塔队伍!$A$2:$A$501,VALUE(SUBSTITUTE(SUBSTITUTE(D58,"第",""),"层","")),_爬塔队伍!$C$2:$C$501)</f>
        <v>4919139</v>
      </c>
      <c r="T58" s="46">
        <f>SUMIF(_爬塔队伍!$A$2:$A$501,VALUE(SUBSTITUTE(SUBSTITUTE(D58,"第",""),"层","")),_爬塔队伍!$D$2:$D$501)</f>
        <v>89952</v>
      </c>
      <c r="U58" s="46">
        <f>SUMIF(_爬塔队伍!$A$2:$A$501,VALUE(SUBSTITUTE(SUBSTITUTE(D58,"第",""),"层","")),_爬塔队伍!$E$2:$E$501)/COUNTIF(_爬塔队伍!$A$2:$A$501,VALUE(SUBSTITUTE(SUBSTITUTE(D58,"第",""),"层","")))</f>
        <v>23895.6</v>
      </c>
      <c r="V58" s="47">
        <f t="shared" si="1"/>
        <v>0.498910129531732</v>
      </c>
      <c r="W58" s="48">
        <f>SUMIF(_爬塔队伍!$A$2:$A$501,VALUE(SUBSTITUTE(SUBSTITUTE(D58,"第",""),"层","")),_爬塔队伍!$F$2:$F$501)</f>
        <v>9935926.5845</v>
      </c>
      <c r="X58" s="48">
        <f t="shared" si="2"/>
        <v>10.1417124681757</v>
      </c>
      <c r="Y58" s="48">
        <f t="shared" si="3"/>
        <v>16.7748211250345</v>
      </c>
      <c r="Z58" s="49" t="str">
        <f t="shared" si="4"/>
        <v/>
      </c>
      <c r="AA58" s="30" t="str">
        <f t="shared" si="5"/>
        <v>已计算</v>
      </c>
      <c r="AB58" s="30" t="str">
        <f t="shared" si="6"/>
        <v>有效</v>
      </c>
      <c r="AC58" s="30" t="str">
        <f t="shared" si="7"/>
        <v/>
      </c>
      <c r="AD58" s="31" t="s">
        <v>736</v>
      </c>
      <c r="AE58">
        <v>993000</v>
      </c>
      <c r="AF58">
        <f>INDEX(_统一战力!$B$2:$B$501,J58)</f>
        <v>686000</v>
      </c>
    </row>
    <row r="59" ht="25" customHeight="1" spans="1:32">
      <c r="A59" s="30" t="s">
        <v>150</v>
      </c>
      <c r="B59" s="30" t="s">
        <v>59</v>
      </c>
      <c r="C59" s="31" t="s">
        <v>733</v>
      </c>
      <c r="D59" s="31" t="s">
        <v>844</v>
      </c>
      <c r="E59" s="31" t="s">
        <v>845</v>
      </c>
      <c r="F59" s="30" t="s">
        <v>745</v>
      </c>
      <c r="G59" s="40">
        <v>151</v>
      </c>
      <c r="H59" s="41"/>
      <c r="I59" s="42">
        <f t="shared" si="0"/>
        <v>151</v>
      </c>
      <c r="J59" s="43">
        <v>208</v>
      </c>
      <c r="K59" s="44">
        <v>1.16375642788639</v>
      </c>
      <c r="L59" s="44">
        <v>0.684169263070698</v>
      </c>
      <c r="M59" s="44">
        <v>1</v>
      </c>
      <c r="N59" s="45"/>
      <c r="O59" s="45"/>
      <c r="P59" s="45"/>
      <c r="Q59" s="46">
        <f>IF($I59="","",IFERROR(INDEX(_玩家曲线!$H$2:$H$286,MATCH($I59,_玩家曲线!$A$2:$A$286,0)),""))</f>
        <v>1015710.9736488</v>
      </c>
      <c r="R59" s="46">
        <f>IF($I59="","",IFERROR(INDEX(_玩家曲线!$I$2:$I$286,MATCH($I59,_玩家曲线!$A$2:$A$286,0)),""))</f>
        <v>1549578.77981835</v>
      </c>
      <c r="S59" s="46">
        <f>SUMIF(_爬塔队伍!$A$2:$A$501,VALUE(SUBSTITUTE(SUBSTITUTE(D59,"第",""),"层","")),_爬塔队伍!$C$2:$C$501)</f>
        <v>5339809</v>
      </c>
      <c r="T59" s="46">
        <f>SUMIF(_爬塔队伍!$A$2:$A$501,VALUE(SUBSTITUTE(SUBSTITUTE(D59,"第",""),"层","")),_爬塔队伍!$D$2:$D$501)</f>
        <v>89295</v>
      </c>
      <c r="U59" s="46">
        <f>SUMIF(_爬塔队伍!$A$2:$A$501,VALUE(SUBSTITUTE(SUBSTITUTE(D59,"第",""),"层","")),_爬塔队伍!$E$2:$E$501)/COUNTIF(_爬塔队伍!$A$2:$A$501,VALUE(SUBSTITUTE(SUBSTITUTE(D59,"第",""),"层","")))</f>
        <v>25344</v>
      </c>
      <c r="V59" s="47">
        <f t="shared" si="1"/>
        <v>0.513618677042802</v>
      </c>
      <c r="W59" s="48">
        <f>SUMIF(_爬塔队伍!$A$2:$A$501,VALUE(SUBSTITUTE(SUBSTITUTE(D59,"第",""),"层","")),_爬塔队伍!$F$2:$F$501)</f>
        <v>11068872.335875</v>
      </c>
      <c r="X59" s="48">
        <f t="shared" si="2"/>
        <v>10.8976594947199</v>
      </c>
      <c r="Y59" s="48">
        <f t="shared" si="3"/>
        <v>17.353477572298</v>
      </c>
      <c r="Z59" s="49" t="str">
        <f t="shared" si="4"/>
        <v/>
      </c>
      <c r="AA59" s="30" t="str">
        <f t="shared" si="5"/>
        <v>已计算</v>
      </c>
      <c r="AB59" s="30" t="str">
        <f t="shared" si="6"/>
        <v>有效</v>
      </c>
      <c r="AC59" s="30" t="str">
        <f t="shared" si="7"/>
        <v/>
      </c>
      <c r="AD59" s="31" t="s">
        <v>736</v>
      </c>
      <c r="AE59">
        <v>1020000</v>
      </c>
      <c r="AF59">
        <f>INDEX(_统一战力!$B$2:$B$501,J59)</f>
        <v>710000</v>
      </c>
    </row>
    <row r="60" ht="25" customHeight="1" spans="1:32">
      <c r="A60" s="30" t="s">
        <v>150</v>
      </c>
      <c r="B60" s="30" t="s">
        <v>59</v>
      </c>
      <c r="C60" s="31" t="s">
        <v>733</v>
      </c>
      <c r="D60" s="31" t="s">
        <v>846</v>
      </c>
      <c r="E60" s="31" t="s">
        <v>847</v>
      </c>
      <c r="F60" s="30" t="s">
        <v>154</v>
      </c>
      <c r="G60" s="40">
        <v>154</v>
      </c>
      <c r="H60" s="41"/>
      <c r="I60" s="42">
        <f t="shared" si="0"/>
        <v>154</v>
      </c>
      <c r="J60" s="43">
        <v>210</v>
      </c>
      <c r="K60" s="44">
        <v>1.15213985017309</v>
      </c>
      <c r="L60" s="44">
        <v>0.682347851942813</v>
      </c>
      <c r="M60" s="44">
        <v>1</v>
      </c>
      <c r="N60" s="45"/>
      <c r="O60" s="45"/>
      <c r="P60" s="45"/>
      <c r="Q60" s="46">
        <f>IF($I60="","",IFERROR(INDEX(_玩家曲线!$H$2:$H$286,MATCH($I60,_玩家曲线!$A$2:$A$286,0)),""))</f>
        <v>1052767.57141103</v>
      </c>
      <c r="R60" s="46">
        <f>IF($I60="","",IFERROR(INDEX(_玩家曲线!$I$2:$I$286,MATCH($I60,_玩家曲线!$A$2:$A$286,0)),""))</f>
        <v>1590933.45242592</v>
      </c>
      <c r="S60" s="46">
        <f>SUMIF(_爬塔队伍!$A$2:$A$501,VALUE(SUBSTITUTE(SUBSTITUTE(D60,"第",""),"层","")),_爬塔队伍!$C$2:$C$501)</f>
        <v>5196381</v>
      </c>
      <c r="T60" s="46">
        <f>SUMIF(_爬塔队伍!$A$2:$A$501,VALUE(SUBSTITUTE(SUBSTITUTE(D60,"第",""),"层","")),_爬塔队伍!$D$2:$D$501)</f>
        <v>94088</v>
      </c>
      <c r="U60" s="46">
        <f>SUMIF(_爬塔队伍!$A$2:$A$501,VALUE(SUBSTITUTE(SUBSTITUTE(D60,"第",""),"层","")),_爬塔队伍!$E$2:$E$501)/COUNTIF(_爬塔队伍!$A$2:$A$501,VALUE(SUBSTITUTE(SUBSTITUTE(D60,"第",""),"层","")))</f>
        <v>24621.8</v>
      </c>
      <c r="V60" s="47">
        <f t="shared" si="1"/>
        <v>0.506394251138378</v>
      </c>
      <c r="W60" s="48">
        <f>SUMIF(_爬塔队伍!$A$2:$A$501,VALUE(SUBSTITUTE(SUBSTITUTE(D60,"第",""),"层","")),_爬塔队伍!$F$2:$F$501)</f>
        <v>10656965.2292917</v>
      </c>
      <c r="X60" s="48">
        <f t="shared" si="2"/>
        <v>10.1228091733564</v>
      </c>
      <c r="Y60" s="48">
        <f t="shared" si="3"/>
        <v>16.9089942652189</v>
      </c>
      <c r="Z60" s="49" t="str">
        <f t="shared" si="4"/>
        <v/>
      </c>
      <c r="AA60" s="30" t="str">
        <f t="shared" si="5"/>
        <v>已计算</v>
      </c>
      <c r="AB60" s="30" t="str">
        <f t="shared" si="6"/>
        <v>有效</v>
      </c>
      <c r="AC60" s="30" t="str">
        <f t="shared" si="7"/>
        <v/>
      </c>
      <c r="AD60" s="31" t="s">
        <v>736</v>
      </c>
      <c r="AE60">
        <v>1040000</v>
      </c>
      <c r="AF60">
        <f>INDEX(_统一战力!$B$2:$B$501,J60)</f>
        <v>718000</v>
      </c>
    </row>
    <row r="61" ht="25" customHeight="1" spans="1:32">
      <c r="A61" s="30" t="s">
        <v>150</v>
      </c>
      <c r="B61" s="30" t="s">
        <v>59</v>
      </c>
      <c r="C61" s="31" t="s">
        <v>733</v>
      </c>
      <c r="D61" s="31" t="s">
        <v>848</v>
      </c>
      <c r="E61" s="31" t="s">
        <v>849</v>
      </c>
      <c r="F61" s="30" t="s">
        <v>154</v>
      </c>
      <c r="G61" s="40">
        <v>156</v>
      </c>
      <c r="H61" s="41"/>
      <c r="I61" s="42">
        <f t="shared" si="0"/>
        <v>156</v>
      </c>
      <c r="J61" s="43">
        <v>212</v>
      </c>
      <c r="K61" s="44">
        <v>1.15340112107571</v>
      </c>
      <c r="L61" s="44">
        <v>0.684535053944765</v>
      </c>
      <c r="M61" s="44">
        <v>1</v>
      </c>
      <c r="N61" s="45"/>
      <c r="O61" s="45"/>
      <c r="P61" s="45"/>
      <c r="Q61" s="46">
        <f>IF($I61="","",IFERROR(INDEX(_玩家曲线!$H$2:$H$286,MATCH($I61,_玩家曲线!$A$2:$A$286,0)),""))</f>
        <v>1078070.3048675</v>
      </c>
      <c r="R61" s="46">
        <f>IF($I61="","",IFERROR(INDEX(_玩家曲线!$I$2:$I$286,MATCH($I61,_玩家曲线!$A$2:$A$286,0)),""))</f>
        <v>1618898.36300139</v>
      </c>
      <c r="S61" s="46">
        <f>SUMIF(_爬塔队伍!$A$2:$A$501,VALUE(SUBSTITUTE(SUBSTITUTE(D61,"第",""),"层","")),_爬塔队伍!$C$2:$C$501)</f>
        <v>5103792</v>
      </c>
      <c r="T61" s="46">
        <f>SUMIF(_爬塔队伍!$A$2:$A$501,VALUE(SUBSTITUTE(SUBSTITUTE(D61,"第",""),"层","")),_爬塔队伍!$D$2:$D$501)</f>
        <v>99573</v>
      </c>
      <c r="U61" s="46">
        <f>SUMIF(_爬塔队伍!$A$2:$A$501,VALUE(SUBSTITUTE(SUBSTITUTE(D61,"第",""),"层","")),_爬塔队伍!$E$2:$E$501)/COUNTIF(_爬塔队伍!$A$2:$A$501,VALUE(SUBSTITUTE(SUBSTITUTE(D61,"第",""),"层","")))</f>
        <v>23875.2</v>
      </c>
      <c r="V61" s="47">
        <f t="shared" si="1"/>
        <v>0.498696611189092</v>
      </c>
      <c r="W61" s="48">
        <f>SUMIF(_爬塔队伍!$A$2:$A$501,VALUE(SUBSTITUTE(SUBSTITUTE(D61,"第",""),"层","")),_爬塔队伍!$F$2:$F$501)</f>
        <v>10334614.794</v>
      </c>
      <c r="X61" s="48">
        <f t="shared" si="2"/>
        <v>9.58621598919764</v>
      </c>
      <c r="Y61" s="48">
        <f t="shared" si="3"/>
        <v>16.2584070280236</v>
      </c>
      <c r="Z61" s="49" t="str">
        <f t="shared" si="4"/>
        <v/>
      </c>
      <c r="AA61" s="30" t="str">
        <f t="shared" si="5"/>
        <v>已计算</v>
      </c>
      <c r="AB61" s="30" t="str">
        <f t="shared" si="6"/>
        <v>有效</v>
      </c>
      <c r="AC61" s="30" t="str">
        <f t="shared" si="7"/>
        <v/>
      </c>
      <c r="AD61" s="31" t="s">
        <v>736</v>
      </c>
      <c r="AE61">
        <v>1100000</v>
      </c>
      <c r="AF61">
        <f>INDEX(_统一战力!$B$2:$B$501,J61)</f>
        <v>735000</v>
      </c>
    </row>
    <row r="62" ht="25" customHeight="1" spans="1:32">
      <c r="A62" s="30" t="s">
        <v>150</v>
      </c>
      <c r="B62" s="30" t="s">
        <v>59</v>
      </c>
      <c r="C62" s="31" t="s">
        <v>733</v>
      </c>
      <c r="D62" s="31" t="s">
        <v>850</v>
      </c>
      <c r="E62" s="31" t="s">
        <v>851</v>
      </c>
      <c r="F62" s="30" t="s">
        <v>154</v>
      </c>
      <c r="G62" s="40">
        <v>159</v>
      </c>
      <c r="H62" s="41"/>
      <c r="I62" s="42">
        <f t="shared" si="0"/>
        <v>159</v>
      </c>
      <c r="J62" s="43">
        <v>214</v>
      </c>
      <c r="K62" s="44">
        <v>1.16241161436697</v>
      </c>
      <c r="L62" s="44">
        <v>0.689312359503694</v>
      </c>
      <c r="M62" s="44">
        <v>1</v>
      </c>
      <c r="N62" s="45"/>
      <c r="O62" s="45"/>
      <c r="P62" s="45"/>
      <c r="Q62" s="46">
        <f>IF($I62="","",IFERROR(INDEX(_玩家曲线!$H$2:$H$286,MATCH($I62,_玩家曲线!$A$2:$A$286,0)),""))</f>
        <v>1116940.9091098</v>
      </c>
      <c r="R62" s="46">
        <f>IF($I62="","",IFERROR(INDEX(_玩家曲线!$I$2:$I$286,MATCH($I62,_玩家曲线!$A$2:$A$286,0)),""))</f>
        <v>1661443.97388784</v>
      </c>
      <c r="S62" s="46">
        <f>SUMIF(_爬塔队伍!$A$2:$A$501,VALUE(SUBSTITUTE(SUBSTITUTE(D62,"第",""),"层","")),_爬塔队伍!$C$2:$C$501)</f>
        <v>5265121</v>
      </c>
      <c r="T62" s="46">
        <f>SUMIF(_爬塔队伍!$A$2:$A$501,VALUE(SUBSTITUTE(SUBSTITUTE(D62,"第",""),"层","")),_爬塔队伍!$D$2:$D$501)</f>
        <v>101986</v>
      </c>
      <c r="U62" s="46">
        <f>SUMIF(_爬塔队伍!$A$2:$A$501,VALUE(SUBSTITUTE(SUBSTITUTE(D62,"第",""),"层","")),_爬塔队伍!$E$2:$E$501)/COUNTIF(_爬塔队伍!$A$2:$A$501,VALUE(SUBSTITUTE(SUBSTITUTE(D62,"第",""),"层","")))</f>
        <v>24157</v>
      </c>
      <c r="V62" s="47">
        <f t="shared" si="1"/>
        <v>0.50163008493054</v>
      </c>
      <c r="W62" s="48">
        <f>SUMIF(_爬塔队伍!$A$2:$A$501,VALUE(SUBSTITUTE(SUBSTITUTE(D62,"第",""),"层","")),_爬塔队伍!$F$2:$F$501)</f>
        <v>10724975.3516667</v>
      </c>
      <c r="X62" s="48">
        <f t="shared" si="2"/>
        <v>9.60209735733867</v>
      </c>
      <c r="Y62" s="48">
        <f t="shared" si="3"/>
        <v>16.2909024168792</v>
      </c>
      <c r="Z62" s="49" t="str">
        <f t="shared" si="4"/>
        <v/>
      </c>
      <c r="AA62" s="30" t="str">
        <f t="shared" si="5"/>
        <v>已计算</v>
      </c>
      <c r="AB62" s="30" t="str">
        <f t="shared" si="6"/>
        <v>有效</v>
      </c>
      <c r="AC62" s="30" t="str">
        <f t="shared" si="7"/>
        <v/>
      </c>
      <c r="AD62" s="31" t="s">
        <v>736</v>
      </c>
      <c r="AE62">
        <v>1120000</v>
      </c>
      <c r="AF62">
        <f>INDEX(_统一战力!$B$2:$B$501,J62)</f>
        <v>751000</v>
      </c>
    </row>
    <row r="63" ht="25" customHeight="1" spans="1:32">
      <c r="A63" s="30" t="s">
        <v>150</v>
      </c>
      <c r="B63" s="30" t="s">
        <v>59</v>
      </c>
      <c r="C63" s="31" t="s">
        <v>733</v>
      </c>
      <c r="D63" s="31" t="s">
        <v>852</v>
      </c>
      <c r="E63" s="31" t="s">
        <v>853</v>
      </c>
      <c r="F63" s="30" t="s">
        <v>154</v>
      </c>
      <c r="G63" s="40">
        <v>162</v>
      </c>
      <c r="H63" s="41"/>
      <c r="I63" s="42">
        <f t="shared" si="0"/>
        <v>162</v>
      </c>
      <c r="J63" s="43">
        <v>217</v>
      </c>
      <c r="K63" s="44">
        <v>1.15390500897312</v>
      </c>
      <c r="L63" s="44">
        <v>0.687131245661127</v>
      </c>
      <c r="M63" s="44">
        <v>1</v>
      </c>
      <c r="N63" s="45"/>
      <c r="O63" s="45"/>
      <c r="P63" s="45"/>
      <c r="Q63" s="46">
        <f>IF($I63="","",IFERROR(INDEX(_玩家曲线!$H$2:$H$286,MATCH($I63,_玩家曲线!$A$2:$A$286,0)),""))</f>
        <v>1152022.39224362</v>
      </c>
      <c r="R63" s="46">
        <f>IF($I63="","",IFERROR(INDEX(_玩家曲线!$I$2:$I$286,MATCH($I63,_玩家曲线!$A$2:$A$286,0)),""))</f>
        <v>1699526.14481934</v>
      </c>
      <c r="S63" s="46">
        <f>SUMIF(_爬塔队伍!$A$2:$A$501,VALUE(SUBSTITUTE(SUBSTITUTE(D63,"第",""),"层","")),_爬塔队伍!$C$2:$C$501)</f>
        <v>5646696</v>
      </c>
      <c r="T63" s="46">
        <f>SUMIF(_爬塔队伍!$A$2:$A$501,VALUE(SUBSTITUTE(SUBSTITUTE(D63,"第",""),"层","")),_爬塔队伍!$D$2:$D$501)</f>
        <v>100548</v>
      </c>
      <c r="U63" s="46">
        <f>SUMIF(_爬塔队伍!$A$2:$A$501,VALUE(SUBSTITUTE(SUBSTITUTE(D63,"第",""),"层","")),_爬塔队伍!$E$2:$E$501)/COUNTIF(_爬塔队伍!$A$2:$A$501,VALUE(SUBSTITUTE(SUBSTITUTE(D63,"第",""),"层","")))</f>
        <v>25649</v>
      </c>
      <c r="V63" s="47">
        <f t="shared" si="1"/>
        <v>0.516606578178815</v>
      </c>
      <c r="W63" s="48">
        <f>SUMIF(_爬塔队伍!$A$2:$A$501,VALUE(SUBSTITUTE(SUBSTITUTE(D63,"第",""),"层","")),_爬塔队伍!$F$2:$F$501)</f>
        <v>11828043.9209167</v>
      </c>
      <c r="X63" s="48">
        <f t="shared" si="2"/>
        <v>10.2671996660421</v>
      </c>
      <c r="Y63" s="48">
        <f t="shared" si="3"/>
        <v>16.9026350083477</v>
      </c>
      <c r="Z63" s="49" t="str">
        <f t="shared" si="4"/>
        <v/>
      </c>
      <c r="AA63" s="30" t="str">
        <f t="shared" si="5"/>
        <v>已计算</v>
      </c>
      <c r="AB63" s="30" t="str">
        <f t="shared" si="6"/>
        <v>有效</v>
      </c>
      <c r="AC63" s="30" t="str">
        <f t="shared" si="7"/>
        <v/>
      </c>
      <c r="AD63" s="31" t="s">
        <v>736</v>
      </c>
      <c r="AE63">
        <v>1150000</v>
      </c>
      <c r="AF63">
        <f>INDEX(_统一战力!$B$2:$B$501,J63)</f>
        <v>776000</v>
      </c>
    </row>
    <row r="64" ht="25" customHeight="1" spans="1:32">
      <c r="A64" s="30" t="s">
        <v>150</v>
      </c>
      <c r="B64" s="30" t="s">
        <v>59</v>
      </c>
      <c r="C64" s="31" t="s">
        <v>733</v>
      </c>
      <c r="D64" s="31" t="s">
        <v>854</v>
      </c>
      <c r="E64" s="31" t="s">
        <v>855</v>
      </c>
      <c r="F64" s="30" t="s">
        <v>164</v>
      </c>
      <c r="G64" s="40">
        <v>165</v>
      </c>
      <c r="H64" s="41"/>
      <c r="I64" s="42">
        <f t="shared" si="0"/>
        <v>165</v>
      </c>
      <c r="J64" s="43">
        <v>219</v>
      </c>
      <c r="K64" s="44">
        <v>1.15867282412656</v>
      </c>
      <c r="L64" s="44">
        <v>0.689694524790995</v>
      </c>
      <c r="M64" s="44">
        <v>1</v>
      </c>
      <c r="N64" s="45"/>
      <c r="O64" s="45"/>
      <c r="P64" s="45"/>
      <c r="Q64" s="46">
        <f>IF($I64="","",IFERROR(INDEX(_玩家曲线!$H$2:$H$286,MATCH($I64,_玩家曲线!$A$2:$A$286,0)),""))</f>
        <v>1187088.12987151</v>
      </c>
      <c r="R64" s="46">
        <f>IF($I64="","",IFERROR(INDEX(_玩家曲线!$I$2:$I$286,MATCH($I64,_玩家曲线!$A$2:$A$286,0)),""))</f>
        <v>1737234.08803906</v>
      </c>
      <c r="S64" s="46">
        <f>SUMIF(_爬塔队伍!$A$2:$A$501,VALUE(SUBSTITUTE(SUBSTITUTE(D64,"第",""),"层","")),_爬塔队伍!$C$2:$C$501)</f>
        <v>6043636</v>
      </c>
      <c r="T64" s="46">
        <f>SUMIF(_爬塔队伍!$A$2:$A$501,VALUE(SUBSTITUTE(SUBSTITUTE(D64,"第",""),"层","")),_爬塔队伍!$D$2:$D$501)</f>
        <v>98826</v>
      </c>
      <c r="U64" s="46">
        <f>SUMIF(_爬塔队伍!$A$2:$A$501,VALUE(SUBSTITUTE(SUBSTITUTE(D64,"第",""),"层","")),_爬塔队伍!$E$2:$E$501)/COUNTIF(_爬塔队伍!$A$2:$A$501,VALUE(SUBSTITUTE(SUBSTITUTE(D64,"第",""),"层","")))</f>
        <v>27026.2</v>
      </c>
      <c r="V64" s="47">
        <f t="shared" si="1"/>
        <v>0.529653393746742</v>
      </c>
      <c r="W64" s="48">
        <f>SUMIF(_爬塔队伍!$A$2:$A$501,VALUE(SUBSTITUTE(SUBSTITUTE(D64,"第",""),"层","")),_爬塔队伍!$F$2:$F$501)</f>
        <v>12958220.411</v>
      </c>
      <c r="X64" s="48">
        <f t="shared" si="2"/>
        <v>10.9159716830819</v>
      </c>
      <c r="Y64" s="48">
        <f t="shared" si="3"/>
        <v>17.5787149944252</v>
      </c>
      <c r="Z64" s="49" t="str">
        <f t="shared" si="4"/>
        <v/>
      </c>
      <c r="AA64" s="30" t="str">
        <f t="shared" si="5"/>
        <v>已计算</v>
      </c>
      <c r="AB64" s="30" t="str">
        <f t="shared" si="6"/>
        <v>有效</v>
      </c>
      <c r="AC64" s="30" t="str">
        <f t="shared" si="7"/>
        <v/>
      </c>
      <c r="AD64" s="31" t="s">
        <v>736</v>
      </c>
      <c r="AE64">
        <v>1170000</v>
      </c>
      <c r="AF64">
        <f>INDEX(_统一战力!$B$2:$B$501,J64)</f>
        <v>794000</v>
      </c>
    </row>
    <row r="65" ht="25" customHeight="1" spans="1:32">
      <c r="A65" s="30" t="s">
        <v>150</v>
      </c>
      <c r="B65" s="30" t="s">
        <v>59</v>
      </c>
      <c r="C65" s="31" t="s">
        <v>733</v>
      </c>
      <c r="D65" s="31" t="s">
        <v>856</v>
      </c>
      <c r="E65" s="31" t="s">
        <v>857</v>
      </c>
      <c r="F65" s="30" t="s">
        <v>154</v>
      </c>
      <c r="G65" s="40">
        <v>167</v>
      </c>
      <c r="H65" s="41"/>
      <c r="I65" s="42">
        <f t="shared" si="0"/>
        <v>167</v>
      </c>
      <c r="J65" s="43">
        <v>221</v>
      </c>
      <c r="K65" s="44">
        <v>1.1609327383741</v>
      </c>
      <c r="L65" s="44">
        <v>0.692628557170834</v>
      </c>
      <c r="M65" s="44">
        <v>1</v>
      </c>
      <c r="N65" s="45"/>
      <c r="O65" s="45"/>
      <c r="P65" s="45"/>
      <c r="Q65" s="46">
        <f>IF($I65="","",IFERROR(INDEX(_玩家曲线!$H$2:$H$286,MATCH($I65,_玩家曲线!$A$2:$A$286,0)),""))</f>
        <v>1210942.50611328</v>
      </c>
      <c r="R65" s="46">
        <f>IF($I65="","",IFERROR(INDEX(_玩家曲线!$I$2:$I$286,MATCH($I65,_玩家曲线!$A$2:$A$286,0)),""))</f>
        <v>1762677.83028673</v>
      </c>
      <c r="S65" s="46">
        <f>SUMIF(_爬塔队伍!$A$2:$A$501,VALUE(SUBSTITUTE(SUBSTITUTE(D65,"第",""),"层","")),_爬塔队伍!$C$2:$C$501)</f>
        <v>5699798</v>
      </c>
      <c r="T65" s="46">
        <f>SUMIF(_爬塔队伍!$A$2:$A$501,VALUE(SUBSTITUTE(SUBSTITUTE(D65,"第",""),"层","")),_爬塔队伍!$D$2:$D$501)</f>
        <v>108681</v>
      </c>
      <c r="U65" s="46">
        <f>SUMIF(_爬塔队伍!$A$2:$A$501,VALUE(SUBSTITUTE(SUBSTITUTE(D65,"第",""),"层","")),_爬塔队伍!$E$2:$E$501)/COUNTIF(_爬塔队伍!$A$2:$A$501,VALUE(SUBSTITUTE(SUBSTITUTE(D65,"第",""),"层","")))</f>
        <v>25149.4</v>
      </c>
      <c r="V65" s="47">
        <f t="shared" si="1"/>
        <v>0.511692919954262</v>
      </c>
      <c r="W65" s="48">
        <f>SUMIF(_爬塔队伍!$A$2:$A$501,VALUE(SUBSTITUTE(SUBSTITUTE(D65,"第",""),"层","")),_爬塔队伍!$F$2:$F$501)</f>
        <v>11853225.7637917</v>
      </c>
      <c r="X65" s="48">
        <f t="shared" si="2"/>
        <v>9.78842984200509</v>
      </c>
      <c r="Y65" s="48">
        <f t="shared" si="3"/>
        <v>16.2188223358888</v>
      </c>
      <c r="Z65" s="49" t="str">
        <f t="shared" si="4"/>
        <v/>
      </c>
      <c r="AA65" s="30" t="str">
        <f t="shared" si="5"/>
        <v>已计算</v>
      </c>
      <c r="AB65" s="30" t="str">
        <f t="shared" si="6"/>
        <v>有效</v>
      </c>
      <c r="AC65" s="30" t="str">
        <f t="shared" si="7"/>
        <v/>
      </c>
      <c r="AD65" s="31" t="s">
        <v>736</v>
      </c>
      <c r="AE65">
        <v>1200000</v>
      </c>
      <c r="AF65">
        <f>INDEX(_统一战力!$B$2:$B$501,J65)</f>
        <v>810000</v>
      </c>
    </row>
    <row r="66" ht="25" customHeight="1" spans="1:32">
      <c r="A66" s="30" t="s">
        <v>150</v>
      </c>
      <c r="B66" s="30" t="s">
        <v>59</v>
      </c>
      <c r="C66" s="31" t="s">
        <v>733</v>
      </c>
      <c r="D66" s="31" t="s">
        <v>858</v>
      </c>
      <c r="E66" s="31" t="s">
        <v>859</v>
      </c>
      <c r="F66" s="30" t="s">
        <v>154</v>
      </c>
      <c r="G66" s="40">
        <v>170</v>
      </c>
      <c r="H66" s="41"/>
      <c r="I66" s="42">
        <f t="shared" si="0"/>
        <v>170</v>
      </c>
      <c r="J66" s="43">
        <v>223</v>
      </c>
      <c r="K66" s="44">
        <v>1.15347728205966</v>
      </c>
      <c r="L66" s="44">
        <v>0.691563676322275</v>
      </c>
      <c r="M66" s="44">
        <v>1</v>
      </c>
      <c r="N66" s="45"/>
      <c r="O66" s="45"/>
      <c r="P66" s="45"/>
      <c r="Q66" s="46">
        <f>IF($I66="","",IFERROR(INDEX(_玩家曲线!$H$2:$H$286,MATCH($I66,_玩家曲线!$A$2:$A$286,0)),""))</f>
        <v>1247452.69867163</v>
      </c>
      <c r="R66" s="46">
        <f>IF($I66="","",IFERROR(INDEX(_玩家曲线!$I$2:$I$286,MATCH($I66,_玩家曲线!$A$2:$A$286,0)),""))</f>
        <v>1801304.81588891</v>
      </c>
      <c r="S66" s="46">
        <f>SUMIF(_爬塔队伍!$A$2:$A$501,VALUE(SUBSTITUTE(SUBSTITUTE(D66,"第",""),"层","")),_爬塔队伍!$C$2:$C$501)</f>
        <v>5793350</v>
      </c>
      <c r="T66" s="46">
        <f>SUMIF(_爬塔队伍!$A$2:$A$501,VALUE(SUBSTITUTE(SUBSTITUTE(D66,"第",""),"层","")),_爬塔队伍!$D$2:$D$501)</f>
        <v>110328</v>
      </c>
      <c r="U66" s="46">
        <f>SUMIF(_爬塔队伍!$A$2:$A$501,VALUE(SUBSTITUTE(SUBSTITUTE(D66,"第",""),"层","")),_爬塔队伍!$E$2:$E$501)/COUNTIF(_爬塔队伍!$A$2:$A$501,VALUE(SUBSTITUTE(SUBSTITUTE(D66,"第",""),"层","")))</f>
        <v>25435.8</v>
      </c>
      <c r="V66" s="47">
        <f t="shared" si="1"/>
        <v>0.514521864721518</v>
      </c>
      <c r="W66" s="48">
        <f>SUMIF(_爬塔队伍!$A$2:$A$501,VALUE(SUBSTITUTE(SUBSTITUTE(D66,"第",""),"层","")),_爬塔队伍!$F$2:$F$501)</f>
        <v>12118995.677125</v>
      </c>
      <c r="X66" s="48">
        <f t="shared" si="2"/>
        <v>9.71499415571437</v>
      </c>
      <c r="Y66" s="48">
        <f t="shared" si="3"/>
        <v>16.3268147332401</v>
      </c>
      <c r="Z66" s="49" t="str">
        <f t="shared" si="4"/>
        <v/>
      </c>
      <c r="AA66" s="30" t="str">
        <f t="shared" si="5"/>
        <v>已计算</v>
      </c>
      <c r="AB66" s="30" t="str">
        <f t="shared" si="6"/>
        <v>有效</v>
      </c>
      <c r="AC66" s="30" t="str">
        <f t="shared" si="7"/>
        <v/>
      </c>
      <c r="AD66" s="31" t="s">
        <v>736</v>
      </c>
      <c r="AE66">
        <v>1210000</v>
      </c>
      <c r="AF66">
        <f>INDEX(_统一战力!$B$2:$B$501,J66)</f>
        <v>825000</v>
      </c>
    </row>
    <row r="67" ht="25" customHeight="1" spans="1:32">
      <c r="A67" s="30" t="s">
        <v>150</v>
      </c>
      <c r="B67" s="30" t="s">
        <v>59</v>
      </c>
      <c r="C67" s="31" t="s">
        <v>733</v>
      </c>
      <c r="D67" s="31" t="s">
        <v>860</v>
      </c>
      <c r="E67" s="31" t="s">
        <v>861</v>
      </c>
      <c r="F67" s="30" t="s">
        <v>154</v>
      </c>
      <c r="G67" s="40">
        <v>173</v>
      </c>
      <c r="H67" s="41"/>
      <c r="I67" s="42">
        <f t="shared" si="0"/>
        <v>173</v>
      </c>
      <c r="J67" s="43">
        <v>225</v>
      </c>
      <c r="K67" s="44">
        <v>1.14900462820668</v>
      </c>
      <c r="L67" s="44">
        <v>0.691032777546049</v>
      </c>
      <c r="M67" s="44">
        <v>1</v>
      </c>
      <c r="N67" s="45"/>
      <c r="O67" s="45"/>
      <c r="P67" s="45"/>
      <c r="Q67" s="46">
        <f>IF($I67="","",IFERROR(INDEX(_玩家曲线!$H$2:$H$286,MATCH($I67,_玩家曲线!$A$2:$A$286,0)),""))</f>
        <v>1284852.8287467</v>
      </c>
      <c r="R67" s="46">
        <f>IF($I67="","",IFERROR(INDEX(_玩家曲线!$I$2:$I$286,MATCH($I67,_玩家曲线!$A$2:$A$286,0)),""))</f>
        <v>1840489.9100475</v>
      </c>
      <c r="S67" s="46">
        <f>SUMIF(_爬塔队伍!$A$2:$A$501,VALUE(SUBSTITUTE(SUBSTITUTE(D67,"第",""),"层","")),_爬塔队伍!$C$2:$C$501)</f>
        <v>6159373</v>
      </c>
      <c r="T67" s="46">
        <f>SUMIF(_爬塔队伍!$A$2:$A$501,VALUE(SUBSTITUTE(SUBSTITUTE(D67,"第",""),"层","")),_爬塔队伍!$D$2:$D$501)</f>
        <v>108079</v>
      </c>
      <c r="U67" s="46">
        <f>SUMIF(_爬塔队伍!$A$2:$A$501,VALUE(SUBSTITUTE(SUBSTITUTE(D67,"第",""),"层","")),_爬塔队伍!$E$2:$E$501)/COUNTIF(_爬塔队伍!$A$2:$A$501,VALUE(SUBSTITUTE(SUBSTITUTE(D67,"第",""),"层","")))</f>
        <v>26840.6</v>
      </c>
      <c r="V67" s="47">
        <f t="shared" si="1"/>
        <v>0.527936334346959</v>
      </c>
      <c r="W67" s="48">
        <f>SUMIF(_爬塔队伍!$A$2:$A$501,VALUE(SUBSTITUTE(SUBSTITUTE(D67,"第",""),"层","")),_爬塔队伍!$F$2:$F$501)</f>
        <v>13215191.4314583</v>
      </c>
      <c r="X67" s="48">
        <f t="shared" si="2"/>
        <v>10.2853736519761</v>
      </c>
      <c r="Y67" s="48">
        <f t="shared" si="3"/>
        <v>17.0291167576264</v>
      </c>
      <c r="Z67" s="49" t="str">
        <f t="shared" si="4"/>
        <v/>
      </c>
      <c r="AA67" s="30" t="str">
        <f t="shared" si="5"/>
        <v>已计算</v>
      </c>
      <c r="AB67" s="30" t="str">
        <f t="shared" si="6"/>
        <v>有效</v>
      </c>
      <c r="AC67" s="30" t="str">
        <f t="shared" si="7"/>
        <v/>
      </c>
      <c r="AD67" s="31" t="s">
        <v>736</v>
      </c>
      <c r="AE67">
        <v>1240000</v>
      </c>
      <c r="AF67">
        <f>INDEX(_统一战力!$B$2:$B$501,J67)</f>
        <v>840000</v>
      </c>
    </row>
    <row r="68" ht="25" customHeight="1" spans="1:32">
      <c r="A68" s="30" t="s">
        <v>150</v>
      </c>
      <c r="B68" s="30" t="s">
        <v>59</v>
      </c>
      <c r="C68" s="31" t="s">
        <v>733</v>
      </c>
      <c r="D68" s="31" t="s">
        <v>862</v>
      </c>
      <c r="E68" s="31" t="s">
        <v>863</v>
      </c>
      <c r="F68" s="30" t="s">
        <v>154</v>
      </c>
      <c r="G68" s="40">
        <v>176</v>
      </c>
      <c r="H68" s="41"/>
      <c r="I68" s="42">
        <f t="shared" si="0"/>
        <v>176</v>
      </c>
      <c r="J68" s="43">
        <v>227</v>
      </c>
      <c r="K68" s="44">
        <v>1.15548735913503</v>
      </c>
      <c r="L68" s="44">
        <v>0.695378181108376</v>
      </c>
      <c r="M68" s="44">
        <v>1</v>
      </c>
      <c r="N68" s="45"/>
      <c r="O68" s="45"/>
      <c r="P68" s="45"/>
      <c r="Q68" s="46">
        <f>IF($I68="","",IFERROR(INDEX(_玩家曲线!$H$2:$H$286,MATCH($I68,_玩家曲线!$A$2:$A$286,0)),""))</f>
        <v>1320619.49238058</v>
      </c>
      <c r="R68" s="46">
        <f>IF($I68="","",IFERROR(INDEX(_玩家曲线!$I$2:$I$286,MATCH($I68,_玩家曲线!$A$2:$A$286,0)),""))</f>
        <v>1877665.20238618</v>
      </c>
      <c r="S68" s="46">
        <f>SUMIF(_爬塔队伍!$A$2:$A$501,VALUE(SUBSTITUTE(SUBSTITUTE(D68,"第",""),"层","")),_爬塔队伍!$C$2:$C$501)</f>
        <v>6070856</v>
      </c>
      <c r="T68" s="46">
        <f>SUMIF(_爬塔队伍!$A$2:$A$501,VALUE(SUBSTITUTE(SUBSTITUTE(D68,"第",""),"层","")),_爬塔队伍!$D$2:$D$501)</f>
        <v>114650</v>
      </c>
      <c r="U68" s="46">
        <f>SUMIF(_爬塔队伍!$A$2:$A$501,VALUE(SUBSTITUTE(SUBSTITUTE(D68,"第",""),"层","")),_爬塔队伍!$E$2:$E$501)/COUNTIF(_爬塔队伍!$A$2:$A$501,VALUE(SUBSTITUTE(SUBSTITUTE(D68,"第",""),"层","")))</f>
        <v>26010.8</v>
      </c>
      <c r="V68" s="47">
        <f t="shared" si="1"/>
        <v>0.520103657609956</v>
      </c>
      <c r="W68" s="48">
        <f>SUMIF(_爬塔队伍!$A$2:$A$501,VALUE(SUBSTITUTE(SUBSTITUTE(D68,"第",""),"层","")),_爬塔队伍!$F$2:$F$501)</f>
        <v>12849351.784625</v>
      </c>
      <c r="X68" s="48">
        <f t="shared" si="2"/>
        <v>9.72979110088891</v>
      </c>
      <c r="Y68" s="48">
        <f t="shared" si="3"/>
        <v>16.3773676614582</v>
      </c>
      <c r="Z68" s="49" t="str">
        <f t="shared" si="4"/>
        <v/>
      </c>
      <c r="AA68" s="30" t="str">
        <f t="shared" si="5"/>
        <v>已计算</v>
      </c>
      <c r="AB68" s="30" t="str">
        <f t="shared" si="6"/>
        <v>有效</v>
      </c>
      <c r="AC68" s="30" t="str">
        <f t="shared" si="7"/>
        <v/>
      </c>
      <c r="AD68" s="31" t="s">
        <v>736</v>
      </c>
      <c r="AE68">
        <v>1260000</v>
      </c>
      <c r="AF68">
        <f>INDEX(_统一战力!$B$2:$B$501,J68)</f>
        <v>862000</v>
      </c>
    </row>
    <row r="69" ht="25" customHeight="1" spans="1:32">
      <c r="A69" s="30" t="s">
        <v>150</v>
      </c>
      <c r="B69" s="30" t="s">
        <v>59</v>
      </c>
      <c r="C69" s="31" t="s">
        <v>733</v>
      </c>
      <c r="D69" s="31" t="s">
        <v>864</v>
      </c>
      <c r="E69" s="31" t="s">
        <v>865</v>
      </c>
      <c r="F69" s="30" t="s">
        <v>745</v>
      </c>
      <c r="G69" s="40">
        <v>178</v>
      </c>
      <c r="H69" s="41"/>
      <c r="I69" s="42">
        <f t="shared" ref="I69:I104" si="8">IF($H69="",$G69,$H69)</f>
        <v>178</v>
      </c>
      <c r="J69" s="43">
        <v>229</v>
      </c>
      <c r="K69" s="44">
        <v>1.14865451907588</v>
      </c>
      <c r="L69" s="44">
        <v>0.692854524567452</v>
      </c>
      <c r="M69" s="44">
        <v>1</v>
      </c>
      <c r="N69" s="45"/>
      <c r="O69" s="45"/>
      <c r="P69" s="45"/>
      <c r="Q69" s="46">
        <f>IF($I69="","",IFERROR(INDEX(_玩家曲线!$H$2:$H$286,MATCH($I69,_玩家曲线!$A$2:$A$286,0)),""))</f>
        <v>1343291.09127087</v>
      </c>
      <c r="R69" s="46">
        <f>IF($I69="","",IFERROR(INDEX(_玩家曲线!$I$2:$I$286,MATCH($I69,_玩家曲线!$A$2:$A$286,0)),""))</f>
        <v>1901092.48870919</v>
      </c>
      <c r="S69" s="46">
        <f>SUMIF(_爬塔队伍!$A$2:$A$501,VALUE(SUBSTITUTE(SUBSTITUTE(D69,"第",""),"层","")),_爬塔队伍!$C$2:$C$501)</f>
        <v>6707884</v>
      </c>
      <c r="T69" s="46">
        <f>SUMIF(_爬塔队伍!$A$2:$A$501,VALUE(SUBSTITUTE(SUBSTITUTE(D69,"第",""),"层","")),_爬塔队伍!$D$2:$D$501)</f>
        <v>107827</v>
      </c>
      <c r="U69" s="46">
        <f>SUMIF(_爬塔队伍!$A$2:$A$501,VALUE(SUBSTITUTE(SUBSTITUTE(D69,"第",""),"层","")),_爬塔队伍!$E$2:$E$501)/COUNTIF(_爬塔队伍!$A$2:$A$501,VALUE(SUBSTITUTE(SUBSTITUTE(D69,"第",""),"层","")))</f>
        <v>28586.2</v>
      </c>
      <c r="V69" s="47">
        <f t="shared" ref="V69:V104" si="9">IF($U69="","",MIN(0.75,$U69/($U69+24000)))</f>
        <v>0.543606497522164</v>
      </c>
      <c r="W69" s="48">
        <f>SUMIF(_爬塔队伍!$A$2:$A$501,VALUE(SUBSTITUTE(SUBSTITUTE(D69,"第",""),"层","")),_爬塔队伍!$F$2:$F$501)</f>
        <v>14825429.8892917</v>
      </c>
      <c r="X69" s="48">
        <f t="shared" ref="X69:X104" si="10">IF(OR($W69="",$Q69="",$Q69=0),"",$W69/$Q69)</f>
        <v>11.0366472208682</v>
      </c>
      <c r="Y69" s="48">
        <f t="shared" ref="Y69:Y104" si="11">IF(OR($R69="",$T69="",$T69=0),"",$R69/($T69*IF($O69="",1,$O69)))</f>
        <v>17.6309503993359</v>
      </c>
      <c r="Z69" s="49" t="str">
        <f t="shared" ref="Z69:Z104" si="12">IF(OR($X69="",$P69="",$P69=0),"",$X69/$P69)</f>
        <v/>
      </c>
      <c r="AA69" s="30" t="str">
        <f t="shared" ref="AA69:AA104" si="13">IF($J69="","待填怪物等级",IF(OR($I69="",$Q69=""),"待填对照关卡",IF($P69="","已计算",IF(AND($Y69&lt;&gt;"",$Y69&lt;$X69),"生存不成立",IF($Z69&lt;0.5,"碾压",IF($Z69&lt;0.8,"偏简单",IF($Z69&lt;=1.2,"适中",IF($Z69&lt;=1.5,"偏难","过难"))))))))</f>
        <v>已计算</v>
      </c>
      <c r="AB69" s="30" t="str">
        <f t="shared" ref="AB69:AB104" si="14">IF($J69="","待填",IF(AND(ISNUMBER($J69),$J69&gt;=1,$J69&lt;=500,MOD($J69,1)=0),"有效","超范围"))</f>
        <v>有效</v>
      </c>
      <c r="AC69" s="30" t="str">
        <f t="shared" ref="AC69:AC104" si="15">IF(OR($J69="",ROW()=5,$B69&lt;&gt;$B68,$J68=""),"",IF($J69&lt;$J68,"下降",""))</f>
        <v/>
      </c>
      <c r="AD69" s="31" t="s">
        <v>736</v>
      </c>
      <c r="AE69">
        <v>1280000</v>
      </c>
      <c r="AF69">
        <f>INDEX(_统一战力!$B$2:$B$501,J69)</f>
        <v>878000</v>
      </c>
    </row>
    <row r="70" ht="25" customHeight="1" spans="1:32">
      <c r="A70" s="30" t="s">
        <v>150</v>
      </c>
      <c r="B70" s="30" t="s">
        <v>59</v>
      </c>
      <c r="C70" s="31" t="s">
        <v>733</v>
      </c>
      <c r="D70" s="31" t="s">
        <v>866</v>
      </c>
      <c r="E70" s="31" t="s">
        <v>867</v>
      </c>
      <c r="F70" s="30" t="s">
        <v>154</v>
      </c>
      <c r="G70" s="40">
        <v>181</v>
      </c>
      <c r="H70" s="41"/>
      <c r="I70" s="42">
        <f t="shared" si="8"/>
        <v>181</v>
      </c>
      <c r="J70" s="43">
        <v>230</v>
      </c>
      <c r="K70" s="44">
        <v>1.15595647386983</v>
      </c>
      <c r="L70" s="44">
        <v>0.697843258119827</v>
      </c>
      <c r="M70" s="44">
        <v>1</v>
      </c>
      <c r="N70" s="45"/>
      <c r="O70" s="45"/>
      <c r="P70" s="45"/>
      <c r="Q70" s="46">
        <f>IF($I70="","",IFERROR(INDEX(_玩家曲线!$H$2:$H$286,MATCH($I70,_玩家曲线!$A$2:$A$286,0)),""))</f>
        <v>1377894.31762429</v>
      </c>
      <c r="R70" s="46">
        <f>IF($I70="","",IFERROR(INDEX(_玩家曲线!$I$2:$I$286,MATCH($I70,_玩家曲线!$A$2:$A$286,0)),""))</f>
        <v>1936600.79811508</v>
      </c>
      <c r="S70" s="46">
        <f>SUMIF(_爬塔队伍!$A$2:$A$501,VALUE(SUBSTITUTE(SUBSTITUTE(D70,"第",""),"层","")),_爬塔队伍!$C$2:$C$501)</f>
        <v>6279930</v>
      </c>
      <c r="T70" s="46">
        <f>SUMIF(_爬塔队伍!$A$2:$A$501,VALUE(SUBSTITUTE(SUBSTITUTE(D70,"第",""),"层","")),_爬塔队伍!$D$2:$D$501)</f>
        <v>117918</v>
      </c>
      <c r="U70" s="46">
        <f>SUMIF(_爬塔队伍!$A$2:$A$501,VALUE(SUBSTITUTE(SUBSTITUTE(D70,"第",""),"层","")),_爬塔队伍!$E$2:$E$501)/COUNTIF(_爬塔队伍!$A$2:$A$501,VALUE(SUBSTITUTE(SUBSTITUTE(D70,"第",""),"层","")))</f>
        <v>26444.4</v>
      </c>
      <c r="V70" s="47">
        <f t="shared" si="9"/>
        <v>0.524228655708067</v>
      </c>
      <c r="W70" s="48">
        <f>SUMIF(_爬塔队伍!$A$2:$A$501,VALUE(SUBSTITUTE(SUBSTITUTE(D70,"第",""),"层","")),_爬塔队伍!$F$2:$F$501)</f>
        <v>13408765.1318333</v>
      </c>
      <c r="X70" s="48">
        <f t="shared" si="10"/>
        <v>9.73134511139591</v>
      </c>
      <c r="Y70" s="48">
        <f t="shared" si="11"/>
        <v>16.423283961016</v>
      </c>
      <c r="Z70" s="49" t="str">
        <f t="shared" si="12"/>
        <v/>
      </c>
      <c r="AA70" s="30" t="str">
        <f t="shared" si="13"/>
        <v>已计算</v>
      </c>
      <c r="AB70" s="30" t="str">
        <f t="shared" si="14"/>
        <v>有效</v>
      </c>
      <c r="AC70" s="30" t="str">
        <f t="shared" si="15"/>
        <v/>
      </c>
      <c r="AD70" s="31" t="s">
        <v>736</v>
      </c>
      <c r="AE70">
        <v>1290000</v>
      </c>
      <c r="AF70">
        <f>INDEX(_统一战力!$B$2:$B$501,J70)</f>
        <v>885000</v>
      </c>
    </row>
    <row r="71" ht="25" customHeight="1" spans="1:32">
      <c r="A71" s="30" t="s">
        <v>150</v>
      </c>
      <c r="B71" s="30" t="s">
        <v>59</v>
      </c>
      <c r="C71" s="31" t="s">
        <v>733</v>
      </c>
      <c r="D71" s="31" t="s">
        <v>868</v>
      </c>
      <c r="E71" s="31" t="s">
        <v>869</v>
      </c>
      <c r="F71" s="30" t="s">
        <v>154</v>
      </c>
      <c r="G71" s="40">
        <v>184</v>
      </c>
      <c r="H71" s="41"/>
      <c r="I71" s="42">
        <f t="shared" si="8"/>
        <v>184</v>
      </c>
      <c r="J71" s="43">
        <v>232</v>
      </c>
      <c r="K71" s="44">
        <v>1.14949497330677</v>
      </c>
      <c r="L71" s="44">
        <v>0.69706434169526</v>
      </c>
      <c r="M71" s="44">
        <v>1</v>
      </c>
      <c r="N71" s="45"/>
      <c r="O71" s="45"/>
      <c r="P71" s="45"/>
      <c r="Q71" s="46">
        <f>IF($I71="","",IFERROR(INDEX(_玩家曲线!$H$2:$H$286,MATCH($I71,_玩家曲线!$A$2:$A$286,0)),""))</f>
        <v>1413223.5244238</v>
      </c>
      <c r="R71" s="46">
        <f>IF($I71="","",IFERROR(INDEX(_玩家曲线!$I$2:$I$286,MATCH($I71,_玩家曲线!$A$2:$A$286,0)),""))</f>
        <v>1972553.08707659</v>
      </c>
      <c r="S71" s="46">
        <f>SUMIF(_爬塔队伍!$A$2:$A$501,VALUE(SUBSTITUTE(SUBSTITUTE(D71,"第",""),"层","")),_爬塔队伍!$C$2:$C$501)</f>
        <v>6384632</v>
      </c>
      <c r="T71" s="46">
        <f>SUMIF(_爬塔队伍!$A$2:$A$501,VALUE(SUBSTITUTE(SUBSTITUTE(D71,"第",""),"层","")),_爬塔队伍!$D$2:$D$501)</f>
        <v>119705</v>
      </c>
      <c r="U71" s="46">
        <f>SUMIF(_爬塔队伍!$A$2:$A$501,VALUE(SUBSTITUTE(SUBSTITUTE(D71,"第",""),"层","")),_爬塔队伍!$E$2:$E$501)/COUNTIF(_爬塔队伍!$A$2:$A$501,VALUE(SUBSTITUTE(SUBSTITUTE(D71,"第",""),"层","")))</f>
        <v>26735.2</v>
      </c>
      <c r="V71" s="47">
        <f t="shared" si="9"/>
        <v>0.526955644207572</v>
      </c>
      <c r="W71" s="48">
        <f>SUMIF(_爬塔队伍!$A$2:$A$501,VALUE(SUBSTITUTE(SUBSTITUTE(D71,"第",""),"层","")),_爬塔队伍!$F$2:$F$501)</f>
        <v>13712014.8598333</v>
      </c>
      <c r="X71" s="48">
        <f t="shared" si="10"/>
        <v>9.70265115380386</v>
      </c>
      <c r="Y71" s="48">
        <f t="shared" si="11"/>
        <v>16.4784519199414</v>
      </c>
      <c r="Z71" s="49" t="str">
        <f t="shared" si="12"/>
        <v/>
      </c>
      <c r="AA71" s="30" t="str">
        <f t="shared" si="13"/>
        <v>已计算</v>
      </c>
      <c r="AB71" s="30" t="str">
        <f t="shared" si="14"/>
        <v>有效</v>
      </c>
      <c r="AC71" s="30" t="str">
        <f t="shared" si="15"/>
        <v/>
      </c>
      <c r="AD71" s="31" t="s">
        <v>736</v>
      </c>
      <c r="AE71">
        <v>1310000</v>
      </c>
      <c r="AF71">
        <f>INDEX(_统一战力!$B$2:$B$501,J71)</f>
        <v>901000</v>
      </c>
    </row>
    <row r="72" ht="25" customHeight="1" spans="1:32">
      <c r="A72" s="30" t="s">
        <v>150</v>
      </c>
      <c r="B72" s="30" t="s">
        <v>59</v>
      </c>
      <c r="C72" s="31" t="s">
        <v>733</v>
      </c>
      <c r="D72" s="31" t="s">
        <v>870</v>
      </c>
      <c r="E72" s="31" t="s">
        <v>871</v>
      </c>
      <c r="F72" s="30" t="s">
        <v>154</v>
      </c>
      <c r="G72" s="40">
        <v>187</v>
      </c>
      <c r="H72" s="41"/>
      <c r="I72" s="42">
        <f t="shared" si="8"/>
        <v>187</v>
      </c>
      <c r="J72" s="43">
        <v>234</v>
      </c>
      <c r="K72" s="44">
        <v>1.14787796748917</v>
      </c>
      <c r="L72" s="44">
        <v>0.697471382218971</v>
      </c>
      <c r="M72" s="44">
        <v>1</v>
      </c>
      <c r="N72" s="45"/>
      <c r="O72" s="45"/>
      <c r="P72" s="45"/>
      <c r="Q72" s="46">
        <f>IF($I72="","",IFERROR(INDEX(_玩家曲线!$H$2:$H$286,MATCH($I72,_玩家曲线!$A$2:$A$286,0)),""))</f>
        <v>1449291.22560258</v>
      </c>
      <c r="R72" s="46">
        <f>IF($I72="","",IFERROR(INDEX(_玩家曲线!$I$2:$I$286,MATCH($I72,_玩家曲线!$A$2:$A$286,0)),""))</f>
        <v>2008952.88340971</v>
      </c>
      <c r="S72" s="46">
        <f>SUMIF(_爬塔队伍!$A$2:$A$501,VALUE(SUBSTITUTE(SUBSTITUTE(D72,"第",""),"层","")),_爬塔队伍!$C$2:$C$501)</f>
        <v>6800957</v>
      </c>
      <c r="T72" s="46">
        <f>SUMIF(_爬塔队伍!$A$2:$A$501,VALUE(SUBSTITUTE(SUBSTITUTE(D72,"第",""),"层","")),_爬塔队伍!$D$2:$D$501)</f>
        <v>117384</v>
      </c>
      <c r="U72" s="46">
        <f>SUMIF(_爬塔队伍!$A$2:$A$501,VALUE(SUBSTITUTE(SUBSTITUTE(D72,"第",""),"层","")),_爬塔队伍!$E$2:$E$501)/COUNTIF(_爬塔队伍!$A$2:$A$501,VALUE(SUBSTITUTE(SUBSTITUTE(D72,"第",""),"层","")))</f>
        <v>28201.2</v>
      </c>
      <c r="V72" s="47">
        <f t="shared" si="9"/>
        <v>0.540240454242431</v>
      </c>
      <c r="W72" s="48">
        <f>SUMIF(_爬塔队伍!$A$2:$A$501,VALUE(SUBSTITUTE(SUBSTITUTE(D72,"第",""),"层","")),_爬塔队伍!$F$2:$F$501)</f>
        <v>14986664.2685833</v>
      </c>
      <c r="X72" s="48">
        <f t="shared" si="10"/>
        <v>10.3406851596388</v>
      </c>
      <c r="Y72" s="48">
        <f t="shared" si="11"/>
        <v>17.114367234118</v>
      </c>
      <c r="Z72" s="49" t="str">
        <f t="shared" si="12"/>
        <v/>
      </c>
      <c r="AA72" s="30" t="str">
        <f t="shared" si="13"/>
        <v>已计算</v>
      </c>
      <c r="AB72" s="30" t="str">
        <f t="shared" si="14"/>
        <v>有效</v>
      </c>
      <c r="AC72" s="30" t="str">
        <f t="shared" si="15"/>
        <v/>
      </c>
      <c r="AD72" s="31" t="s">
        <v>736</v>
      </c>
      <c r="AE72">
        <v>1320000</v>
      </c>
      <c r="AF72">
        <f>INDEX(_统一战力!$B$2:$B$501,J72)</f>
        <v>917000</v>
      </c>
    </row>
    <row r="73" ht="25" customHeight="1" spans="1:32">
      <c r="A73" s="30" t="s">
        <v>150</v>
      </c>
      <c r="B73" s="30" t="s">
        <v>59</v>
      </c>
      <c r="C73" s="31" t="s">
        <v>733</v>
      </c>
      <c r="D73" s="31" t="s">
        <v>872</v>
      </c>
      <c r="E73" s="31" t="s">
        <v>873</v>
      </c>
      <c r="F73" s="30" t="s">
        <v>154</v>
      </c>
      <c r="G73" s="40">
        <v>190</v>
      </c>
      <c r="H73" s="41"/>
      <c r="I73" s="42">
        <f t="shared" si="8"/>
        <v>190</v>
      </c>
      <c r="J73" s="43">
        <v>236</v>
      </c>
      <c r="K73" s="44">
        <v>1.14266975016477</v>
      </c>
      <c r="L73" s="44">
        <v>0.697193122902009</v>
      </c>
      <c r="M73" s="44">
        <v>1</v>
      </c>
      <c r="N73" s="45"/>
      <c r="O73" s="45"/>
      <c r="P73" s="45"/>
      <c r="Q73" s="46">
        <f>IF($I73="","",IFERROR(INDEX(_玩家曲线!$H$2:$H$286,MATCH($I73,_玩家曲线!$A$2:$A$286,0)),""))</f>
        <v>1485358.61627873</v>
      </c>
      <c r="R73" s="46">
        <f>IF($I73="","",IFERROR(INDEX(_玩家曲线!$I$2:$I$286,MATCH($I73,_玩家曲线!$A$2:$A$286,0)),""))</f>
        <v>2045070.07669524</v>
      </c>
      <c r="S73" s="46">
        <f>SUMIF(_爬塔队伍!$A$2:$A$501,VALUE(SUBSTITUTE(SUBSTITUTE(D73,"第",""),"层","")),_爬塔队伍!$C$2:$C$501)</f>
        <v>6919973</v>
      </c>
      <c r="T73" s="46">
        <f>SUMIF(_爬塔队伍!$A$2:$A$501,VALUE(SUBSTITUTE(SUBSTITUTE(D73,"第",""),"层","")),_爬塔队伍!$D$2:$D$501)</f>
        <v>119237</v>
      </c>
      <c r="U73" s="46">
        <f>SUMIF(_爬塔队伍!$A$2:$A$501,VALUE(SUBSTITUTE(SUBSTITUTE(D73,"第",""),"层","")),_爬塔队伍!$E$2:$E$501)/COUNTIF(_爬塔队伍!$A$2:$A$501,VALUE(SUBSTITUTE(SUBSTITUTE(D73,"第",""),"层","")))</f>
        <v>28507.2</v>
      </c>
      <c r="V73" s="47">
        <f t="shared" si="9"/>
        <v>0.542919828137855</v>
      </c>
      <c r="W73" s="48">
        <f>SUMIF(_爬塔队伍!$A$2:$A$501,VALUE(SUBSTITUTE(SUBSTITUTE(D73,"第",""),"层","")),_爬塔队伍!$F$2:$F$501)</f>
        <v>15339297.3666667</v>
      </c>
      <c r="X73" s="48">
        <f t="shared" si="10"/>
        <v>10.3269992839145</v>
      </c>
      <c r="Y73" s="48">
        <f t="shared" si="11"/>
        <v>17.1513043492812</v>
      </c>
      <c r="Z73" s="49" t="str">
        <f t="shared" si="12"/>
        <v/>
      </c>
      <c r="AA73" s="30" t="str">
        <f t="shared" si="13"/>
        <v>已计算</v>
      </c>
      <c r="AB73" s="30" t="str">
        <f t="shared" si="14"/>
        <v>有效</v>
      </c>
      <c r="AC73" s="30" t="str">
        <f t="shared" si="15"/>
        <v/>
      </c>
      <c r="AD73" s="31" t="s">
        <v>736</v>
      </c>
      <c r="AE73">
        <v>1320000</v>
      </c>
      <c r="AF73">
        <f>INDEX(_统一战力!$B$2:$B$501,J73)</f>
        <v>937000</v>
      </c>
    </row>
    <row r="74" ht="25" customHeight="1" spans="1:32">
      <c r="A74" s="30" t="s">
        <v>150</v>
      </c>
      <c r="B74" s="30" t="s">
        <v>59</v>
      </c>
      <c r="C74" s="31" t="s">
        <v>733</v>
      </c>
      <c r="D74" s="31" t="s">
        <v>874</v>
      </c>
      <c r="E74" s="31" t="s">
        <v>875</v>
      </c>
      <c r="F74" s="30" t="s">
        <v>164</v>
      </c>
      <c r="G74" s="40">
        <v>192</v>
      </c>
      <c r="H74" s="41"/>
      <c r="I74" s="42">
        <f t="shared" si="8"/>
        <v>192</v>
      </c>
      <c r="J74" s="43">
        <v>238</v>
      </c>
      <c r="K74" s="44">
        <v>1.1462474158732</v>
      </c>
      <c r="L74" s="44">
        <v>0.699492820149818</v>
      </c>
      <c r="M74" s="44">
        <v>1</v>
      </c>
      <c r="N74" s="45"/>
      <c r="O74" s="45"/>
      <c r="P74" s="45"/>
      <c r="Q74" s="46">
        <f>IF($I74="","",IFERROR(INDEX(_玩家曲线!$H$2:$H$286,MATCH($I74,_玩家曲线!$A$2:$A$286,0)),""))</f>
        <v>1507516.52441406</v>
      </c>
      <c r="R74" s="46">
        <f>IF($I74="","",IFERROR(INDEX(_玩家曲线!$I$2:$I$286,MATCH($I74,_玩家曲线!$A$2:$A$286,0)),""))</f>
        <v>2067160.09543407</v>
      </c>
      <c r="S74" s="46">
        <f>SUMIF(_爬塔队伍!$A$2:$A$501,VALUE(SUBSTITUTE(SUBSTITUTE(D74,"第",""),"层","")),_爬塔队伍!$C$2:$C$501)</f>
        <v>7094456</v>
      </c>
      <c r="T74" s="46">
        <f>SUMIF(_爬塔队伍!$A$2:$A$501,VALUE(SUBSTITUTE(SUBSTITUTE(D74,"第",""),"层","")),_爬塔队伍!$D$2:$D$501)</f>
        <v>121564</v>
      </c>
      <c r="U74" s="46">
        <f>SUMIF(_爬塔队伍!$A$2:$A$501,VALUE(SUBSTITUTE(SUBSTITUTE(D74,"第",""),"层","")),_爬塔队伍!$E$2:$E$501)/COUNTIF(_爬塔队伍!$A$2:$A$501,VALUE(SUBSTITUTE(SUBSTITUTE(D74,"第",""),"层","")))</f>
        <v>28813.4</v>
      </c>
      <c r="V74" s="47">
        <f t="shared" si="9"/>
        <v>0.545569874312201</v>
      </c>
      <c r="W74" s="48">
        <f>SUMIF(_爬塔队伍!$A$2:$A$501,VALUE(SUBSTITUTE(SUBSTITUTE(D74,"第",""),"层","")),_爬塔队伍!$F$2:$F$501)</f>
        <v>15818789.5321667</v>
      </c>
      <c r="X74" s="48">
        <f t="shared" si="10"/>
        <v>10.4932777027536</v>
      </c>
      <c r="Y74" s="48">
        <f t="shared" si="11"/>
        <v>17.0047061254489</v>
      </c>
      <c r="Z74" s="49" t="str">
        <f t="shared" si="12"/>
        <v/>
      </c>
      <c r="AA74" s="30" t="str">
        <f t="shared" si="13"/>
        <v>已计算</v>
      </c>
      <c r="AB74" s="30" t="str">
        <f t="shared" si="14"/>
        <v>有效</v>
      </c>
      <c r="AC74" s="30" t="str">
        <f t="shared" si="15"/>
        <v/>
      </c>
      <c r="AD74" s="31" t="s">
        <v>736</v>
      </c>
      <c r="AE74">
        <v>1330000</v>
      </c>
      <c r="AF74">
        <f>INDEX(_统一战力!$B$2:$B$501,J74)</f>
        <v>951000</v>
      </c>
    </row>
    <row r="75" ht="25" customHeight="1" spans="1:32">
      <c r="A75" s="30" t="s">
        <v>150</v>
      </c>
      <c r="B75" s="30" t="s">
        <v>59</v>
      </c>
      <c r="C75" s="31" t="s">
        <v>733</v>
      </c>
      <c r="D75" s="31" t="s">
        <v>876</v>
      </c>
      <c r="E75" s="31" t="s">
        <v>877</v>
      </c>
      <c r="F75" s="30" t="s">
        <v>154</v>
      </c>
      <c r="G75" s="40">
        <v>195</v>
      </c>
      <c r="H75" s="41"/>
      <c r="I75" s="42">
        <f t="shared" si="8"/>
        <v>195</v>
      </c>
      <c r="J75" s="43">
        <v>240</v>
      </c>
      <c r="K75" s="44">
        <v>1.14324732140584</v>
      </c>
      <c r="L75" s="44">
        <v>0.70012828879628</v>
      </c>
      <c r="M75" s="44">
        <v>1</v>
      </c>
      <c r="N75" s="45"/>
      <c r="O75" s="45"/>
      <c r="P75" s="45"/>
      <c r="Q75" s="46">
        <f>IF($I75="","",IFERROR(INDEX(_玩家曲线!$H$2:$H$286,MATCH($I75,_玩家曲线!$A$2:$A$286,0)),""))</f>
        <v>1541262.7954477</v>
      </c>
      <c r="R75" s="46">
        <f>IF($I75="","",IFERROR(INDEX(_玩家曲线!$I$2:$I$286,MATCH($I75,_玩家曲线!$A$2:$A$286,0)),""))</f>
        <v>2100599.36629256</v>
      </c>
      <c r="S75" s="46">
        <f>SUMIF(_爬塔队伍!$A$2:$A$501,VALUE(SUBSTITUTE(SUBSTITUTE(D75,"第",""),"层","")),_爬塔队伍!$C$2:$C$501)</f>
        <v>6929519</v>
      </c>
      <c r="T75" s="46">
        <f>SUMIF(_爬塔队伍!$A$2:$A$501,VALUE(SUBSTITUTE(SUBSTITUTE(D75,"第",""),"层","")),_爬塔队伍!$D$2:$D$501)</f>
        <v>128207</v>
      </c>
      <c r="U75" s="46">
        <f>SUMIF(_爬塔队伍!$A$2:$A$501,VALUE(SUBSTITUTE(SUBSTITUTE(D75,"第",""),"层","")),_爬塔队伍!$E$2:$E$501)/COUNTIF(_爬塔队伍!$A$2:$A$501,VALUE(SUBSTITUTE(SUBSTITUTE(D75,"第",""),"层","")))</f>
        <v>27908.2</v>
      </c>
      <c r="V75" s="47">
        <f t="shared" si="9"/>
        <v>0.53764530459542</v>
      </c>
      <c r="W75" s="48">
        <f>SUMIF(_爬塔队伍!$A$2:$A$501,VALUE(SUBSTITUTE(SUBSTITUTE(D75,"第",""),"层","")),_爬塔队伍!$F$2:$F$501)</f>
        <v>15231170.284625</v>
      </c>
      <c r="X75" s="48">
        <f t="shared" si="10"/>
        <v>9.88226688505818</v>
      </c>
      <c r="Y75" s="48">
        <f t="shared" si="11"/>
        <v>16.3844358443186</v>
      </c>
      <c r="Z75" s="49" t="str">
        <f t="shared" si="12"/>
        <v/>
      </c>
      <c r="AA75" s="30" t="str">
        <f t="shared" si="13"/>
        <v>已计算</v>
      </c>
      <c r="AB75" s="30" t="str">
        <f t="shared" si="14"/>
        <v>有效</v>
      </c>
      <c r="AC75" s="30" t="str">
        <f t="shared" si="15"/>
        <v/>
      </c>
      <c r="AD75" s="31" t="s">
        <v>736</v>
      </c>
      <c r="AE75">
        <v>1400000</v>
      </c>
      <c r="AF75">
        <f>INDEX(_统一战力!$B$2:$B$501,J75)</f>
        <v>972000</v>
      </c>
    </row>
    <row r="76" ht="25" customHeight="1" spans="1:32">
      <c r="A76" s="30" t="s">
        <v>150</v>
      </c>
      <c r="B76" s="30" t="s">
        <v>59</v>
      </c>
      <c r="C76" s="31" t="s">
        <v>733</v>
      </c>
      <c r="D76" s="31" t="s">
        <v>878</v>
      </c>
      <c r="E76" s="31" t="s">
        <v>879</v>
      </c>
      <c r="F76" s="30" t="s">
        <v>154</v>
      </c>
      <c r="G76" s="40">
        <v>198</v>
      </c>
      <c r="H76" s="41"/>
      <c r="I76" s="42">
        <f t="shared" si="8"/>
        <v>198</v>
      </c>
      <c r="J76" s="43">
        <v>241</v>
      </c>
      <c r="K76" s="44">
        <v>1.13993752989515</v>
      </c>
      <c r="L76" s="44">
        <v>0.700309463287124</v>
      </c>
      <c r="M76" s="44">
        <v>1</v>
      </c>
      <c r="N76" s="45"/>
      <c r="O76" s="45"/>
      <c r="P76" s="45"/>
      <c r="Q76" s="46">
        <f>IF($I76="","",IFERROR(INDEX(_玩家曲线!$H$2:$H$286,MATCH($I76,_玩家曲线!$A$2:$A$286,0)),""))</f>
        <v>1575628.58867343</v>
      </c>
      <c r="R76" s="46">
        <f>IF($I76="","",IFERROR(INDEX(_玩家曲线!$I$2:$I$286,MATCH($I76,_玩家曲线!$A$2:$A$286,0)),""))</f>
        <v>2134406.03349888</v>
      </c>
      <c r="S76" s="46">
        <f>SUMIF(_爬塔队伍!$A$2:$A$501,VALUE(SUBSTITUTE(SUBSTITUTE(D76,"第",""),"层","")),_爬塔队伍!$C$2:$C$501)</f>
        <v>6984364</v>
      </c>
      <c r="T76" s="46">
        <f>SUMIF(_爬塔队伍!$A$2:$A$501,VALUE(SUBSTITUTE(SUBSTITUTE(D76,"第",""),"层","")),_爬塔队伍!$D$2:$D$501)</f>
        <v>129261</v>
      </c>
      <c r="U76" s="46">
        <f>SUMIF(_爬塔队伍!$A$2:$A$501,VALUE(SUBSTITUTE(SUBSTITUTE(D76,"第",""),"层","")),_爬塔队伍!$E$2:$E$501)/COUNTIF(_爬塔队伍!$A$2:$A$501,VALUE(SUBSTITUTE(SUBSTITUTE(D76,"第",""),"层","")))</f>
        <v>28055.4</v>
      </c>
      <c r="V76" s="47">
        <f t="shared" si="9"/>
        <v>0.538952731128759</v>
      </c>
      <c r="W76" s="48">
        <f>SUMIF(_爬塔队伍!$A$2:$A$501,VALUE(SUBSTITUTE(SUBSTITUTE(D76,"第",""),"层","")),_爬塔队伍!$F$2:$F$501)</f>
        <v>15395853.7245</v>
      </c>
      <c r="X76" s="48">
        <f t="shared" si="10"/>
        <v>9.77124547953413</v>
      </c>
      <c r="Y76" s="48">
        <f t="shared" si="11"/>
        <v>16.512374447814</v>
      </c>
      <c r="Z76" s="49" t="str">
        <f t="shared" si="12"/>
        <v/>
      </c>
      <c r="AA76" s="30" t="str">
        <f t="shared" si="13"/>
        <v>已计算</v>
      </c>
      <c r="AB76" s="30" t="str">
        <f t="shared" si="14"/>
        <v>有效</v>
      </c>
      <c r="AC76" s="30" t="str">
        <f t="shared" si="15"/>
        <v/>
      </c>
      <c r="AD76" s="31" t="s">
        <v>736</v>
      </c>
      <c r="AE76">
        <v>1410000</v>
      </c>
      <c r="AF76">
        <f>INDEX(_统一战力!$B$2:$B$501,J76)</f>
        <v>979000</v>
      </c>
    </row>
    <row r="77" ht="25" customHeight="1" spans="1:32">
      <c r="A77" s="30" t="s">
        <v>150</v>
      </c>
      <c r="B77" s="30" t="s">
        <v>59</v>
      </c>
      <c r="C77" s="31" t="s">
        <v>733</v>
      </c>
      <c r="D77" s="31" t="s">
        <v>880</v>
      </c>
      <c r="E77" s="31" t="s">
        <v>881</v>
      </c>
      <c r="F77" s="30" t="s">
        <v>154</v>
      </c>
      <c r="G77" s="40">
        <v>201</v>
      </c>
      <c r="H77" s="41"/>
      <c r="I77" s="42">
        <f t="shared" si="8"/>
        <v>201</v>
      </c>
      <c r="J77" s="43">
        <v>243</v>
      </c>
      <c r="K77" s="44">
        <v>1.14964544677452</v>
      </c>
      <c r="L77" s="44">
        <v>0.705293928317151</v>
      </c>
      <c r="M77" s="44">
        <v>1</v>
      </c>
      <c r="N77" s="45"/>
      <c r="O77" s="45"/>
      <c r="P77" s="45"/>
      <c r="Q77" s="46">
        <f>IF($I77="","",IFERROR(INDEX(_玩家曲线!$H$2:$H$286,MATCH($I77,_玩家曲线!$A$2:$A$286,0)),""))</f>
        <v>1610623.26580153</v>
      </c>
      <c r="R77" s="46">
        <f>IF($I77="","",IFERROR(INDEX(_玩家曲线!$I$2:$I$286,MATCH($I77,_玩家曲线!$A$2:$A$286,0)),""))</f>
        <v>2168582.69940516</v>
      </c>
      <c r="S77" s="46">
        <f>SUMIF(_爬塔队伍!$A$2:$A$501,VALUE(SUBSTITUTE(SUBSTITUTE(D77,"第",""),"层","")),_爬塔队伍!$C$2:$C$501)</f>
        <v>7196782</v>
      </c>
      <c r="T77" s="46">
        <f>SUMIF(_爬塔队伍!$A$2:$A$501,VALUE(SUBSTITUTE(SUBSTITUTE(D77,"第",""),"层","")),_爬塔队伍!$D$2:$D$501)</f>
        <v>132257</v>
      </c>
      <c r="U77" s="46">
        <f>SUMIF(_爬塔队伍!$A$2:$A$501,VALUE(SUBSTITUTE(SUBSTITUTE(D77,"第",""),"层","")),_爬塔队伍!$E$2:$E$501)/COUNTIF(_爬塔队伍!$A$2:$A$501,VALUE(SUBSTITUTE(SUBSTITUTE(D77,"第",""),"层","")))</f>
        <v>28352.2</v>
      </c>
      <c r="V77" s="47">
        <f t="shared" si="9"/>
        <v>0.541566543526347</v>
      </c>
      <c r="W77" s="48">
        <f>SUMIF(_爬塔队伍!$A$2:$A$501,VALUE(SUBSTITUTE(SUBSTITUTE(D77,"第",""),"层","")),_爬塔队伍!$F$2:$F$501)</f>
        <v>15955787.55725</v>
      </c>
      <c r="X77" s="48">
        <f t="shared" si="10"/>
        <v>9.90659199829053</v>
      </c>
      <c r="Y77" s="48">
        <f t="shared" si="11"/>
        <v>16.3967328716451</v>
      </c>
      <c r="Z77" s="49" t="str">
        <f t="shared" si="12"/>
        <v/>
      </c>
      <c r="AA77" s="30" t="str">
        <f t="shared" si="13"/>
        <v>已计算</v>
      </c>
      <c r="AB77" s="30" t="str">
        <f t="shared" si="14"/>
        <v>有效</v>
      </c>
      <c r="AC77" s="30" t="str">
        <f t="shared" si="15"/>
        <v/>
      </c>
      <c r="AD77" s="31" t="s">
        <v>736</v>
      </c>
      <c r="AE77">
        <v>1440000</v>
      </c>
      <c r="AF77">
        <f>INDEX(_统一战力!$B$2:$B$501,J77)</f>
        <v>993000</v>
      </c>
    </row>
    <row r="78" ht="25" customHeight="1" spans="1:32">
      <c r="A78" s="30" t="s">
        <v>150</v>
      </c>
      <c r="B78" s="30" t="s">
        <v>59</v>
      </c>
      <c r="C78" s="31" t="s">
        <v>733</v>
      </c>
      <c r="D78" s="31" t="s">
        <v>882</v>
      </c>
      <c r="E78" s="31" t="s">
        <v>883</v>
      </c>
      <c r="F78" s="30" t="s">
        <v>154</v>
      </c>
      <c r="G78" s="40">
        <v>204</v>
      </c>
      <c r="H78" s="41"/>
      <c r="I78" s="42">
        <f t="shared" si="8"/>
        <v>204</v>
      </c>
      <c r="J78" s="43">
        <v>245</v>
      </c>
      <c r="K78" s="44">
        <v>1.14764130074927</v>
      </c>
      <c r="L78" s="44">
        <v>0.706038369536886</v>
      </c>
      <c r="M78" s="44">
        <v>1</v>
      </c>
      <c r="N78" s="45"/>
      <c r="O78" s="45"/>
      <c r="P78" s="45"/>
      <c r="Q78" s="46">
        <f>IF($I78="","",IFERROR(INDEX(_玩家曲线!$H$2:$H$286,MATCH($I78,_玩家曲线!$A$2:$A$286,0)),""))</f>
        <v>1646256.29979071</v>
      </c>
      <c r="R78" s="46">
        <f>IF($I78="","",IFERROR(INDEX(_玩家曲线!$I$2:$I$286,MATCH($I78,_玩家曲线!$A$2:$A$286,0)),""))</f>
        <v>2203131.97638233</v>
      </c>
      <c r="S78" s="46">
        <f>SUMIF(_爬塔队伍!$A$2:$A$501,VALUE(SUBSTITUTE(SUBSTITUTE(D78,"第",""),"层","")),_爬塔队伍!$C$2:$C$501)</f>
        <v>7339364</v>
      </c>
      <c r="T78" s="46">
        <f>SUMIF(_爬塔队伍!$A$2:$A$501,VALUE(SUBSTITUTE(SUBSTITUTE(D78,"第",""),"层","")),_爬塔队伍!$D$2:$D$501)</f>
        <v>134494</v>
      </c>
      <c r="U78" s="46">
        <f>SUMIF(_爬塔队伍!$A$2:$A$501,VALUE(SUBSTITUTE(SUBSTITUTE(D78,"第",""),"层","")),_爬塔队伍!$E$2:$E$501)/COUNTIF(_爬塔队伍!$A$2:$A$501,VALUE(SUBSTITUTE(SUBSTITUTE(D78,"第",""),"层","")))</f>
        <v>28650</v>
      </c>
      <c r="V78" s="47">
        <f t="shared" si="9"/>
        <v>0.544159544159544</v>
      </c>
      <c r="W78" s="48">
        <f>SUMIF(_爬塔队伍!$A$2:$A$501,VALUE(SUBSTITUTE(SUBSTITUTE(D78,"第",""),"层","")),_爬塔队伍!$F$2:$F$501)</f>
        <v>16365731.5205417</v>
      </c>
      <c r="X78" s="48">
        <f t="shared" si="10"/>
        <v>9.94118080071873</v>
      </c>
      <c r="Y78" s="48">
        <f t="shared" si="11"/>
        <v>16.3808941393841</v>
      </c>
      <c r="Z78" s="49" t="str">
        <f t="shared" si="12"/>
        <v/>
      </c>
      <c r="AA78" s="30" t="str">
        <f t="shared" si="13"/>
        <v>已计算</v>
      </c>
      <c r="AB78" s="30" t="str">
        <f t="shared" si="14"/>
        <v>有效</v>
      </c>
      <c r="AC78" s="30" t="str">
        <f t="shared" si="15"/>
        <v/>
      </c>
      <c r="AD78" s="31" t="s">
        <v>736</v>
      </c>
      <c r="AE78">
        <v>1460000</v>
      </c>
      <c r="AF78">
        <f>INDEX(_统一战力!$B$2:$B$501,J78)</f>
        <v>1010000</v>
      </c>
    </row>
    <row r="79" ht="25" customHeight="1" spans="1:32">
      <c r="A79" s="30" t="s">
        <v>150</v>
      </c>
      <c r="B79" s="30" t="s">
        <v>59</v>
      </c>
      <c r="C79" s="31" t="s">
        <v>733</v>
      </c>
      <c r="D79" s="31" t="s">
        <v>884</v>
      </c>
      <c r="E79" s="31" t="s">
        <v>885</v>
      </c>
      <c r="F79" s="30" t="s">
        <v>745</v>
      </c>
      <c r="G79" s="40">
        <v>206</v>
      </c>
      <c r="H79" s="41"/>
      <c r="I79" s="42">
        <f t="shared" si="8"/>
        <v>206</v>
      </c>
      <c r="J79" s="43">
        <v>247</v>
      </c>
      <c r="K79" s="44">
        <v>1.14097617353198</v>
      </c>
      <c r="L79" s="44">
        <v>0.704144894316975</v>
      </c>
      <c r="M79" s="44">
        <v>1</v>
      </c>
      <c r="N79" s="45"/>
      <c r="O79" s="45"/>
      <c r="P79" s="45"/>
      <c r="Q79" s="46">
        <f>IF($I79="","",IFERROR(INDEX(_玩家曲线!$H$2:$H$286,MATCH($I79,_玩家曲线!$A$2:$A$286,0)),""))</f>
        <v>1668578.05099321</v>
      </c>
      <c r="R79" s="46">
        <f>IF($I79="","",IFERROR(INDEX(_玩家曲线!$I$2:$I$286,MATCH($I79,_玩家曲线!$A$2:$A$286,0)),""))</f>
        <v>2224682.36762306</v>
      </c>
      <c r="S79" s="46">
        <f>SUMIF(_爬塔队伍!$A$2:$A$501,VALUE(SUBSTITUTE(SUBSTITUTE(D79,"第",""),"层","")),_爬塔队伍!$C$2:$C$501)</f>
        <v>7777550</v>
      </c>
      <c r="T79" s="46">
        <f>SUMIF(_爬塔队伍!$A$2:$A$501,VALUE(SUBSTITUTE(SUBSTITUTE(D79,"第",""),"层","")),_爬塔队伍!$D$2:$D$501)</f>
        <v>131387</v>
      </c>
      <c r="U79" s="46">
        <f>SUMIF(_爬塔队伍!$A$2:$A$501,VALUE(SUBSTITUTE(SUBSTITUTE(D79,"第",""),"层","")),_爬塔队伍!$E$2:$E$501)/COUNTIF(_爬塔队伍!$A$2:$A$501,VALUE(SUBSTITUTE(SUBSTITUTE(D79,"第",""),"层","")))</f>
        <v>30206.4</v>
      </c>
      <c r="V79" s="47">
        <f t="shared" si="9"/>
        <v>0.557247852652085</v>
      </c>
      <c r="W79" s="48">
        <f>SUMIF(_爬塔队伍!$A$2:$A$501,VALUE(SUBSTITUTE(SUBSTITUTE(D79,"第",""),"层","")),_爬塔队伍!$F$2:$F$501)</f>
        <v>17804297.5519167</v>
      </c>
      <c r="X79" s="48">
        <f t="shared" si="10"/>
        <v>10.670341457098</v>
      </c>
      <c r="Y79" s="48">
        <f t="shared" si="11"/>
        <v>16.9322868139394</v>
      </c>
      <c r="Z79" s="49" t="str">
        <f t="shared" si="12"/>
        <v/>
      </c>
      <c r="AA79" s="30" t="str">
        <f t="shared" si="13"/>
        <v>已计算</v>
      </c>
      <c r="AB79" s="30" t="str">
        <f t="shared" si="14"/>
        <v>有效</v>
      </c>
      <c r="AC79" s="30" t="str">
        <f t="shared" si="15"/>
        <v/>
      </c>
      <c r="AD79" s="31" t="s">
        <v>736</v>
      </c>
      <c r="AE79">
        <v>1480000</v>
      </c>
      <c r="AF79">
        <f>INDEX(_统一战力!$B$2:$B$501,J79)</f>
        <v>1030000</v>
      </c>
    </row>
    <row r="80" ht="25" customHeight="1" spans="1:32">
      <c r="A80" s="30" t="s">
        <v>150</v>
      </c>
      <c r="B80" s="30" t="s">
        <v>59</v>
      </c>
      <c r="C80" s="31" t="s">
        <v>733</v>
      </c>
      <c r="D80" s="31" t="s">
        <v>886</v>
      </c>
      <c r="E80" s="31" t="s">
        <v>887</v>
      </c>
      <c r="F80" s="30" t="s">
        <v>154</v>
      </c>
      <c r="G80" s="40">
        <v>209</v>
      </c>
      <c r="H80" s="41"/>
      <c r="I80" s="42">
        <f t="shared" si="8"/>
        <v>209</v>
      </c>
      <c r="J80" s="43">
        <v>248</v>
      </c>
      <c r="K80" s="44">
        <v>1.15095555929854</v>
      </c>
      <c r="L80" s="44">
        <v>0.709458960168145</v>
      </c>
      <c r="M80" s="44">
        <v>1</v>
      </c>
      <c r="N80" s="45"/>
      <c r="O80" s="45"/>
      <c r="P80" s="45"/>
      <c r="Q80" s="46">
        <f>IF($I80="","",IFERROR(INDEX(_玩家曲线!$H$2:$H$286,MATCH($I80,_玩家曲线!$A$2:$A$286,0)),""))</f>
        <v>1701720.97311869</v>
      </c>
      <c r="R80" s="46">
        <f>IF($I80="","",IFERROR(INDEX(_玩家曲线!$I$2:$I$286,MATCH($I80,_玩家曲线!$A$2:$A$286,0)),""))</f>
        <v>2256520.78005422</v>
      </c>
      <c r="S80" s="46">
        <f>SUMIF(_爬塔队伍!$A$2:$A$501,VALUE(SUBSTITUTE(SUBSTITUTE(D80,"第",""),"层","")),_爬塔队伍!$C$2:$C$501)</f>
        <v>7598676</v>
      </c>
      <c r="T80" s="46">
        <f>SUMIF(_爬塔队伍!$A$2:$A$501,VALUE(SUBSTITUTE(SUBSTITUTE(D80,"第",""),"层","")),_爬塔队伍!$D$2:$D$501)</f>
        <v>138358</v>
      </c>
      <c r="U80" s="46">
        <f>SUMIF(_爬塔队伍!$A$2:$A$501,VALUE(SUBSTITUTE(SUBSTITUTE(D80,"第",""),"层","")),_爬塔队伍!$E$2:$E$501)/COUNTIF(_爬塔队伍!$A$2:$A$501,VALUE(SUBSTITUTE(SUBSTITUTE(D80,"第",""),"层","")))</f>
        <v>29097.4</v>
      </c>
      <c r="V80" s="47">
        <f t="shared" si="9"/>
        <v>0.548000467066184</v>
      </c>
      <c r="W80" s="48">
        <f>SUMIF(_爬塔队伍!$A$2:$A$501,VALUE(SUBSTITUTE(SUBSTITUTE(D80,"第",""),"层","")),_爬塔队伍!$F$2:$F$501)</f>
        <v>17089890.1750417</v>
      </c>
      <c r="X80" s="48">
        <f t="shared" si="10"/>
        <v>10.0427099653838</v>
      </c>
      <c r="Y80" s="48">
        <f t="shared" si="11"/>
        <v>16.3092902474322</v>
      </c>
      <c r="Z80" s="49" t="str">
        <f t="shared" si="12"/>
        <v/>
      </c>
      <c r="AA80" s="30" t="str">
        <f t="shared" si="13"/>
        <v>已计算</v>
      </c>
      <c r="AB80" s="30" t="str">
        <f t="shared" si="14"/>
        <v>有效</v>
      </c>
      <c r="AC80" s="30" t="str">
        <f t="shared" si="15"/>
        <v/>
      </c>
      <c r="AD80" s="31" t="s">
        <v>736</v>
      </c>
      <c r="AE80">
        <v>1500000</v>
      </c>
      <c r="AF80">
        <f>INDEX(_统一战力!$B$2:$B$501,J80)</f>
        <v>1040000</v>
      </c>
    </row>
    <row r="81" ht="25" customHeight="1" spans="1:32">
      <c r="A81" s="30" t="s">
        <v>150</v>
      </c>
      <c r="B81" s="30" t="s">
        <v>59</v>
      </c>
      <c r="C81" s="31" t="s">
        <v>733</v>
      </c>
      <c r="D81" s="31" t="s">
        <v>888</v>
      </c>
      <c r="E81" s="31" t="s">
        <v>889</v>
      </c>
      <c r="F81" s="30" t="s">
        <v>154</v>
      </c>
      <c r="G81" s="40">
        <v>212</v>
      </c>
      <c r="H81" s="41"/>
      <c r="I81" s="42">
        <f t="shared" si="8"/>
        <v>212</v>
      </c>
      <c r="J81" s="43">
        <v>250</v>
      </c>
      <c r="K81" s="44">
        <v>1.14598555798442</v>
      </c>
      <c r="L81" s="44">
        <v>0.709106209627691</v>
      </c>
      <c r="M81" s="44">
        <v>1</v>
      </c>
      <c r="N81" s="45"/>
      <c r="O81" s="45"/>
      <c r="P81" s="45"/>
      <c r="Q81" s="46">
        <f>IF($I81="","",IFERROR(INDEX(_玩家曲线!$H$2:$H$286,MATCH($I81,_玩家曲线!$A$2:$A$286,0)),""))</f>
        <v>1735406.79547979</v>
      </c>
      <c r="R81" s="46">
        <f>IF($I81="","",IFERROR(INDEX(_玩家曲线!$I$2:$I$286,MATCH($I81,_玩家曲线!$A$2:$A$286,0)),""))</f>
        <v>2288672.45723772</v>
      </c>
      <c r="S81" s="46">
        <f>SUMIF(_爬塔队伍!$A$2:$A$501,VALUE(SUBSTITUTE(SUBSTITUTE(D81,"第",""),"层","")),_爬塔队伍!$C$2:$C$501)</f>
        <v>7727068</v>
      </c>
      <c r="T81" s="46">
        <f>SUMIF(_爬塔队伍!$A$2:$A$501,VALUE(SUBSTITUTE(SUBSTITUTE(D81,"第",""),"层","")),_爬塔队伍!$D$2:$D$501)</f>
        <v>140463</v>
      </c>
      <c r="U81" s="46">
        <f>SUMIF(_爬塔队伍!$A$2:$A$501,VALUE(SUBSTITUTE(SUBSTITUTE(D81,"第",""),"层","")),_爬塔队伍!$E$2:$E$501)/COUNTIF(_爬塔队伍!$A$2:$A$501,VALUE(SUBSTITUTE(SUBSTITUTE(D81,"第",""),"层","")))</f>
        <v>29397.6</v>
      </c>
      <c r="V81" s="47">
        <f t="shared" si="9"/>
        <v>0.550541597375163</v>
      </c>
      <c r="W81" s="48">
        <f>SUMIF(_爬塔队伍!$A$2:$A$501,VALUE(SUBSTITUTE(SUBSTITUTE(D81,"第",""),"层","")),_爬塔队伍!$F$2:$F$501)</f>
        <v>17478235.8285417</v>
      </c>
      <c r="X81" s="48">
        <f t="shared" si="10"/>
        <v>10.0715497219829</v>
      </c>
      <c r="Y81" s="48">
        <f t="shared" si="11"/>
        <v>16.2937745686602</v>
      </c>
      <c r="Z81" s="49" t="str">
        <f t="shared" si="12"/>
        <v/>
      </c>
      <c r="AA81" s="30" t="str">
        <f t="shared" si="13"/>
        <v>已计算</v>
      </c>
      <c r="AB81" s="30" t="str">
        <f t="shared" si="14"/>
        <v>有效</v>
      </c>
      <c r="AC81" s="30" t="str">
        <f t="shared" si="15"/>
        <v/>
      </c>
      <c r="AD81" s="31" t="s">
        <v>736</v>
      </c>
      <c r="AE81">
        <v>1520000</v>
      </c>
      <c r="AF81">
        <f>INDEX(_统一战力!$B$2:$B$501,J81)</f>
        <v>1050000</v>
      </c>
    </row>
    <row r="82" ht="25" customHeight="1" spans="1:32">
      <c r="A82" s="30" t="s">
        <v>150</v>
      </c>
      <c r="B82" s="30" t="s">
        <v>59</v>
      </c>
      <c r="C82" s="31" t="s">
        <v>733</v>
      </c>
      <c r="D82" s="31" t="s">
        <v>890</v>
      </c>
      <c r="E82" s="31" t="s">
        <v>891</v>
      </c>
      <c r="F82" s="30" t="s">
        <v>154</v>
      </c>
      <c r="G82" s="40">
        <v>215</v>
      </c>
      <c r="H82" s="41"/>
      <c r="I82" s="42">
        <f t="shared" si="8"/>
        <v>215</v>
      </c>
      <c r="J82" s="43">
        <v>252</v>
      </c>
      <c r="K82" s="44">
        <v>1.1437216795143</v>
      </c>
      <c r="L82" s="44">
        <v>0.709659582620248</v>
      </c>
      <c r="M82" s="44">
        <v>1</v>
      </c>
      <c r="N82" s="45"/>
      <c r="O82" s="45"/>
      <c r="P82" s="45"/>
      <c r="Q82" s="46">
        <f>IF($I82="","",IFERROR(INDEX(_玩家曲线!$H$2:$H$286,MATCH($I82,_玩家曲线!$A$2:$A$286,0)),""))</f>
        <v>1769642.84950686</v>
      </c>
      <c r="R82" s="46">
        <f>IF($I82="","",IFERROR(INDEX(_玩家曲线!$I$2:$I$286,MATCH($I82,_玩家曲线!$A$2:$A$286,0)),""))</f>
        <v>2321139.40966373</v>
      </c>
      <c r="S82" s="46">
        <f>SUMIF(_爬塔队伍!$A$2:$A$501,VALUE(SUBSTITUTE(SUBSTITUTE(D82,"第",""),"层","")),_爬塔队伍!$C$2:$C$501)</f>
        <v>7875239</v>
      </c>
      <c r="T82" s="46">
        <f>SUMIF(_爬塔队伍!$A$2:$A$501,VALUE(SUBSTITUTE(SUBSTITUTE(D82,"第",""),"层","")),_爬塔队伍!$D$2:$D$501)</f>
        <v>142772</v>
      </c>
      <c r="U82" s="46">
        <f>SUMIF(_爬塔队伍!$A$2:$A$501,VALUE(SUBSTITUTE(SUBSTITUTE(D82,"第",""),"层","")),_爬塔队伍!$E$2:$E$501)/COUNTIF(_爬塔队伍!$A$2:$A$501,VALUE(SUBSTITUTE(SUBSTITUTE(D82,"第",""),"层","")))</f>
        <v>29698.8</v>
      </c>
      <c r="V82" s="47">
        <f t="shared" si="9"/>
        <v>0.553062638271246</v>
      </c>
      <c r="W82" s="48">
        <f>SUMIF(_爬塔队伍!$A$2:$A$501,VALUE(SUBSTITUTE(SUBSTITUTE(D82,"第",""),"层","")),_爬塔队伍!$F$2:$F$501)</f>
        <v>17915212.631375</v>
      </c>
      <c r="X82" s="48">
        <f t="shared" si="10"/>
        <v>10.123631803088</v>
      </c>
      <c r="Y82" s="48">
        <f t="shared" si="11"/>
        <v>16.2576654362461</v>
      </c>
      <c r="Z82" s="49" t="str">
        <f t="shared" si="12"/>
        <v/>
      </c>
      <c r="AA82" s="30" t="str">
        <f t="shared" si="13"/>
        <v>已计算</v>
      </c>
      <c r="AB82" s="30" t="str">
        <f t="shared" si="14"/>
        <v>有效</v>
      </c>
      <c r="AC82" s="30" t="str">
        <f t="shared" si="15"/>
        <v/>
      </c>
      <c r="AD82" s="31" t="s">
        <v>736</v>
      </c>
      <c r="AE82">
        <v>1550000</v>
      </c>
      <c r="AF82">
        <f>INDEX(_统一战力!$B$2:$B$501,J82)</f>
        <v>1070000</v>
      </c>
    </row>
    <row r="83" ht="25" customHeight="1" spans="1:32">
      <c r="A83" s="30" t="s">
        <v>150</v>
      </c>
      <c r="B83" s="30" t="s">
        <v>59</v>
      </c>
      <c r="C83" s="31" t="s">
        <v>733</v>
      </c>
      <c r="D83" s="31" t="s">
        <v>892</v>
      </c>
      <c r="E83" s="31" t="s">
        <v>893</v>
      </c>
      <c r="F83" s="30" t="s">
        <v>154</v>
      </c>
      <c r="G83" s="40">
        <v>218</v>
      </c>
      <c r="H83" s="41"/>
      <c r="I83" s="42">
        <f t="shared" si="8"/>
        <v>218</v>
      </c>
      <c r="J83" s="43">
        <v>253</v>
      </c>
      <c r="K83" s="44">
        <v>1.14195974820678</v>
      </c>
      <c r="L83" s="44">
        <v>0.710411255433773</v>
      </c>
      <c r="M83" s="44">
        <v>1</v>
      </c>
      <c r="N83" s="45"/>
      <c r="O83" s="45"/>
      <c r="P83" s="45"/>
      <c r="Q83" s="46">
        <f>IF($I83="","",IFERROR(INDEX(_玩家曲线!$H$2:$H$286,MATCH($I83,_玩家曲线!$A$2:$A$286,0)),""))</f>
        <v>1804436.54462739</v>
      </c>
      <c r="R83" s="46">
        <f>IF($I83="","",IFERROR(INDEX(_玩家曲线!$I$2:$I$286,MATCH($I83,_玩家曲线!$A$2:$A$286,0)),""))</f>
        <v>2353923.65493714</v>
      </c>
      <c r="S83" s="46">
        <f>SUMIF(_爬塔队伍!$A$2:$A$501,VALUE(SUBSTITUTE(SUBSTITUTE(D83,"第",""),"层","")),_爬塔队伍!$C$2:$C$501)</f>
        <v>7945684</v>
      </c>
      <c r="T83" s="46">
        <f>SUMIF(_爬塔队伍!$A$2:$A$501,VALUE(SUBSTITUTE(SUBSTITUTE(D83,"第",""),"层","")),_爬塔队伍!$D$2:$D$501)</f>
        <v>144032</v>
      </c>
      <c r="U83" s="46">
        <f>SUMIF(_爬塔队伍!$A$2:$A$501,VALUE(SUBSTITUTE(SUBSTITUTE(D83,"第",""),"层","")),_爬塔队伍!$E$2:$E$501)/COUNTIF(_爬塔队伍!$A$2:$A$501,VALUE(SUBSTITUTE(SUBSTITUTE(D83,"第",""),"层","")))</f>
        <v>29849.4</v>
      </c>
      <c r="V83" s="47">
        <f t="shared" si="9"/>
        <v>0.554312582870004</v>
      </c>
      <c r="W83" s="48">
        <f>SUMIF(_爬塔队伍!$A$2:$A$501,VALUE(SUBSTITUTE(SUBSTITUTE(D83,"第",""),"层","")),_爬塔队伍!$F$2:$F$501)</f>
        <v>18126825.772375</v>
      </c>
      <c r="X83" s="48">
        <f t="shared" si="10"/>
        <v>10.0456986566508</v>
      </c>
      <c r="Y83" s="48">
        <f t="shared" si="11"/>
        <v>16.3430602570064</v>
      </c>
      <c r="Z83" s="49" t="str">
        <f t="shared" si="12"/>
        <v/>
      </c>
      <c r="AA83" s="30" t="str">
        <f t="shared" si="13"/>
        <v>已计算</v>
      </c>
      <c r="AB83" s="30" t="str">
        <f t="shared" si="14"/>
        <v>有效</v>
      </c>
      <c r="AC83" s="30" t="str">
        <f t="shared" si="15"/>
        <v/>
      </c>
      <c r="AD83" s="31" t="s">
        <v>736</v>
      </c>
      <c r="AE83">
        <v>1560000</v>
      </c>
      <c r="AF83">
        <f>INDEX(_统一战力!$B$2:$B$501,J83)</f>
        <v>1080000</v>
      </c>
    </row>
    <row r="84" ht="25" customHeight="1" spans="1:32">
      <c r="A84" s="30" t="s">
        <v>150</v>
      </c>
      <c r="B84" s="30" t="s">
        <v>59</v>
      </c>
      <c r="C84" s="31" t="s">
        <v>733</v>
      </c>
      <c r="D84" s="31" t="s">
        <v>894</v>
      </c>
      <c r="E84" s="31" t="s">
        <v>895</v>
      </c>
      <c r="F84" s="30" t="s">
        <v>164</v>
      </c>
      <c r="G84" s="40">
        <v>221</v>
      </c>
      <c r="H84" s="41"/>
      <c r="I84" s="42">
        <f t="shared" si="8"/>
        <v>221</v>
      </c>
      <c r="J84" s="43">
        <v>255</v>
      </c>
      <c r="K84" s="44">
        <v>1.13937586492706</v>
      </c>
      <c r="L84" s="44">
        <v>0.71033240309006</v>
      </c>
      <c r="M84" s="44">
        <v>1</v>
      </c>
      <c r="N84" s="45"/>
      <c r="O84" s="45"/>
      <c r="P84" s="45"/>
      <c r="Q84" s="46">
        <f>IF($I84="","",IFERROR(INDEX(_玩家曲线!$H$2:$H$286,MATCH($I84,_玩家曲线!$A$2:$A$286,0)),""))</f>
        <v>1838313.57172641</v>
      </c>
      <c r="R84" s="46">
        <f>IF($I84="","",IFERROR(INDEX(_玩家曲线!$I$2:$I$286,MATCH($I84,_玩家曲线!$A$2:$A$286,0)),""))</f>
        <v>2385668.99803778</v>
      </c>
      <c r="S84" s="46">
        <f>SUMIF(_爬塔队伍!$A$2:$A$501,VALUE(SUBSTITUTE(SUBSTITUTE(D84,"第",""),"层","")),_爬塔队伍!$C$2:$C$501)</f>
        <v>8798289</v>
      </c>
      <c r="T84" s="46">
        <f>SUMIF(_爬塔队伍!$A$2:$A$501,VALUE(SUBSTITUTE(SUBSTITUTE(D84,"第",""),"层","")),_爬塔队伍!$D$2:$D$501)</f>
        <v>135808</v>
      </c>
      <c r="U84" s="46">
        <f>SUMIF(_爬塔队伍!$A$2:$A$501,VALUE(SUBSTITUTE(SUBSTITUTE(D84,"第",""),"层","")),_爬塔队伍!$E$2:$E$501)/COUNTIF(_爬塔队伍!$A$2:$A$501,VALUE(SUBSTITUTE(SUBSTITUTE(D84,"第",""),"层","")))</f>
        <v>32774</v>
      </c>
      <c r="V84" s="47">
        <f t="shared" si="9"/>
        <v>0.577271286152112</v>
      </c>
      <c r="W84" s="48">
        <f>SUMIF(_爬塔队伍!$A$2:$A$501,VALUE(SUBSTITUTE(SUBSTITUTE(D84,"第",""),"层","")),_爬塔队伍!$F$2:$F$501)</f>
        <v>21005328.402125</v>
      </c>
      <c r="X84" s="48">
        <f t="shared" si="10"/>
        <v>11.4264120796314</v>
      </c>
      <c r="Y84" s="48">
        <f t="shared" si="11"/>
        <v>17.5664835505845</v>
      </c>
      <c r="Z84" s="49" t="str">
        <f t="shared" si="12"/>
        <v/>
      </c>
      <c r="AA84" s="30" t="str">
        <f t="shared" si="13"/>
        <v>已计算</v>
      </c>
      <c r="AB84" s="30" t="str">
        <f t="shared" si="14"/>
        <v>有效</v>
      </c>
      <c r="AC84" s="30" t="str">
        <f t="shared" si="15"/>
        <v/>
      </c>
      <c r="AD84" s="31" t="s">
        <v>736</v>
      </c>
      <c r="AE84">
        <v>1580000</v>
      </c>
      <c r="AF84">
        <f>INDEX(_统一战力!$B$2:$B$501,J84)</f>
        <v>1100000</v>
      </c>
    </row>
    <row r="85" ht="25" customHeight="1" spans="1:32">
      <c r="A85" s="30" t="s">
        <v>150</v>
      </c>
      <c r="B85" s="30" t="s">
        <v>59</v>
      </c>
      <c r="C85" s="31" t="s">
        <v>733</v>
      </c>
      <c r="D85" s="31" t="s">
        <v>896</v>
      </c>
      <c r="E85" s="31" t="s">
        <v>897</v>
      </c>
      <c r="F85" s="30" t="s">
        <v>154</v>
      </c>
      <c r="G85" s="40">
        <v>224</v>
      </c>
      <c r="H85" s="41"/>
      <c r="I85" s="42">
        <f t="shared" si="8"/>
        <v>224</v>
      </c>
      <c r="J85" s="43">
        <v>256</v>
      </c>
      <c r="K85" s="44">
        <v>1.13516903460059</v>
      </c>
      <c r="L85" s="44">
        <v>0.71068884462461</v>
      </c>
      <c r="M85" s="44">
        <v>1</v>
      </c>
      <c r="N85" s="45"/>
      <c r="O85" s="45"/>
      <c r="P85" s="45"/>
      <c r="Q85" s="46">
        <f>IF($I85="","",IFERROR(INDEX(_玩家曲线!$H$2:$H$286,MATCH($I85,_玩家曲线!$A$2:$A$286,0)),""))</f>
        <v>1871297.81959147</v>
      </c>
      <c r="R85" s="46">
        <f>IF($I85="","",IFERROR(INDEX(_玩家曲线!$I$2:$I$286,MATCH($I85,_玩家曲线!$A$2:$A$286,0)),""))</f>
        <v>2416416.55904013</v>
      </c>
      <c r="S85" s="46">
        <f>SUMIF(_爬塔队伍!$A$2:$A$501,VALUE(SUBSTITUTE(SUBSTITUTE(D85,"第",""),"层","")),_爬塔队伍!$C$2:$C$501)</f>
        <v>8148557</v>
      </c>
      <c r="T85" s="46">
        <f>SUMIF(_爬塔队伍!$A$2:$A$501,VALUE(SUBSTITUTE(SUBSTITUTE(D85,"第",""),"层","")),_爬塔队伍!$D$2:$D$501)</f>
        <v>147458</v>
      </c>
      <c r="U85" s="46">
        <f>SUMIF(_爬塔队伍!$A$2:$A$501,VALUE(SUBSTITUTE(SUBSTITUTE(D85,"第",""),"层","")),_爬塔队伍!$E$2:$E$501)/COUNTIF(_爬塔队伍!$A$2:$A$501,VALUE(SUBSTITUTE(SUBSTITUTE(D85,"第",""),"层","")))</f>
        <v>30303.8</v>
      </c>
      <c r="V85" s="47">
        <f t="shared" si="9"/>
        <v>0.558041978646062</v>
      </c>
      <c r="W85" s="48">
        <f>SUMIF(_爬塔队伍!$A$2:$A$501,VALUE(SUBSTITUTE(SUBSTITUTE(D85,"第",""),"层","")),_爬塔队伍!$F$2:$F$501)</f>
        <v>18748604.8387917</v>
      </c>
      <c r="X85" s="48">
        <f t="shared" si="10"/>
        <v>10.0190384675833</v>
      </c>
      <c r="Y85" s="48">
        <f t="shared" si="11"/>
        <v>16.3871513179355</v>
      </c>
      <c r="Z85" s="49" t="str">
        <f t="shared" si="12"/>
        <v/>
      </c>
      <c r="AA85" s="30" t="str">
        <f t="shared" si="13"/>
        <v>已计算</v>
      </c>
      <c r="AB85" s="30" t="str">
        <f t="shared" si="14"/>
        <v>有效</v>
      </c>
      <c r="AC85" s="30" t="str">
        <f t="shared" si="15"/>
        <v/>
      </c>
      <c r="AD85" s="31" t="s">
        <v>736</v>
      </c>
      <c r="AE85">
        <v>1590000</v>
      </c>
      <c r="AF85">
        <f>INDEX(_统一战力!$B$2:$B$501,J85)</f>
        <v>1110000</v>
      </c>
    </row>
    <row r="86" ht="25" customHeight="1" spans="1:32">
      <c r="A86" s="30" t="s">
        <v>150</v>
      </c>
      <c r="B86" s="30" t="s">
        <v>59</v>
      </c>
      <c r="C86" s="31" t="s">
        <v>733</v>
      </c>
      <c r="D86" s="31" t="s">
        <v>898</v>
      </c>
      <c r="E86" s="31" t="s">
        <v>899</v>
      </c>
      <c r="F86" s="30" t="s">
        <v>154</v>
      </c>
      <c r="G86" s="40">
        <v>226</v>
      </c>
      <c r="H86" s="41"/>
      <c r="I86" s="42">
        <f t="shared" si="8"/>
        <v>226</v>
      </c>
      <c r="J86" s="43">
        <v>258</v>
      </c>
      <c r="K86" s="44">
        <v>1.14237690480097</v>
      </c>
      <c r="L86" s="44">
        <v>0.714261041697692</v>
      </c>
      <c r="M86" s="44">
        <v>1</v>
      </c>
      <c r="N86" s="45"/>
      <c r="O86" s="45"/>
      <c r="P86" s="45"/>
      <c r="Q86" s="46">
        <f>IF($I86="","",IFERROR(INDEX(_玩家曲线!$H$2:$H$286,MATCH($I86,_玩家曲线!$A$2:$A$286,0)),""))</f>
        <v>1893559.36803586</v>
      </c>
      <c r="R86" s="46">
        <f>IF($I86="","",IFERROR(INDEX(_玩家曲线!$I$2:$I$286,MATCH($I86,_玩家曲线!$A$2:$A$286,0)),""))</f>
        <v>2437067.78239048</v>
      </c>
      <c r="S86" s="46">
        <f>SUMIF(_爬塔队伍!$A$2:$A$501,VALUE(SUBSTITUTE(SUBSTITUTE(D86,"第",""),"层","")),_爬塔队伍!$C$2:$C$501)</f>
        <v>8371425</v>
      </c>
      <c r="T86" s="46">
        <f>SUMIF(_爬塔队伍!$A$2:$A$501,VALUE(SUBSTITUTE(SUBSTITUTE(D86,"第",""),"层","")),_爬塔队伍!$D$2:$D$501)</f>
        <v>150490</v>
      </c>
      <c r="U86" s="46">
        <f>SUMIF(_爬塔队伍!$A$2:$A$501,VALUE(SUBSTITUTE(SUBSTITUTE(D86,"第",""),"层","")),_爬塔队伍!$E$2:$E$501)/COUNTIF(_爬塔队伍!$A$2:$A$501,VALUE(SUBSTITUTE(SUBSTITUTE(D86,"第",""),"层","")))</f>
        <v>30608.4</v>
      </c>
      <c r="V86" s="47">
        <f t="shared" si="9"/>
        <v>0.560507174720373</v>
      </c>
      <c r="W86" s="48">
        <f>SUMIF(_爬塔队伍!$A$2:$A$501,VALUE(SUBSTITUTE(SUBSTITUTE(D86,"第",""),"层","")),_爬塔队伍!$F$2:$F$501)</f>
        <v>19370840.49375</v>
      </c>
      <c r="X86" s="48">
        <f t="shared" si="10"/>
        <v>10.2298564390103</v>
      </c>
      <c r="Y86" s="48">
        <f t="shared" si="11"/>
        <v>16.1942174389692</v>
      </c>
      <c r="Z86" s="49" t="str">
        <f t="shared" si="12"/>
        <v/>
      </c>
      <c r="AA86" s="30" t="str">
        <f t="shared" si="13"/>
        <v>已计算</v>
      </c>
      <c r="AB86" s="30" t="str">
        <f t="shared" si="14"/>
        <v>有效</v>
      </c>
      <c r="AC86" s="30" t="str">
        <f t="shared" si="15"/>
        <v/>
      </c>
      <c r="AD86" s="31" t="s">
        <v>736</v>
      </c>
      <c r="AE86">
        <v>1590000</v>
      </c>
      <c r="AF86">
        <f>INDEX(_统一战力!$B$2:$B$501,J86)</f>
        <v>1120000</v>
      </c>
    </row>
    <row r="87" ht="25" customHeight="1" spans="1:32">
      <c r="A87" s="30" t="s">
        <v>150</v>
      </c>
      <c r="B87" s="30" t="s">
        <v>59</v>
      </c>
      <c r="C87" s="31" t="s">
        <v>733</v>
      </c>
      <c r="D87" s="31" t="s">
        <v>900</v>
      </c>
      <c r="E87" s="31" t="s">
        <v>901</v>
      </c>
      <c r="F87" s="30" t="s">
        <v>154</v>
      </c>
      <c r="G87" s="40">
        <v>229</v>
      </c>
      <c r="H87" s="41"/>
      <c r="I87" s="42">
        <f t="shared" si="8"/>
        <v>229</v>
      </c>
      <c r="J87" s="43">
        <v>259</v>
      </c>
      <c r="K87" s="44">
        <v>1.14045558732606</v>
      </c>
      <c r="L87" s="44">
        <v>0.71487507616831</v>
      </c>
      <c r="M87" s="44">
        <v>1</v>
      </c>
      <c r="N87" s="45"/>
      <c r="O87" s="45"/>
      <c r="P87" s="45"/>
      <c r="Q87" s="46">
        <f>IF($I87="","",IFERROR(INDEX(_玩家曲线!$H$2:$H$286,MATCH($I87,_玩家曲线!$A$2:$A$286,0)),""))</f>
        <v>1927364.21561704</v>
      </c>
      <c r="R87" s="46">
        <f>IF($I87="","",IFERROR(INDEX(_玩家曲线!$I$2:$I$286,MATCH($I87,_玩家曲线!$A$2:$A$286,0)),""))</f>
        <v>2468275.0932094</v>
      </c>
      <c r="S87" s="46">
        <f>SUMIF(_爬塔队伍!$A$2:$A$501,VALUE(SUBSTITUTE(SUBSTITUTE(D87,"第",""),"层","")),_爬塔队伍!$C$2:$C$501)</f>
        <v>8443748</v>
      </c>
      <c r="T87" s="46">
        <f>SUMIF(_爬塔队伍!$A$2:$A$501,VALUE(SUBSTITUTE(SUBSTITUTE(D87,"第",""),"层","")),_爬塔队伍!$D$2:$D$501)</f>
        <v>151765</v>
      </c>
      <c r="U87" s="46">
        <f>SUMIF(_爬塔队伍!$A$2:$A$501,VALUE(SUBSTITUTE(SUBSTITUTE(D87,"第",""),"层","")),_爬塔队伍!$E$2:$E$501)/COUNTIF(_爬塔队伍!$A$2:$A$501,VALUE(SUBSTITUTE(SUBSTITUTE(D87,"第",""),"层","")))</f>
        <v>30761.4</v>
      </c>
      <c r="V87" s="47">
        <f t="shared" si="9"/>
        <v>0.561735090775619</v>
      </c>
      <c r="W87" s="48">
        <f>SUMIF(_爬塔队伍!$A$2:$A$501,VALUE(SUBSTITUTE(SUBSTITUTE(D87,"第",""),"层","")),_爬塔队伍!$F$2:$F$501)</f>
        <v>19593656.0110833</v>
      </c>
      <c r="X87" s="48">
        <f t="shared" si="10"/>
        <v>10.1660370428796</v>
      </c>
      <c r="Y87" s="48">
        <f t="shared" si="11"/>
        <v>16.2637966145646</v>
      </c>
      <c r="Z87" s="49" t="str">
        <f t="shared" si="12"/>
        <v/>
      </c>
      <c r="AA87" s="30" t="str">
        <f t="shared" si="13"/>
        <v>已计算</v>
      </c>
      <c r="AB87" s="30" t="str">
        <f t="shared" si="14"/>
        <v>有效</v>
      </c>
      <c r="AC87" s="30" t="str">
        <f t="shared" si="15"/>
        <v/>
      </c>
      <c r="AD87" s="31" t="s">
        <v>736</v>
      </c>
      <c r="AE87">
        <v>1590000</v>
      </c>
      <c r="AF87">
        <f>INDEX(_统一战力!$B$2:$B$501,J87)</f>
        <v>1130000</v>
      </c>
    </row>
    <row r="88" ht="25" customHeight="1" spans="1:32">
      <c r="A88" s="30" t="s">
        <v>150</v>
      </c>
      <c r="B88" s="30" t="s">
        <v>59</v>
      </c>
      <c r="C88" s="31" t="s">
        <v>733</v>
      </c>
      <c r="D88" s="31" t="s">
        <v>902</v>
      </c>
      <c r="E88" s="31" t="s">
        <v>903</v>
      </c>
      <c r="F88" s="30" t="s">
        <v>154</v>
      </c>
      <c r="G88" s="40">
        <v>232</v>
      </c>
      <c r="H88" s="41"/>
      <c r="I88" s="42">
        <f t="shared" si="8"/>
        <v>232</v>
      </c>
      <c r="J88" s="43">
        <v>260</v>
      </c>
      <c r="K88" s="44">
        <v>1.13893438601641</v>
      </c>
      <c r="L88" s="44">
        <v>0.715653212565403</v>
      </c>
      <c r="M88" s="44">
        <v>1</v>
      </c>
      <c r="N88" s="45"/>
      <c r="O88" s="45"/>
      <c r="P88" s="45"/>
      <c r="Q88" s="46">
        <f>IF($I88="","",IFERROR(INDEX(_玩家曲线!$H$2:$H$286,MATCH($I88,_玩家曲线!$A$2:$A$286,0)),""))</f>
        <v>1961669.48063103</v>
      </c>
      <c r="R88" s="46">
        <f>IF($I88="","",IFERROR(INDEX(_玩家曲线!$I$2:$I$286,MATCH($I88,_玩家曲线!$A$2:$A$286,0)),""))</f>
        <v>2499760.42145523</v>
      </c>
      <c r="S88" s="46">
        <f>SUMIF(_爬塔队伍!$A$2:$A$501,VALUE(SUBSTITUTE(SUBSTITUTE(D88,"第",""),"层","")),_爬塔队伍!$C$2:$C$501)</f>
        <v>8519453</v>
      </c>
      <c r="T88" s="46">
        <f>SUMIF(_爬塔队伍!$A$2:$A$501,VALUE(SUBSTITUTE(SUBSTITUTE(D88,"第",""),"层","")),_爬塔队伍!$D$2:$D$501)</f>
        <v>153096</v>
      </c>
      <c r="U88" s="46">
        <f>SUMIF(_爬塔队伍!$A$2:$A$501,VALUE(SUBSTITUTE(SUBSTITUTE(D88,"第",""),"层","")),_爬塔队伍!$E$2:$E$501)/COUNTIF(_爬塔队伍!$A$2:$A$501,VALUE(SUBSTITUTE(SUBSTITUTE(D88,"第",""),"层","")))</f>
        <v>30913.2</v>
      </c>
      <c r="V88" s="47">
        <f t="shared" si="9"/>
        <v>0.562946613928891</v>
      </c>
      <c r="W88" s="48">
        <f>SUMIF(_爬塔队伍!$A$2:$A$501,VALUE(SUBSTITUTE(SUBSTITUTE(D88,"第",""),"层","")),_爬塔队伍!$F$2:$F$501)</f>
        <v>19824844.2999583</v>
      </c>
      <c r="X88" s="48">
        <f t="shared" si="10"/>
        <v>10.1061083407288</v>
      </c>
      <c r="Y88" s="48">
        <f t="shared" si="11"/>
        <v>16.3280583519833</v>
      </c>
      <c r="Z88" s="49" t="str">
        <f t="shared" si="12"/>
        <v/>
      </c>
      <c r="AA88" s="30" t="str">
        <f t="shared" si="13"/>
        <v>已计算</v>
      </c>
      <c r="AB88" s="30" t="str">
        <f t="shared" si="14"/>
        <v>有效</v>
      </c>
      <c r="AC88" s="30" t="str">
        <f t="shared" si="15"/>
        <v/>
      </c>
      <c r="AD88" s="31" t="s">
        <v>736</v>
      </c>
      <c r="AE88">
        <v>1590000</v>
      </c>
      <c r="AF88">
        <f>INDEX(_统一战力!$B$2:$B$501,J88)</f>
        <v>1140000</v>
      </c>
    </row>
    <row r="89" ht="25" customHeight="1" spans="1:32">
      <c r="A89" s="30" t="s">
        <v>150</v>
      </c>
      <c r="B89" s="30" t="s">
        <v>59</v>
      </c>
      <c r="C89" s="31" t="s">
        <v>733</v>
      </c>
      <c r="D89" s="31" t="s">
        <v>904</v>
      </c>
      <c r="E89" s="31" t="s">
        <v>905</v>
      </c>
      <c r="F89" s="30" t="s">
        <v>745</v>
      </c>
      <c r="G89" s="40">
        <v>235</v>
      </c>
      <c r="H89" s="41"/>
      <c r="I89" s="42">
        <f t="shared" si="8"/>
        <v>235</v>
      </c>
      <c r="J89" s="43">
        <v>262</v>
      </c>
      <c r="K89" s="44">
        <v>1.13820387945508</v>
      </c>
      <c r="L89" s="44">
        <v>0.716472850179096</v>
      </c>
      <c r="M89" s="44">
        <v>1</v>
      </c>
      <c r="N89" s="45"/>
      <c r="O89" s="45"/>
      <c r="P89" s="45"/>
      <c r="Q89" s="46">
        <f>IF($I89="","",IFERROR(INDEX(_玩家曲线!$H$2:$H$286,MATCH($I89,_玩家曲线!$A$2:$A$286,0)),""))</f>
        <v>1996055.27130674</v>
      </c>
      <c r="R89" s="46">
        <f>IF($I89="","",IFERROR(INDEX(_玩家曲线!$I$2:$I$286,MATCH($I89,_玩家曲线!$A$2:$A$286,0)),""))</f>
        <v>2531144.1730032</v>
      </c>
      <c r="S89" s="46">
        <f>SUMIF(_爬塔队伍!$A$2:$A$501,VALUE(SUBSTITUTE(SUBSTITUTE(D89,"第",""),"层","")),_爬塔队伍!$C$2:$C$501)</f>
        <v>9067680</v>
      </c>
      <c r="T89" s="46">
        <f>SUMIF(_爬塔队伍!$A$2:$A$501,VALUE(SUBSTITUTE(SUBSTITUTE(D89,"第",""),"层","")),_爬塔队伍!$D$2:$D$501)</f>
        <v>150061</v>
      </c>
      <c r="U89" s="46">
        <f>SUMIF(_爬塔队伍!$A$2:$A$501,VALUE(SUBSTITUTE(SUBSTITUTE(D89,"第",""),"层","")),_爬塔队伍!$E$2:$E$501)/COUNTIF(_爬塔队伍!$A$2:$A$501,VALUE(SUBSTITUTE(SUBSTITUTE(D89,"第",""),"层","")))</f>
        <v>32577.6</v>
      </c>
      <c r="V89" s="47">
        <f t="shared" si="9"/>
        <v>0.575803851701027</v>
      </c>
      <c r="W89" s="48">
        <f>SUMIF(_爬塔队伍!$A$2:$A$501,VALUE(SUBSTITUTE(SUBSTITUTE(D89,"第",""),"层","")),_爬塔队伍!$F$2:$F$501)</f>
        <v>21675313.005</v>
      </c>
      <c r="X89" s="48">
        <f t="shared" si="10"/>
        <v>10.8590745539877</v>
      </c>
      <c r="Y89" s="48">
        <f t="shared" si="11"/>
        <v>16.8674350630957</v>
      </c>
      <c r="Z89" s="49" t="str">
        <f t="shared" si="12"/>
        <v/>
      </c>
      <c r="AA89" s="30" t="str">
        <f t="shared" si="13"/>
        <v>已计算</v>
      </c>
      <c r="AB89" s="30" t="str">
        <f t="shared" si="14"/>
        <v>有效</v>
      </c>
      <c r="AC89" s="30" t="str">
        <f t="shared" si="15"/>
        <v/>
      </c>
      <c r="AD89" s="31" t="s">
        <v>736</v>
      </c>
      <c r="AE89">
        <v>1590000</v>
      </c>
      <c r="AF89">
        <f>INDEX(_统一战力!$B$2:$B$501,J89)</f>
        <v>1160000</v>
      </c>
    </row>
    <row r="90" ht="25" customHeight="1" spans="1:32">
      <c r="A90" s="30" t="s">
        <v>150</v>
      </c>
      <c r="B90" s="30" t="s">
        <v>59</v>
      </c>
      <c r="C90" s="31" t="s">
        <v>733</v>
      </c>
      <c r="D90" s="31" t="s">
        <v>906</v>
      </c>
      <c r="E90" s="31" t="s">
        <v>907</v>
      </c>
      <c r="F90" s="30" t="s">
        <v>154</v>
      </c>
      <c r="G90" s="40">
        <v>238</v>
      </c>
      <c r="H90" s="41"/>
      <c r="I90" s="42">
        <f t="shared" si="8"/>
        <v>238</v>
      </c>
      <c r="J90" s="43">
        <v>263</v>
      </c>
      <c r="K90" s="44">
        <v>1.13539899541223</v>
      </c>
      <c r="L90" s="44">
        <v>0.71695098708435</v>
      </c>
      <c r="M90" s="44">
        <v>1</v>
      </c>
      <c r="N90" s="45"/>
      <c r="O90" s="45"/>
      <c r="P90" s="45"/>
      <c r="Q90" s="46">
        <f>IF($I90="","",IFERROR(INDEX(_玩家曲线!$H$2:$H$286,MATCH($I90,_玩家曲线!$A$2:$A$286,0)),""))</f>
        <v>2028989.08602258</v>
      </c>
      <c r="R90" s="46">
        <f>IF($I90="","",IFERROR(INDEX(_玩家曲线!$I$2:$I$286,MATCH($I90,_玩家曲线!$A$2:$A$286,0)),""))</f>
        <v>2561062.41485282</v>
      </c>
      <c r="S90" s="46">
        <f>SUMIF(_爬塔队伍!$A$2:$A$501,VALUE(SUBSTITUTE(SUBSTITUTE(D90,"第",""),"层","")),_爬塔队伍!$C$2:$C$501)</f>
        <v>8757181</v>
      </c>
      <c r="T90" s="46">
        <f>SUMIF(_爬塔队伍!$A$2:$A$501,VALUE(SUBSTITUTE(SUBSTITUTE(D90,"第",""),"层","")),_爬塔队伍!$D$2:$D$501)</f>
        <v>156904</v>
      </c>
      <c r="U90" s="46">
        <f>SUMIF(_爬塔队伍!$A$2:$A$501,VALUE(SUBSTITUTE(SUBSTITUTE(D90,"第",""),"层","")),_爬塔队伍!$E$2:$E$501)/COUNTIF(_爬塔队伍!$A$2:$A$501,VALUE(SUBSTITUTE(SUBSTITUTE(D90,"第",""),"层","")))</f>
        <v>31373.2</v>
      </c>
      <c r="V90" s="47">
        <f t="shared" si="9"/>
        <v>0.566577333439281</v>
      </c>
      <c r="W90" s="48">
        <f>SUMIF(_爬塔队伍!$A$2:$A$501,VALUE(SUBSTITUTE(SUBSTITUTE(D90,"第",""),"层","")),_爬塔队伍!$F$2:$F$501)</f>
        <v>20550962.105125</v>
      </c>
      <c r="X90" s="48">
        <f t="shared" si="10"/>
        <v>10.1286706008907</v>
      </c>
      <c r="Y90" s="48">
        <f t="shared" si="11"/>
        <v>16.322480082425</v>
      </c>
      <c r="Z90" s="49" t="str">
        <f t="shared" si="12"/>
        <v/>
      </c>
      <c r="AA90" s="30" t="str">
        <f t="shared" si="13"/>
        <v>已计算</v>
      </c>
      <c r="AB90" s="30" t="str">
        <f t="shared" si="14"/>
        <v>有效</v>
      </c>
      <c r="AC90" s="30" t="str">
        <f t="shared" si="15"/>
        <v/>
      </c>
      <c r="AD90" s="31" t="s">
        <v>736</v>
      </c>
      <c r="AE90">
        <v>1590000</v>
      </c>
      <c r="AF90">
        <f>INDEX(_统一战力!$B$2:$B$501,J90)</f>
        <v>1170000</v>
      </c>
    </row>
    <row r="91" ht="25" customHeight="1" spans="1:32">
      <c r="A91" s="30" t="s">
        <v>150</v>
      </c>
      <c r="B91" s="30" t="s">
        <v>59</v>
      </c>
      <c r="C91" s="31" t="s">
        <v>733</v>
      </c>
      <c r="D91" s="31" t="s">
        <v>908</v>
      </c>
      <c r="E91" s="31" t="s">
        <v>909</v>
      </c>
      <c r="F91" s="30" t="s">
        <v>154</v>
      </c>
      <c r="G91" s="40">
        <v>241</v>
      </c>
      <c r="H91" s="41"/>
      <c r="I91" s="42">
        <f t="shared" si="8"/>
        <v>241</v>
      </c>
      <c r="J91" s="43">
        <v>264</v>
      </c>
      <c r="K91" s="44">
        <v>1.13360094353639</v>
      </c>
      <c r="L91" s="44">
        <v>0.717577777705241</v>
      </c>
      <c r="M91" s="44">
        <v>1</v>
      </c>
      <c r="N91" s="45"/>
      <c r="O91" s="45"/>
      <c r="P91" s="45"/>
      <c r="Q91" s="46">
        <f>IF($I91="","",IFERROR(INDEX(_玩家曲线!$H$2:$H$286,MATCH($I91,_玩家曲线!$A$2:$A$286,0)),""))</f>
        <v>2062374.78108053</v>
      </c>
      <c r="R91" s="46">
        <f>IF($I91="","",IFERROR(INDEX(_玩家曲线!$I$2:$I$286,MATCH($I91,_玩家曲线!$A$2:$A$286,0)),""))</f>
        <v>2591228.397565</v>
      </c>
      <c r="S91" s="46">
        <f>SUMIF(_爬塔队伍!$A$2:$A$501,VALUE(SUBSTITUTE(SUBSTITUTE(D91,"第",""),"层","")),_爬塔队伍!$C$2:$C$501)</f>
        <v>8832586</v>
      </c>
      <c r="T91" s="46">
        <f>SUMIF(_爬塔队伍!$A$2:$A$501,VALUE(SUBSTITUTE(SUBSTITUTE(D91,"第",""),"层","")),_爬塔队伍!$D$2:$D$501)</f>
        <v>158233</v>
      </c>
      <c r="U91" s="46">
        <f>SUMIF(_爬塔队伍!$A$2:$A$501,VALUE(SUBSTITUTE(SUBSTITUTE(D91,"第",""),"层","")),_爬塔队伍!$E$2:$E$501)/COUNTIF(_爬塔队伍!$A$2:$A$501,VALUE(SUBSTITUTE(SUBSTITUTE(D91,"第",""),"层","")))</f>
        <v>31527.4</v>
      </c>
      <c r="V91" s="47">
        <f t="shared" si="9"/>
        <v>0.567780951386162</v>
      </c>
      <c r="W91" s="48">
        <f>SUMIF(_爬塔队伍!$A$2:$A$501,VALUE(SUBSTITUTE(SUBSTITUTE(D91,"第",""),"层","")),_爬塔队伍!$F$2:$F$501)</f>
        <v>20786387.0405</v>
      </c>
      <c r="X91" s="48">
        <f t="shared" si="10"/>
        <v>10.0788601718692</v>
      </c>
      <c r="Y91" s="48">
        <f t="shared" si="11"/>
        <v>16.3760302690652</v>
      </c>
      <c r="Z91" s="49" t="str">
        <f t="shared" si="12"/>
        <v/>
      </c>
      <c r="AA91" s="30" t="str">
        <f t="shared" si="13"/>
        <v>已计算</v>
      </c>
      <c r="AB91" s="30" t="str">
        <f t="shared" si="14"/>
        <v>有效</v>
      </c>
      <c r="AC91" s="30" t="str">
        <f t="shared" si="15"/>
        <v/>
      </c>
      <c r="AD91" s="31" t="s">
        <v>736</v>
      </c>
      <c r="AE91">
        <v>1590000</v>
      </c>
      <c r="AF91">
        <f>INDEX(_统一战力!$B$2:$B$501,J91)</f>
        <v>1180000</v>
      </c>
    </row>
    <row r="92" ht="25" customHeight="1" spans="1:32">
      <c r="A92" s="30" t="s">
        <v>150</v>
      </c>
      <c r="B92" s="30" t="s">
        <v>59</v>
      </c>
      <c r="C92" s="31" t="s">
        <v>733</v>
      </c>
      <c r="D92" s="31" t="s">
        <v>910</v>
      </c>
      <c r="E92" s="31" t="s">
        <v>911</v>
      </c>
      <c r="F92" s="30" t="s">
        <v>154</v>
      </c>
      <c r="G92" s="40">
        <v>244</v>
      </c>
      <c r="H92" s="41"/>
      <c r="I92" s="42">
        <f t="shared" si="8"/>
        <v>244</v>
      </c>
      <c r="J92" s="43">
        <v>265</v>
      </c>
      <c r="K92" s="44">
        <v>1.13213506165938</v>
      </c>
      <c r="L92" s="44">
        <v>0.71829746259604</v>
      </c>
      <c r="M92" s="44">
        <v>1</v>
      </c>
      <c r="N92" s="45"/>
      <c r="O92" s="45"/>
      <c r="P92" s="45"/>
      <c r="Q92" s="46">
        <f>IF($I92="","",IFERROR(INDEX(_玩家曲线!$H$2:$H$286,MATCH($I92,_玩家曲线!$A$2:$A$286,0)),""))</f>
        <v>2096217.47952773</v>
      </c>
      <c r="R92" s="46">
        <f>IF($I92="","",IFERROR(INDEX(_玩家曲线!$I$2:$I$286,MATCH($I92,_玩家曲线!$A$2:$A$286,0)),""))</f>
        <v>2621643.48204274</v>
      </c>
      <c r="S92" s="46">
        <f>SUMIF(_爬塔队伍!$A$2:$A$501,VALUE(SUBSTITUTE(SUBSTITUTE(D92,"第",""),"层","")),_爬塔队伍!$C$2:$C$501)</f>
        <v>8910999</v>
      </c>
      <c r="T92" s="46">
        <f>SUMIF(_爬塔队伍!$A$2:$A$501,VALUE(SUBSTITUTE(SUBSTITUTE(D92,"第",""),"层","")),_爬塔队伍!$D$2:$D$501)</f>
        <v>159595</v>
      </c>
      <c r="U92" s="46">
        <f>SUMIF(_爬塔队伍!$A$2:$A$501,VALUE(SUBSTITUTE(SUBSTITUTE(D92,"第",""),"层","")),_爬塔队伍!$E$2:$E$501)/COUNTIF(_爬塔队伍!$A$2:$A$501,VALUE(SUBSTITUTE(SUBSTITUTE(D92,"第",""),"层","")))</f>
        <v>31681.4</v>
      </c>
      <c r="V92" s="47">
        <f t="shared" si="9"/>
        <v>0.568976354761195</v>
      </c>
      <c r="W92" s="48">
        <f>SUMIF(_爬塔队伍!$A$2:$A$501,VALUE(SUBSTITUTE(SUBSTITUTE(D92,"第",""),"层","")),_爬塔队伍!$F$2:$F$501)</f>
        <v>21029828.332875</v>
      </c>
      <c r="X92" s="48">
        <f t="shared" si="10"/>
        <v>10.0322741024051</v>
      </c>
      <c r="Y92" s="48">
        <f t="shared" si="11"/>
        <v>16.4268522324806</v>
      </c>
      <c r="Z92" s="49" t="str">
        <f t="shared" si="12"/>
        <v/>
      </c>
      <c r="AA92" s="30" t="str">
        <f t="shared" si="13"/>
        <v>已计算</v>
      </c>
      <c r="AB92" s="30" t="str">
        <f t="shared" si="14"/>
        <v>有效</v>
      </c>
      <c r="AC92" s="30" t="str">
        <f t="shared" si="15"/>
        <v/>
      </c>
      <c r="AD92" s="31" t="s">
        <v>736</v>
      </c>
      <c r="AE92">
        <v>1590000</v>
      </c>
      <c r="AF92">
        <f>INDEX(_统一战力!$B$2:$B$501,J92)</f>
        <v>1180000</v>
      </c>
    </row>
    <row r="93" ht="25" customHeight="1" spans="1:32">
      <c r="A93" s="30" t="s">
        <v>150</v>
      </c>
      <c r="B93" s="30" t="s">
        <v>59</v>
      </c>
      <c r="C93" s="31" t="s">
        <v>733</v>
      </c>
      <c r="D93" s="31" t="s">
        <v>912</v>
      </c>
      <c r="E93" s="31" t="s">
        <v>913</v>
      </c>
      <c r="F93" s="30" t="s">
        <v>154</v>
      </c>
      <c r="G93" s="40">
        <v>247</v>
      </c>
      <c r="H93" s="41"/>
      <c r="I93" s="42">
        <f t="shared" si="8"/>
        <v>247</v>
      </c>
      <c r="J93" s="43">
        <v>267</v>
      </c>
      <c r="K93" s="44">
        <v>1.13094203277441</v>
      </c>
      <c r="L93" s="44">
        <v>0.71917640662023</v>
      </c>
      <c r="M93" s="44">
        <v>1</v>
      </c>
      <c r="N93" s="45"/>
      <c r="O93" s="45"/>
      <c r="P93" s="45"/>
      <c r="Q93" s="46">
        <f>IF($I93="","",IFERROR(INDEX(_玩家曲线!$H$2:$H$286,MATCH($I93,_玩家曲线!$A$2:$A$286,0)),""))</f>
        <v>2130522.35028177</v>
      </c>
      <c r="R93" s="46">
        <f>IF($I93="","",IFERROR(INDEX(_玩家曲线!$I$2:$I$286,MATCH($I93,_玩家曲线!$A$2:$A$286,0)),""))</f>
        <v>2652309.03339959</v>
      </c>
      <c r="S93" s="46">
        <f>SUMIF(_爬塔队伍!$A$2:$A$501,VALUE(SUBSTITUTE(SUBSTITUTE(D93,"第",""),"层","")),_爬塔队伍!$C$2:$C$501)</f>
        <v>9083171</v>
      </c>
      <c r="T93" s="46">
        <f>SUMIF(_爬塔队伍!$A$2:$A$501,VALUE(SUBSTITUTE(SUBSTITUTE(D93,"第",""),"层","")),_爬塔队伍!$D$2:$D$501)</f>
        <v>162209</v>
      </c>
      <c r="U93" s="46">
        <f>SUMIF(_爬塔队伍!$A$2:$A$501,VALUE(SUBSTITUTE(SUBSTITUTE(D93,"第",""),"层","")),_爬塔队伍!$E$2:$E$501)/COUNTIF(_爬塔队伍!$A$2:$A$501,VALUE(SUBSTITUTE(SUBSTITUTE(D93,"第",""),"层","")))</f>
        <v>31990.8</v>
      </c>
      <c r="V93" s="47">
        <f t="shared" si="9"/>
        <v>0.57135815169635</v>
      </c>
      <c r="W93" s="48">
        <f>SUMIF(_爬塔队伍!$A$2:$A$501,VALUE(SUBSTITUTE(SUBSTITUTE(D93,"第",""),"层","")),_爬塔队伍!$F$2:$F$501)</f>
        <v>21556783.633125</v>
      </c>
      <c r="X93" s="48">
        <f t="shared" si="10"/>
        <v>10.1180743916036</v>
      </c>
      <c r="Y93" s="48">
        <f t="shared" si="11"/>
        <v>16.3511829392918</v>
      </c>
      <c r="Z93" s="49" t="str">
        <f t="shared" si="12"/>
        <v/>
      </c>
      <c r="AA93" s="30" t="str">
        <f t="shared" si="13"/>
        <v>已计算</v>
      </c>
      <c r="AB93" s="30" t="str">
        <f t="shared" si="14"/>
        <v>有效</v>
      </c>
      <c r="AC93" s="30" t="str">
        <f t="shared" si="15"/>
        <v/>
      </c>
      <c r="AD93" s="31" t="s">
        <v>736</v>
      </c>
      <c r="AE93">
        <v>1590000</v>
      </c>
      <c r="AF93">
        <f>INDEX(_统一战力!$B$2:$B$501,J93)</f>
        <v>1200000</v>
      </c>
    </row>
    <row r="94" ht="25" customHeight="1" spans="1:32">
      <c r="A94" s="30" t="s">
        <v>150</v>
      </c>
      <c r="B94" s="30" t="s">
        <v>59</v>
      </c>
      <c r="C94" s="31" t="s">
        <v>733</v>
      </c>
      <c r="D94" s="31" t="s">
        <v>914</v>
      </c>
      <c r="E94" s="31" t="s">
        <v>915</v>
      </c>
      <c r="F94" s="30" t="s">
        <v>164</v>
      </c>
      <c r="G94" s="40">
        <v>250</v>
      </c>
      <c r="H94" s="41"/>
      <c r="I94" s="42">
        <f t="shared" si="8"/>
        <v>250</v>
      </c>
      <c r="J94" s="43">
        <v>268</v>
      </c>
      <c r="K94" s="44">
        <v>1.14213632106616</v>
      </c>
      <c r="L94" s="44">
        <v>0.724654744929893</v>
      </c>
      <c r="M94" s="44">
        <v>1</v>
      </c>
      <c r="N94" s="45"/>
      <c r="O94" s="45"/>
      <c r="P94" s="45"/>
      <c r="Q94" s="46">
        <f>IF($I94="","",IFERROR(INDEX(_玩家曲线!$H$2:$H$286,MATCH($I94,_玩家曲线!$A$2:$A$286,0)),""))</f>
        <v>2164947.01594006</v>
      </c>
      <c r="R94" s="46">
        <f>IF($I94="","",IFERROR(INDEX(_玩家曲线!$I$2:$I$286,MATCH($I94,_玩家曲线!$A$2:$A$286,0)),""))</f>
        <v>2682922.27977204</v>
      </c>
      <c r="S94" s="46">
        <f>SUMIF(_爬塔队伍!$A$2:$A$501,VALUE(SUBSTITUTE(SUBSTITUTE(D94,"第",""),"层","")),_爬塔队伍!$C$2:$C$501)</f>
        <v>9668696</v>
      </c>
      <c r="T94" s="46">
        <f>SUMIF(_爬塔队伍!$A$2:$A$501,VALUE(SUBSTITUTE(SUBSTITUTE(D94,"第",""),"层","")),_爬塔队伍!$D$2:$D$501)</f>
        <v>158797</v>
      </c>
      <c r="U94" s="46">
        <f>SUMIF(_爬塔队伍!$A$2:$A$501,VALUE(SUBSTITUTE(SUBSTITUTE(D94,"第",""),"层","")),_爬塔队伍!$E$2:$E$501)/COUNTIF(_爬塔队伍!$A$2:$A$501,VALUE(SUBSTITUTE(SUBSTITUTE(D94,"第",""),"层","")))</f>
        <v>33542.4</v>
      </c>
      <c r="V94" s="47">
        <f t="shared" si="9"/>
        <v>0.582916249582916</v>
      </c>
      <c r="W94" s="48">
        <f>SUMIF(_爬塔队伍!$A$2:$A$501,VALUE(SUBSTITUTE(SUBSTITUTE(D94,"第",""),"层","")),_爬塔队伍!$F$2:$F$501)</f>
        <v>23510105.9553333</v>
      </c>
      <c r="X94" s="48">
        <f t="shared" si="10"/>
        <v>10.8594371050346</v>
      </c>
      <c r="Y94" s="48">
        <f t="shared" si="11"/>
        <v>16.895295753522</v>
      </c>
      <c r="Z94" s="49" t="str">
        <f t="shared" si="12"/>
        <v/>
      </c>
      <c r="AA94" s="30" t="str">
        <f t="shared" si="13"/>
        <v>已计算</v>
      </c>
      <c r="AB94" s="30" t="str">
        <f t="shared" si="14"/>
        <v>有效</v>
      </c>
      <c r="AC94" s="30" t="str">
        <f t="shared" si="15"/>
        <v/>
      </c>
      <c r="AD94" s="31" t="s">
        <v>736</v>
      </c>
      <c r="AE94">
        <v>1590000</v>
      </c>
      <c r="AF94">
        <f>INDEX(_统一战力!$B$2:$B$501,J94)</f>
        <v>1210000</v>
      </c>
    </row>
    <row r="95" ht="25" customHeight="1" spans="1:32">
      <c r="A95" s="30" t="s">
        <v>150</v>
      </c>
      <c r="B95" s="30" t="s">
        <v>59</v>
      </c>
      <c r="C95" s="31" t="s">
        <v>733</v>
      </c>
      <c r="D95" s="31" t="s">
        <v>916</v>
      </c>
      <c r="E95" s="31" t="s">
        <v>917</v>
      </c>
      <c r="F95" s="30" t="s">
        <v>154</v>
      </c>
      <c r="G95" s="40">
        <v>253</v>
      </c>
      <c r="H95" s="41"/>
      <c r="I95" s="42">
        <f t="shared" si="8"/>
        <v>253</v>
      </c>
      <c r="J95" s="43">
        <v>269</v>
      </c>
      <c r="K95" s="44">
        <v>1.14001916461421</v>
      </c>
      <c r="L95" s="44">
        <v>0.725287655304084</v>
      </c>
      <c r="M95" s="44">
        <v>1</v>
      </c>
      <c r="N95" s="45"/>
      <c r="O95" s="45"/>
      <c r="P95" s="45"/>
      <c r="Q95" s="46">
        <f>IF($I95="","",IFERROR(INDEX(_玩家曲线!$H$2:$H$286,MATCH($I95,_玩家曲线!$A$2:$A$286,0)),""))</f>
        <v>2198243.67261002</v>
      </c>
      <c r="R95" s="46">
        <f>IF($I95="","",IFERROR(INDEX(_玩家曲线!$I$2:$I$286,MATCH($I95,_玩家曲线!$A$2:$A$286,0)),""))</f>
        <v>2712396.19073116</v>
      </c>
      <c r="S95" s="46">
        <f>SUMIF(_爬塔队伍!$A$2:$A$501,VALUE(SUBSTITUTE(SUBSTITUTE(D95,"第",""),"层","")),_爬塔队伍!$C$2:$C$501)</f>
        <v>9341923</v>
      </c>
      <c r="T95" s="46">
        <f>SUMIF(_爬塔队伍!$A$2:$A$501,VALUE(SUBSTITUTE(SUBSTITUTE(D95,"第",""),"层","")),_爬塔队伍!$D$2:$D$501)</f>
        <v>166055</v>
      </c>
      <c r="U95" s="46">
        <f>SUMIF(_爬塔队伍!$A$2:$A$501,VALUE(SUBSTITUTE(SUBSTITUTE(D95,"第",""),"层","")),_爬塔队伍!$E$2:$E$501)/COUNTIF(_爬塔队伍!$A$2:$A$501,VALUE(SUBSTITUTE(SUBSTITUTE(D95,"第",""),"层","")))</f>
        <v>32300.2</v>
      </c>
      <c r="V95" s="47">
        <f t="shared" si="9"/>
        <v>0.573713770110941</v>
      </c>
      <c r="W95" s="48">
        <f>SUMIF(_爬塔队伍!$A$2:$A$501,VALUE(SUBSTITUTE(SUBSTITUTE(D95,"第",""),"层","")),_爬塔队伍!$F$2:$F$501)</f>
        <v>22294956.5884583</v>
      </c>
      <c r="X95" s="48">
        <f t="shared" si="10"/>
        <v>10.1421679799433</v>
      </c>
      <c r="Y95" s="48">
        <f t="shared" si="11"/>
        <v>16.3343241138849</v>
      </c>
      <c r="Z95" s="49" t="str">
        <f t="shared" si="12"/>
        <v/>
      </c>
      <c r="AA95" s="30" t="str">
        <f t="shared" si="13"/>
        <v>已计算</v>
      </c>
      <c r="AB95" s="30" t="str">
        <f t="shared" si="14"/>
        <v>有效</v>
      </c>
      <c r="AC95" s="30" t="str">
        <f t="shared" si="15"/>
        <v/>
      </c>
      <c r="AD95" s="31" t="s">
        <v>736</v>
      </c>
      <c r="AE95">
        <v>1590000</v>
      </c>
      <c r="AF95">
        <f>INDEX(_统一战力!$B$2:$B$501,J95)</f>
        <v>1220000</v>
      </c>
    </row>
    <row r="96" ht="25" customHeight="1" spans="1:32">
      <c r="A96" s="30" t="s">
        <v>150</v>
      </c>
      <c r="B96" s="30" t="s">
        <v>59</v>
      </c>
      <c r="C96" s="31" t="s">
        <v>733</v>
      </c>
      <c r="D96" s="31" t="s">
        <v>918</v>
      </c>
      <c r="E96" s="31" t="s">
        <v>919</v>
      </c>
      <c r="F96" s="30" t="s">
        <v>154</v>
      </c>
      <c r="G96" s="40">
        <v>255</v>
      </c>
      <c r="H96" s="41"/>
      <c r="I96" s="42">
        <f t="shared" si="8"/>
        <v>255</v>
      </c>
      <c r="J96" s="43">
        <v>270</v>
      </c>
      <c r="K96" s="44">
        <v>1.13567320674374</v>
      </c>
      <c r="L96" s="44">
        <v>0.724379195372715</v>
      </c>
      <c r="M96" s="44">
        <v>1</v>
      </c>
      <c r="N96" s="45"/>
      <c r="O96" s="45"/>
      <c r="P96" s="45"/>
      <c r="Q96" s="46">
        <f>IF($I96="","",IFERROR(INDEX(_玩家曲线!$H$2:$H$286,MATCH($I96,_玩家曲线!$A$2:$A$286,0)),""))</f>
        <v>2220678.49300333</v>
      </c>
      <c r="R96" s="46">
        <f>IF($I96="","",IFERROR(INDEX(_玩家曲线!$I$2:$I$286,MATCH($I96,_玩家曲线!$A$2:$A$286,0)),""))</f>
        <v>2732172.30996716</v>
      </c>
      <c r="S96" s="46">
        <f>SUMIF(_爬塔队伍!$A$2:$A$501,VALUE(SUBSTITUTE(SUBSTITUTE(D96,"第",""),"层","")),_爬塔队伍!$C$2:$C$501)</f>
        <v>9399927</v>
      </c>
      <c r="T96" s="46">
        <f>SUMIF(_爬塔队伍!$A$2:$A$501,VALUE(SUBSTITUTE(SUBSTITUTE(D96,"第",""),"层","")),_爬塔队伍!$D$2:$D$501)</f>
        <v>167094</v>
      </c>
      <c r="U96" s="46">
        <f>SUMIF(_爬塔队伍!$A$2:$A$501,VALUE(SUBSTITUTE(SUBSTITUTE(D96,"第",""),"层","")),_爬塔队伍!$E$2:$E$501)/COUNTIF(_爬塔队伍!$A$2:$A$501,VALUE(SUBSTITUTE(SUBSTITUTE(D96,"第",""),"层","")))</f>
        <v>32455.4</v>
      </c>
      <c r="V96" s="47">
        <f t="shared" si="9"/>
        <v>0.574885661956164</v>
      </c>
      <c r="W96" s="48">
        <f>SUMIF(_爬塔队伍!$A$2:$A$501,VALUE(SUBSTITUTE(SUBSTITUTE(D96,"第",""),"层","")),_爬塔队伍!$F$2:$F$501)</f>
        <v>22496000.619625</v>
      </c>
      <c r="X96" s="48">
        <f t="shared" si="10"/>
        <v>10.1302375334849</v>
      </c>
      <c r="Y96" s="48">
        <f t="shared" si="11"/>
        <v>16.3511096147507</v>
      </c>
      <c r="Z96" s="49" t="str">
        <f t="shared" si="12"/>
        <v/>
      </c>
      <c r="AA96" s="30" t="str">
        <f t="shared" si="13"/>
        <v>已计算</v>
      </c>
      <c r="AB96" s="30" t="str">
        <f t="shared" si="14"/>
        <v>有效</v>
      </c>
      <c r="AC96" s="30" t="str">
        <f t="shared" si="15"/>
        <v/>
      </c>
      <c r="AD96" s="31" t="s">
        <v>736</v>
      </c>
      <c r="AE96">
        <v>1590000</v>
      </c>
      <c r="AF96">
        <f>INDEX(_统一战力!$B$2:$B$501,J96)</f>
        <v>1230000</v>
      </c>
    </row>
    <row r="97" ht="25" customHeight="1" spans="1:32">
      <c r="A97" s="30" t="s">
        <v>150</v>
      </c>
      <c r="B97" s="30" t="s">
        <v>59</v>
      </c>
      <c r="C97" s="31" t="s">
        <v>733</v>
      </c>
      <c r="D97" s="31" t="s">
        <v>920</v>
      </c>
      <c r="E97" s="31" t="s">
        <v>921</v>
      </c>
      <c r="F97" s="30" t="s">
        <v>154</v>
      </c>
      <c r="G97" s="40">
        <v>258</v>
      </c>
      <c r="H97" s="41"/>
      <c r="I97" s="42">
        <f t="shared" si="8"/>
        <v>258</v>
      </c>
      <c r="J97" s="43">
        <v>272</v>
      </c>
      <c r="K97" s="44">
        <v>1.13279943448746</v>
      </c>
      <c r="L97" s="44">
        <v>0.724781133547875</v>
      </c>
      <c r="M97" s="44">
        <v>1</v>
      </c>
      <c r="N97" s="45"/>
      <c r="O97" s="45"/>
      <c r="P97" s="45"/>
      <c r="Q97" s="46">
        <f>IF($I97="","",IFERROR(INDEX(_玩家曲线!$H$2:$H$286,MATCH($I97,_玩家曲线!$A$2:$A$286,0)),""))</f>
        <v>2254689.64998256</v>
      </c>
      <c r="R97" s="46">
        <f>IF($I97="","",IFERROR(INDEX(_玩家曲线!$I$2:$I$286,MATCH($I97,_玩家曲线!$A$2:$A$286,0)),""))</f>
        <v>2762027.63154784</v>
      </c>
      <c r="S97" s="46">
        <f>SUMIF(_爬塔队伍!$A$2:$A$501,VALUE(SUBSTITUTE(SUBSTITUTE(D97,"第",""),"层","")),_爬塔队伍!$C$2:$C$501)</f>
        <v>9565061</v>
      </c>
      <c r="T97" s="46">
        <f>SUMIF(_爬塔队伍!$A$2:$A$501,VALUE(SUBSTITUTE(SUBSTITUTE(D97,"第",""),"层","")),_爬塔队伍!$D$2:$D$501)</f>
        <v>169695</v>
      </c>
      <c r="U97" s="46">
        <f>SUMIF(_爬塔队伍!$A$2:$A$501,VALUE(SUBSTITUTE(SUBSTITUTE(D97,"第",""),"层","")),_爬塔队伍!$E$2:$E$501)/COUNTIF(_爬塔队伍!$A$2:$A$501,VALUE(SUBSTITUTE(SUBSTITUTE(D97,"第",""),"层","")))</f>
        <v>32767</v>
      </c>
      <c r="V97" s="47">
        <f t="shared" si="9"/>
        <v>0.577219159018444</v>
      </c>
      <c r="W97" s="48">
        <f>SUMIF(_爬塔队伍!$A$2:$A$501,VALUE(SUBSTITUTE(SUBSTITUTE(D97,"第",""),"层","")),_爬塔队伍!$F$2:$F$501)</f>
        <v>23019150.8344583</v>
      </c>
      <c r="X97" s="48">
        <f t="shared" si="10"/>
        <v>10.2094542522233</v>
      </c>
      <c r="Y97" s="48">
        <f t="shared" si="11"/>
        <v>16.2764231801045</v>
      </c>
      <c r="Z97" s="49" t="str">
        <f t="shared" si="12"/>
        <v/>
      </c>
      <c r="AA97" s="30" t="str">
        <f t="shared" si="13"/>
        <v>已计算</v>
      </c>
      <c r="AB97" s="30" t="str">
        <f t="shared" si="14"/>
        <v>有效</v>
      </c>
      <c r="AC97" s="30" t="str">
        <f t="shared" si="15"/>
        <v/>
      </c>
      <c r="AD97" s="31" t="s">
        <v>736</v>
      </c>
      <c r="AE97">
        <v>1590000</v>
      </c>
      <c r="AF97">
        <f>INDEX(_统一战力!$B$2:$B$501,J97)</f>
        <v>1240000</v>
      </c>
    </row>
    <row r="98" ht="25" customHeight="1" spans="1:32">
      <c r="A98" s="30" t="s">
        <v>150</v>
      </c>
      <c r="B98" s="30" t="s">
        <v>59</v>
      </c>
      <c r="C98" s="31" t="s">
        <v>733</v>
      </c>
      <c r="D98" s="31" t="s">
        <v>922</v>
      </c>
      <c r="E98" s="31" t="s">
        <v>923</v>
      </c>
      <c r="F98" s="30" t="s">
        <v>154</v>
      </c>
      <c r="G98" s="40">
        <v>261</v>
      </c>
      <c r="H98" s="41"/>
      <c r="I98" s="42">
        <f t="shared" si="8"/>
        <v>261</v>
      </c>
      <c r="J98" s="43">
        <v>273</v>
      </c>
      <c r="K98" s="44">
        <v>1.13182226884233</v>
      </c>
      <c r="L98" s="44">
        <v>0.725696694868182</v>
      </c>
      <c r="M98" s="44">
        <v>1</v>
      </c>
      <c r="N98" s="45"/>
      <c r="O98" s="45"/>
      <c r="P98" s="45"/>
      <c r="Q98" s="46">
        <f>IF($I98="","",IFERROR(INDEX(_玩家曲线!$H$2:$H$286,MATCH($I98,_玩家曲线!$A$2:$A$286,0)),""))</f>
        <v>2289135.57251998</v>
      </c>
      <c r="R98" s="46">
        <f>IF($I98="","",IFERROR(INDEX(_玩家曲线!$I$2:$I$286,MATCH($I98,_玩家曲线!$A$2:$A$286,0)),""))</f>
        <v>2792113.37702394</v>
      </c>
      <c r="S98" s="46">
        <f>SUMIF(_爬塔队伍!$A$2:$A$501,VALUE(SUBSTITUTE(SUBSTITUTE(D98,"第",""),"层","")),_爬塔队伍!$C$2:$C$501)</f>
        <v>9652243</v>
      </c>
      <c r="T98" s="46">
        <f>SUMIF(_爬塔队伍!$A$2:$A$501,VALUE(SUBSTITUTE(SUBSTITUTE(D98,"第",""),"层","")),_爬塔队伍!$D$2:$D$501)</f>
        <v>171177</v>
      </c>
      <c r="U98" s="46">
        <f>SUMIF(_爬塔队伍!$A$2:$A$501,VALUE(SUBSTITUTE(SUBSTITUTE(D98,"第",""),"层","")),_爬塔队伍!$E$2:$E$501)/COUNTIF(_爬塔队伍!$A$2:$A$501,VALUE(SUBSTITUTE(SUBSTITUTE(D98,"第",""),"层","")))</f>
        <v>32923.4</v>
      </c>
      <c r="V98" s="47">
        <f t="shared" si="9"/>
        <v>0.578380771352379</v>
      </c>
      <c r="W98" s="48">
        <f>SUMIF(_爬塔队伍!$A$2:$A$501,VALUE(SUBSTITUTE(SUBSTITUTE(D98,"第",""),"层","")),_爬塔队伍!$F$2:$F$501)</f>
        <v>23293764.8577083</v>
      </c>
      <c r="X98" s="48">
        <f t="shared" si="10"/>
        <v>10.1757908694178</v>
      </c>
      <c r="Y98" s="48">
        <f t="shared" si="11"/>
        <v>16.3112648137538</v>
      </c>
      <c r="Z98" s="49" t="str">
        <f t="shared" si="12"/>
        <v/>
      </c>
      <c r="AA98" s="30" t="str">
        <f t="shared" si="13"/>
        <v>已计算</v>
      </c>
      <c r="AB98" s="30" t="str">
        <f t="shared" si="14"/>
        <v>有效</v>
      </c>
      <c r="AC98" s="30" t="str">
        <f t="shared" si="15"/>
        <v/>
      </c>
      <c r="AD98" s="31" t="s">
        <v>736</v>
      </c>
      <c r="AE98">
        <v>1590000</v>
      </c>
      <c r="AF98">
        <f>INDEX(_统一战力!$B$2:$B$501,J98)</f>
        <v>1250000</v>
      </c>
    </row>
    <row r="99" ht="25" customHeight="1" spans="1:32">
      <c r="A99" s="30" t="s">
        <v>150</v>
      </c>
      <c r="B99" s="30" t="s">
        <v>59</v>
      </c>
      <c r="C99" s="31" t="s">
        <v>733</v>
      </c>
      <c r="D99" s="31" t="s">
        <v>924</v>
      </c>
      <c r="E99" s="31" t="s">
        <v>925</v>
      </c>
      <c r="F99" s="30" t="s">
        <v>745</v>
      </c>
      <c r="G99" s="40">
        <v>264</v>
      </c>
      <c r="H99" s="41"/>
      <c r="I99" s="42">
        <f t="shared" si="8"/>
        <v>264</v>
      </c>
      <c r="J99" s="43">
        <v>274</v>
      </c>
      <c r="K99" s="44">
        <v>1.13108015591293</v>
      </c>
      <c r="L99" s="44">
        <v>0.726679309784578</v>
      </c>
      <c r="M99" s="44">
        <v>1</v>
      </c>
      <c r="N99" s="45"/>
      <c r="O99" s="45"/>
      <c r="P99" s="45"/>
      <c r="Q99" s="46">
        <f>IF($I99="","",IFERROR(INDEX(_玩家曲线!$H$2:$H$286,MATCH($I99,_玩家曲线!$A$2:$A$286,0)),""))</f>
        <v>2324020.85623578</v>
      </c>
      <c r="R99" s="46">
        <f>IF($I99="","",IFERROR(INDEX(_玩家曲线!$I$2:$I$286,MATCH($I99,_玩家曲线!$A$2:$A$286,0)),""))</f>
        <v>2822430.73377811</v>
      </c>
      <c r="S99" s="46">
        <f>SUMIF(_爬塔队伍!$A$2:$A$501,VALUE(SUBSTITUTE(SUBSTITUTE(D99,"第",""),"层","")),_爬塔队伍!$C$2:$C$501)</f>
        <v>9742013</v>
      </c>
      <c r="T99" s="46">
        <f>SUMIF(_爬塔队伍!$A$2:$A$501,VALUE(SUBSTITUTE(SUBSTITUTE(D99,"第",""),"层","")),_爬塔队伍!$D$2:$D$501)</f>
        <v>172681</v>
      </c>
      <c r="U99" s="46">
        <f>SUMIF(_爬塔队伍!$A$2:$A$501,VALUE(SUBSTITUTE(SUBSTITUTE(D99,"第",""),"层","")),_爬塔队伍!$E$2:$E$501)/COUNTIF(_爬塔队伍!$A$2:$A$501,VALUE(SUBSTITUTE(SUBSTITUTE(D99,"第",""),"层","")))</f>
        <v>33079.8</v>
      </c>
      <c r="V99" s="47">
        <f t="shared" si="9"/>
        <v>0.579536017995858</v>
      </c>
      <c r="W99" s="48">
        <f>SUMIF(_爬塔队伍!$A$2:$A$501,VALUE(SUBSTITUTE(SUBSTITUTE(D99,"第",""),"层","")),_爬塔队伍!$F$2:$F$501)</f>
        <v>23575812.8570417</v>
      </c>
      <c r="X99" s="48">
        <f t="shared" si="10"/>
        <v>10.144406748237</v>
      </c>
      <c r="Y99" s="48">
        <f t="shared" si="11"/>
        <v>16.344767135806</v>
      </c>
      <c r="Z99" s="49" t="str">
        <f t="shared" si="12"/>
        <v/>
      </c>
      <c r="AA99" s="30" t="str">
        <f t="shared" si="13"/>
        <v>已计算</v>
      </c>
      <c r="AB99" s="30" t="str">
        <f t="shared" si="14"/>
        <v>有效</v>
      </c>
      <c r="AC99" s="30" t="str">
        <f t="shared" si="15"/>
        <v/>
      </c>
      <c r="AD99" s="31" t="s">
        <v>736</v>
      </c>
      <c r="AE99">
        <v>1590000</v>
      </c>
      <c r="AF99">
        <f>INDEX(_统一战力!$B$2:$B$501,J99)</f>
        <v>1260000</v>
      </c>
    </row>
    <row r="100" ht="25" customHeight="1" spans="1:32">
      <c r="A100" s="30" t="s">
        <v>150</v>
      </c>
      <c r="B100" s="30" t="s">
        <v>59</v>
      </c>
      <c r="C100" s="31" t="s">
        <v>733</v>
      </c>
      <c r="D100" s="31" t="s">
        <v>926</v>
      </c>
      <c r="E100" s="31" t="s">
        <v>927</v>
      </c>
      <c r="F100" s="30" t="s">
        <v>154</v>
      </c>
      <c r="G100" s="40">
        <v>267</v>
      </c>
      <c r="H100" s="41"/>
      <c r="I100" s="42">
        <f t="shared" si="8"/>
        <v>267</v>
      </c>
      <c r="J100" s="43">
        <v>275</v>
      </c>
      <c r="K100" s="44">
        <v>1.12992115373711</v>
      </c>
      <c r="L100" s="44">
        <v>0.727469632812953</v>
      </c>
      <c r="M100" s="44">
        <v>1</v>
      </c>
      <c r="N100" s="45"/>
      <c r="O100" s="45"/>
      <c r="P100" s="45"/>
      <c r="Q100" s="46">
        <f>IF($I100="","",IFERROR(INDEX(_玩家曲线!$H$2:$H$286,MATCH($I100,_玩家曲线!$A$2:$A$286,0)),""))</f>
        <v>2358018.03420821</v>
      </c>
      <c r="R100" s="46">
        <f>IF($I100="","",IFERROR(INDEX(_玩家曲线!$I$2:$I$286,MATCH($I100,_玩家曲线!$A$2:$A$286,0)),""))</f>
        <v>2851840.99737294</v>
      </c>
      <c r="S100" s="46">
        <f>SUMIF(_爬塔队伍!$A$2:$A$501,VALUE(SUBSTITUTE(SUBSTITUTE(D100,"第",""),"层","")),_爬塔队伍!$C$2:$C$501)</f>
        <v>9828758</v>
      </c>
      <c r="T100" s="46">
        <f>SUMIF(_爬塔队伍!$A$2:$A$501,VALUE(SUBSTITUTE(SUBSTITUTE(D100,"第",""),"层","")),_爬塔队伍!$D$2:$D$501)</f>
        <v>174150</v>
      </c>
      <c r="U100" s="46">
        <f>SUMIF(_爬塔队伍!$A$2:$A$501,VALUE(SUBSTITUTE(SUBSTITUTE(D100,"第",""),"层","")),_爬塔队伍!$E$2:$E$501)/COUNTIF(_爬塔队伍!$A$2:$A$501,VALUE(SUBSTITUTE(SUBSTITUTE(D100,"第",""),"层","")))</f>
        <v>33236.2</v>
      </c>
      <c r="V100" s="47">
        <f t="shared" si="9"/>
        <v>0.580684951132325</v>
      </c>
      <c r="W100" s="48">
        <f>SUMIF(_爬塔队伍!$A$2:$A$501,VALUE(SUBSTITUTE(SUBSTITUTE(D100,"第",""),"层","")),_爬塔队伍!$F$2:$F$501)</f>
        <v>23851725.0565417</v>
      </c>
      <c r="X100" s="48">
        <f t="shared" si="10"/>
        <v>10.115158031245</v>
      </c>
      <c r="Y100" s="48">
        <f t="shared" si="11"/>
        <v>16.3757737431693</v>
      </c>
      <c r="Z100" s="49" t="str">
        <f t="shared" si="12"/>
        <v/>
      </c>
      <c r="AA100" s="30" t="str">
        <f t="shared" si="13"/>
        <v>已计算</v>
      </c>
      <c r="AB100" s="30" t="str">
        <f t="shared" si="14"/>
        <v>有效</v>
      </c>
      <c r="AC100" s="30" t="str">
        <f t="shared" si="15"/>
        <v/>
      </c>
      <c r="AD100" s="31" t="s">
        <v>736</v>
      </c>
      <c r="AE100">
        <v>1590000</v>
      </c>
      <c r="AF100">
        <f>INDEX(_统一战力!$B$2:$B$501,J100)</f>
        <v>1270000</v>
      </c>
    </row>
    <row r="101" ht="25" customHeight="1" spans="1:32">
      <c r="A101" s="30" t="s">
        <v>150</v>
      </c>
      <c r="B101" s="30" t="s">
        <v>59</v>
      </c>
      <c r="C101" s="31" t="s">
        <v>733</v>
      </c>
      <c r="D101" s="31" t="s">
        <v>928</v>
      </c>
      <c r="E101" s="31" t="s">
        <v>929</v>
      </c>
      <c r="F101" s="30" t="s">
        <v>154</v>
      </c>
      <c r="G101" s="40">
        <v>270</v>
      </c>
      <c r="H101" s="41"/>
      <c r="I101" s="42">
        <f t="shared" si="8"/>
        <v>270</v>
      </c>
      <c r="J101" s="43">
        <v>276</v>
      </c>
      <c r="K101" s="44">
        <v>1.12883809996263</v>
      </c>
      <c r="L101" s="44">
        <v>0.728293310358997</v>
      </c>
      <c r="M101" s="44">
        <v>1</v>
      </c>
      <c r="N101" s="45"/>
      <c r="O101" s="45"/>
      <c r="P101" s="45"/>
      <c r="Q101" s="46">
        <f>IF($I101="","",IFERROR(INDEX(_玩家曲线!$H$2:$H$286,MATCH($I101,_玩家曲线!$A$2:$A$286,0)),""))</f>
        <v>2392189.15150611</v>
      </c>
      <c r="R101" s="46">
        <f>IF($I101="","",IFERROR(INDEX(_玩家曲线!$I$2:$I$286,MATCH($I101,_玩家曲线!$A$2:$A$286,0)),""))</f>
        <v>2881262.13375399</v>
      </c>
      <c r="S101" s="46">
        <f>SUMIF(_爬塔队伍!$A$2:$A$501,VALUE(SUBSTITUTE(SUBSTITUTE(D101,"第",""),"层","")),_爬塔队伍!$C$2:$C$501)</f>
        <v>9916698</v>
      </c>
      <c r="T101" s="46">
        <f>SUMIF(_爬塔队伍!$A$2:$A$501,VALUE(SUBSTITUTE(SUBSTITUTE(D101,"第",""),"层","")),_爬塔队伍!$D$2:$D$501)</f>
        <v>175644</v>
      </c>
      <c r="U101" s="46">
        <f>SUMIF(_爬塔队伍!$A$2:$A$501,VALUE(SUBSTITUTE(SUBSTITUTE(D101,"第",""),"层","")),_爬塔队伍!$E$2:$E$501)/COUNTIF(_爬塔队伍!$A$2:$A$501,VALUE(SUBSTITUTE(SUBSTITUTE(D101,"第",""),"层","")))</f>
        <v>33393.8</v>
      </c>
      <c r="V101" s="47">
        <f t="shared" si="9"/>
        <v>0.581836365600466</v>
      </c>
      <c r="W101" s="48">
        <f>SUMIF(_爬塔队伍!$A$2:$A$501,VALUE(SUBSTITUTE(SUBSTITUTE(D101,"第",""),"层","")),_爬塔队伍!$F$2:$F$501)</f>
        <v>24132212.9332917</v>
      </c>
      <c r="X101" s="48">
        <f t="shared" si="10"/>
        <v>10.0879200618806</v>
      </c>
      <c r="Y101" s="48">
        <f t="shared" si="11"/>
        <v>16.4039883728109</v>
      </c>
      <c r="Z101" s="49" t="str">
        <f t="shared" si="12"/>
        <v/>
      </c>
      <c r="AA101" s="30" t="str">
        <f t="shared" si="13"/>
        <v>已计算</v>
      </c>
      <c r="AB101" s="30" t="str">
        <f t="shared" si="14"/>
        <v>有效</v>
      </c>
      <c r="AC101" s="30" t="str">
        <f t="shared" si="15"/>
        <v/>
      </c>
      <c r="AD101" s="31" t="s">
        <v>736</v>
      </c>
      <c r="AE101">
        <v>1590000</v>
      </c>
      <c r="AF101">
        <f>INDEX(_统一战力!$B$2:$B$501,J101)</f>
        <v>1280000</v>
      </c>
    </row>
    <row r="102" ht="25" customHeight="1" spans="1:32">
      <c r="A102" s="30" t="s">
        <v>150</v>
      </c>
      <c r="B102" s="30" t="s">
        <v>59</v>
      </c>
      <c r="C102" s="31" t="s">
        <v>733</v>
      </c>
      <c r="D102" s="31" t="s">
        <v>930</v>
      </c>
      <c r="E102" s="31" t="s">
        <v>931</v>
      </c>
      <c r="F102" s="30" t="s">
        <v>154</v>
      </c>
      <c r="G102" s="40">
        <v>273</v>
      </c>
      <c r="H102" s="41"/>
      <c r="I102" s="42">
        <f t="shared" si="8"/>
        <v>273</v>
      </c>
      <c r="J102" s="43">
        <v>278</v>
      </c>
      <c r="K102" s="44">
        <v>1.12795418016849</v>
      </c>
      <c r="L102" s="44">
        <v>0.729223983469108</v>
      </c>
      <c r="M102" s="44">
        <v>1</v>
      </c>
      <c r="N102" s="45"/>
      <c r="O102" s="45"/>
      <c r="P102" s="45"/>
      <c r="Q102" s="46">
        <f>IF($I102="","",IFERROR(INDEX(_玩家曲线!$H$2:$H$286,MATCH($I102,_玩家曲线!$A$2:$A$286,0)),""))</f>
        <v>2426774.48839207</v>
      </c>
      <c r="R102" s="46">
        <f>IF($I102="","",IFERROR(INDEX(_玩家曲线!$I$2:$I$286,MATCH($I102,_玩家曲线!$A$2:$A$286,0)),""))</f>
        <v>2910898.75588501</v>
      </c>
      <c r="S102" s="46">
        <f>SUMIF(_爬塔队伍!$A$2:$A$501,VALUE(SUBSTITUTE(SUBSTITUTE(D102,"第",""),"层","")),_爬塔队伍!$C$2:$C$501)</f>
        <v>10105712</v>
      </c>
      <c r="T102" s="46">
        <f>SUMIF(_爬塔队伍!$A$2:$A$501,VALUE(SUBSTITUTE(SUBSTITUTE(D102,"第",""),"层","")),_爬塔队伍!$D$2:$D$501)</f>
        <v>178477</v>
      </c>
      <c r="U102" s="46">
        <f>SUMIF(_爬塔队伍!$A$2:$A$501,VALUE(SUBSTITUTE(SUBSTITUTE(D102,"第",""),"层","")),_爬塔队伍!$E$2:$E$501)/COUNTIF(_爬塔队伍!$A$2:$A$501,VALUE(SUBSTITUTE(SUBSTITUTE(D102,"第",""),"层","")))</f>
        <v>33707.8</v>
      </c>
      <c r="V102" s="47">
        <f t="shared" si="9"/>
        <v>0.584111679876897</v>
      </c>
      <c r="W102" s="48">
        <f>SUMIF(_爬塔队伍!$A$2:$A$501,VALUE(SUBSTITUTE(SUBSTITUTE(D102,"第",""),"层","")),_爬塔队伍!$F$2:$F$501)</f>
        <v>24728402.8646667</v>
      </c>
      <c r="X102" s="48">
        <f t="shared" si="10"/>
        <v>10.1898231512443</v>
      </c>
      <c r="Y102" s="48">
        <f t="shared" si="11"/>
        <v>16.3096575798843</v>
      </c>
      <c r="Z102" s="49" t="str">
        <f t="shared" si="12"/>
        <v/>
      </c>
      <c r="AA102" s="30" t="str">
        <f t="shared" si="13"/>
        <v>已计算</v>
      </c>
      <c r="AB102" s="30" t="str">
        <f t="shared" si="14"/>
        <v>有效</v>
      </c>
      <c r="AC102" s="30" t="str">
        <f t="shared" si="15"/>
        <v/>
      </c>
      <c r="AD102" s="31" t="s">
        <v>736</v>
      </c>
      <c r="AE102">
        <v>1590000</v>
      </c>
      <c r="AF102">
        <f>INDEX(_统一战力!$B$2:$B$501,J102)</f>
        <v>1290000</v>
      </c>
    </row>
    <row r="103" ht="25" customHeight="1" spans="1:32">
      <c r="A103" s="30" t="s">
        <v>150</v>
      </c>
      <c r="B103" s="30" t="s">
        <v>59</v>
      </c>
      <c r="C103" s="31" t="s">
        <v>733</v>
      </c>
      <c r="D103" s="31" t="s">
        <v>932</v>
      </c>
      <c r="E103" s="31" t="s">
        <v>933</v>
      </c>
      <c r="F103" s="30" t="s">
        <v>154</v>
      </c>
      <c r="G103" s="40">
        <v>276</v>
      </c>
      <c r="H103" s="41"/>
      <c r="I103" s="42">
        <f t="shared" si="8"/>
        <v>276</v>
      </c>
      <c r="J103" s="43">
        <v>279</v>
      </c>
      <c r="K103" s="44">
        <v>1.12582067235919</v>
      </c>
      <c r="L103" s="44">
        <v>0.729834891319568</v>
      </c>
      <c r="M103" s="44">
        <v>1</v>
      </c>
      <c r="N103" s="45"/>
      <c r="O103" s="45"/>
      <c r="P103" s="45"/>
      <c r="Q103" s="46">
        <f>IF($I103="","",IFERROR(INDEX(_玩家曲线!$H$2:$H$286,MATCH($I103,_玩家曲线!$A$2:$A$286,0)),""))</f>
        <v>2461778.19932786</v>
      </c>
      <c r="R103" s="46">
        <f>IF($I103="","",IFERROR(INDEX(_玩家曲线!$I$2:$I$286,MATCH($I103,_玩家曲线!$A$2:$A$286,0)),""))</f>
        <v>2940751.92192427</v>
      </c>
      <c r="S103" s="46">
        <f>SUMIF(_爬塔队伍!$A$2:$A$501,VALUE(SUBSTITUTE(SUBSTITUTE(D103,"第",""),"层","")),_爬塔队伍!$C$2:$C$501)</f>
        <v>10185900</v>
      </c>
      <c r="T103" s="46">
        <f>SUMIF(_爬塔队伍!$A$2:$A$501,VALUE(SUBSTITUTE(SUBSTITUTE(D103,"第",""),"层","")),_爬塔队伍!$D$2:$D$501)</f>
        <v>179946</v>
      </c>
      <c r="U103" s="46">
        <f>SUMIF(_爬塔队伍!$A$2:$A$501,VALUE(SUBSTITUTE(SUBSTITUTE(D103,"第",""),"层","")),_爬塔队伍!$E$2:$E$501)/COUNTIF(_爬塔队伍!$A$2:$A$501,VALUE(SUBSTITUTE(SUBSTITUTE(D103,"第",""),"层","")))</f>
        <v>33866.4</v>
      </c>
      <c r="V103" s="47">
        <f t="shared" si="9"/>
        <v>0.585251544937995</v>
      </c>
      <c r="W103" s="48">
        <f>SUMIF(_爬塔队伍!$A$2:$A$501,VALUE(SUBSTITUTE(SUBSTITUTE(D103,"第",""),"层","")),_爬塔队伍!$F$2:$F$501)</f>
        <v>24993965.6077917</v>
      </c>
      <c r="X103" s="48">
        <f t="shared" si="10"/>
        <v>10.1528097107269</v>
      </c>
      <c r="Y103" s="48">
        <f t="shared" si="11"/>
        <v>16.3424134013775</v>
      </c>
      <c r="Z103" s="49" t="str">
        <f t="shared" si="12"/>
        <v/>
      </c>
      <c r="AA103" s="30" t="str">
        <f t="shared" si="13"/>
        <v>已计算</v>
      </c>
      <c r="AB103" s="30" t="str">
        <f t="shared" si="14"/>
        <v>有效</v>
      </c>
      <c r="AC103" s="30" t="str">
        <f t="shared" si="15"/>
        <v/>
      </c>
      <c r="AD103" s="31" t="s">
        <v>736</v>
      </c>
      <c r="AE103">
        <v>1590000</v>
      </c>
      <c r="AF103">
        <f>INDEX(_统一战力!$B$2:$B$501,J103)</f>
        <v>1300000</v>
      </c>
    </row>
    <row r="104" ht="25" customHeight="1" spans="1:32">
      <c r="A104" s="30" t="s">
        <v>150</v>
      </c>
      <c r="B104" s="30" t="s">
        <v>59</v>
      </c>
      <c r="C104" s="31" t="s">
        <v>733</v>
      </c>
      <c r="D104" s="31" t="s">
        <v>934</v>
      </c>
      <c r="E104" s="31" t="s">
        <v>935</v>
      </c>
      <c r="F104" s="30" t="s">
        <v>164</v>
      </c>
      <c r="G104" s="40">
        <v>279</v>
      </c>
      <c r="H104" s="41"/>
      <c r="I104" s="42">
        <f t="shared" si="8"/>
        <v>279</v>
      </c>
      <c r="J104" s="43">
        <v>280</v>
      </c>
      <c r="K104" s="44">
        <v>1.12671592412141</v>
      </c>
      <c r="L104" s="44">
        <v>0.731229508674054</v>
      </c>
      <c r="M104" s="44">
        <v>1</v>
      </c>
      <c r="N104" s="45"/>
      <c r="O104" s="45"/>
      <c r="P104" s="45"/>
      <c r="Q104" s="46">
        <f>IF($I104="","",IFERROR(INDEX(_玩家曲线!$H$2:$H$286,MATCH($I104,_玩家曲线!$A$2:$A$286,0)),""))</f>
        <v>2497204.47172539</v>
      </c>
      <c r="R104" s="46">
        <f>IF($I104="","",IFERROR(INDEX(_玩家曲线!$I$2:$I$286,MATCH($I104,_玩家曲线!$A$2:$A$286,0)),""))</f>
        <v>2970822.69299639</v>
      </c>
      <c r="S104" s="46">
        <f>SUMIF(_爬塔队伍!$A$2:$A$501,VALUE(SUBSTITUTE(SUBSTITUTE(D104,"第",""),"层","")),_爬塔队伍!$C$2:$C$501)</f>
        <v>10294133</v>
      </c>
      <c r="T104" s="46">
        <f>SUMIF(_爬塔队伍!$A$2:$A$501,VALUE(SUBSTITUTE(SUBSTITUTE(D104,"第",""),"层","")),_爬塔队伍!$D$2:$D$501)</f>
        <v>181616</v>
      </c>
      <c r="U104" s="46">
        <f>SUMIF(_爬塔队伍!$A$2:$A$501,VALUE(SUBSTITUTE(SUBSTITUTE(D104,"第",""),"层","")),_爬塔队伍!$E$2:$E$501)/COUNTIF(_爬塔队伍!$A$2:$A$501,VALUE(SUBSTITUTE(SUBSTITUTE(D104,"第",""),"层","")))</f>
        <v>34024</v>
      </c>
      <c r="V104" s="47">
        <f t="shared" si="9"/>
        <v>0.586378050461878</v>
      </c>
      <c r="W104" s="48">
        <f>SUMIF(_爬塔队伍!$A$2:$A$501,VALUE(SUBSTITUTE(SUBSTITUTE(D104,"第",""),"层","")),_爬塔队伍!$F$2:$F$501)</f>
        <v>25329180.4662917</v>
      </c>
      <c r="X104" s="48">
        <f t="shared" si="10"/>
        <v>10.1430142197331</v>
      </c>
      <c r="Y104" s="48">
        <f t="shared" si="11"/>
        <v>16.3577145901043</v>
      </c>
      <c r="Z104" s="49" t="str">
        <f t="shared" si="12"/>
        <v/>
      </c>
      <c r="AA104" s="30" t="str">
        <f t="shared" si="13"/>
        <v>已计算</v>
      </c>
      <c r="AB104" s="30" t="str">
        <f t="shared" si="14"/>
        <v>有效</v>
      </c>
      <c r="AC104" s="30" t="str">
        <f t="shared" si="15"/>
        <v/>
      </c>
      <c r="AD104" s="31" t="s">
        <v>736</v>
      </c>
      <c r="AE104">
        <v>1590000</v>
      </c>
      <c r="AF104">
        <f>INDEX(_统一战力!$B$2:$B$501,J104)</f>
        <v>1310000</v>
      </c>
    </row>
  </sheetData>
  <mergeCells count="3">
    <mergeCell ref="A1:AD1"/>
    <mergeCell ref="A2:AD2"/>
    <mergeCell ref="A3:AD3"/>
  </mergeCells>
  <conditionalFormatting sqref="J5:J104">
    <cfRule type="expression" dxfId="2" priority="1">
      <formula>AND($A5&lt;&gt;"特殊：双方属性对算",$J5="")</formula>
    </cfRule>
  </conditionalFormatting>
  <conditionalFormatting sqref="AA5:AA104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104">
    <cfRule type="expression" dxfId="4" priority="2">
      <formula>$AB5="超范围"</formula>
    </cfRule>
  </conditionalFormatting>
  <conditionalFormatting sqref="AC5:AC104">
    <cfRule type="expression" dxfId="4" priority="7">
      <formula>$AC5="下降"</formula>
    </cfRule>
  </conditionalFormatting>
  <dataValidations count="5">
    <dataValidation type="list" sqref="F5:F104">
      <formula1>_字典!$A$2:$A$11</formula1>
    </dataValidation>
    <dataValidation type="whole" operator="between" allowBlank="1" sqref="H5:H104">
      <formula1>1</formula1>
      <formula2>285</formula2>
    </dataValidation>
    <dataValidation type="whole" operator="between" allowBlank="1" sqref="J5:J104">
      <formula1>1</formula1>
      <formula2>500</formula2>
    </dataValidation>
    <dataValidation type="decimal" operator="between" allowBlank="1" sqref="P5:P104">
      <formula1>0.01</formula1>
      <formula2>3600</formula2>
    </dataValidation>
    <dataValidation type="decimal" operator="between" allowBlank="1" sqref="K5:O104">
      <formula1>0</formula1>
      <formula2>100</formula2>
    </dataValidation>
  </dataValidations>
  <hyperlinks>
    <hyperlink ref="A1" r:id="rId4" display="全玩法难度填写｜爬塔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AF14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  <col min="31" max="32" width="22" customWidth="1"/>
  </cols>
  <sheetData>
    <row r="1" ht="34" customHeight="1" spans="1:32">
      <c r="A1" s="26" t="s">
        <v>936</v>
      </c>
    </row>
    <row r="2" ht="30" customHeight="1" spans="1:32">
      <c r="A2" s="27" t="s">
        <v>119</v>
      </c>
    </row>
    <row r="3" ht="14.25" customHeight="1" spans="1:32">
      <c r="A3" s="28" t="s">
        <v>120</v>
      </c>
    </row>
    <row r="4" ht="30" customHeight="1" spans="1:32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  <c r="AE4" s="8" t="s">
        <v>148</v>
      </c>
      <c r="AF4" s="8" t="s">
        <v>149</v>
      </c>
    </row>
    <row r="5" ht="25" customHeight="1" spans="1:32">
      <c r="A5" s="30" t="s">
        <v>150</v>
      </c>
      <c r="B5" s="30" t="s">
        <v>60</v>
      </c>
      <c r="C5" s="31" t="s">
        <v>937</v>
      </c>
      <c r="D5" s="31" t="s">
        <v>573</v>
      </c>
      <c r="E5" s="31" t="s">
        <v>938</v>
      </c>
      <c r="F5" s="30" t="s">
        <v>164</v>
      </c>
      <c r="G5" s="40">
        <v>54</v>
      </c>
      <c r="H5" s="41"/>
      <c r="I5" s="42">
        <f t="shared" ref="I5:I14" si="0">IF($H5="",$G5,$H5)</f>
        <v>54</v>
      </c>
      <c r="J5" s="43">
        <v>68</v>
      </c>
      <c r="K5" s="44">
        <v>1.12337409306676</v>
      </c>
      <c r="L5" s="44">
        <v>0.74981292753363</v>
      </c>
      <c r="M5" s="44">
        <v>1</v>
      </c>
      <c r="N5" s="45"/>
      <c r="O5" s="45"/>
      <c r="P5" s="45"/>
      <c r="Q5" s="46">
        <f>IF($I5="","",IFERROR(INDEX(_玩家曲线!$H$2:$H$286,MATCH($I5,_玩家曲线!$A$2:$A$286,0)),""))</f>
        <v>118979.779231941</v>
      </c>
      <c r="R5" s="46">
        <f>IF($I5="","",IFERROR(INDEX(_玩家曲线!$I$2:$I$286,MATCH($I5,_玩家曲线!$A$2:$A$286,0)),""))</f>
        <v>270400.047091314</v>
      </c>
      <c r="S5" s="46">
        <f>IF(OR($J5="",$F5="不适用"),"",IFERROR(INDEX(_怪物模型!$D$2:$D$4501,(INT($J5)-1)*ROWS(_怪物类型!$A$2:$A$10)+MATCH($F5,_怪物类型!$A$2:$A$10,0))*IF($K5="",1,$K5),""))</f>
        <v>1523396.3738669</v>
      </c>
      <c r="T5" s="46">
        <f>IF(OR($J5="",$F5="不适用"),"",IFERROR(INDEX(_怪物模型!$E$2:$E$4501,(INT($J5)-1)*ROWS(_怪物类型!$A$2:$A$10)+MATCH($F5,_怪物类型!$A$2:$A$10,0))*IF($L5="",1,$L5),""))</f>
        <v>3559.36196700214</v>
      </c>
      <c r="U5" s="46">
        <f>IF(OR($J5="",$F5="不适用"),"",IFERROR(INDEX(_怪物模型!$F$2:$F$4501,(INT($J5)-1)*ROWS(_怪物类型!$A$2:$A$10)+MATCH($F5,_怪物类型!$A$2:$A$10,0))*IF($M5="",1,$M5),""))</f>
        <v>5546</v>
      </c>
      <c r="V5" s="47">
        <f t="shared" ref="V5:V14" si="1">IF($U5="","",MIN(0.75,$U5/($U5+24000)))</f>
        <v>0.187707303865159</v>
      </c>
      <c r="W5" s="48">
        <f t="shared" ref="W5:W14" si="2">IF($S5="","",$S5/(1-$V5)*IF($N5="",1,$N5))</f>
        <v>1875427.88592798</v>
      </c>
      <c r="X5" s="48">
        <f t="shared" ref="X5:X14" si="3">IF(OR($W5="",$Q5="",$Q5=0),"",$W5/$Q5)</f>
        <v>15.76257661625</v>
      </c>
      <c r="Y5" s="48">
        <f t="shared" ref="Y5:Y14" si="4">IF(OR($R5="",$T5="",$T5=0),"",$R5/($T5*IF($O5="",1,$O5)))</f>
        <v>75.9686847244304</v>
      </c>
      <c r="Z5" s="49" t="str">
        <f t="shared" ref="Z5:Z14" si="5">IF(OR($X5="",$P5="",$P5=0),"",$X5/$P5)</f>
        <v/>
      </c>
      <c r="AA5" s="30" t="str">
        <f t="shared" ref="AA5:AA14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 t="shared" ref="AB5:AB14" si="7">IF($J5="","待填",IF(AND(ISNUMBER($J5),$J5&gt;=1,$J5&lt;=500,MOD($J5,1)=0),"有效","超范围"))</f>
        <v>有效</v>
      </c>
      <c r="AC5" s="30" t="str">
        <f t="shared" ref="AC5:AC14" si="8">IF(OR($J5="",ROW()=5,$B5&lt;&gt;$B4,$J4=""),"",IF($J5&lt;$J4,"下降",""))</f>
        <v/>
      </c>
      <c r="AD5" s="31" t="s">
        <v>939</v>
      </c>
      <c r="AE5">
        <v>35500</v>
      </c>
      <c r="AF5">
        <f>INDEX(_统一战力!$B$2:$B$501,J5)</f>
        <v>82700</v>
      </c>
    </row>
    <row r="6" ht="25" customHeight="1" spans="1:32">
      <c r="A6" s="30" t="s">
        <v>150</v>
      </c>
      <c r="B6" s="30" t="s">
        <v>60</v>
      </c>
      <c r="C6" s="31" t="s">
        <v>937</v>
      </c>
      <c r="D6" s="31" t="s">
        <v>576</v>
      </c>
      <c r="E6" s="31" t="s">
        <v>940</v>
      </c>
      <c r="F6" s="30" t="s">
        <v>164</v>
      </c>
      <c r="G6" s="40">
        <v>64</v>
      </c>
      <c r="H6" s="41"/>
      <c r="I6" s="42">
        <f t="shared" si="0"/>
        <v>64</v>
      </c>
      <c r="J6" s="43">
        <v>95</v>
      </c>
      <c r="K6" s="44">
        <v>1.09907357478448</v>
      </c>
      <c r="L6" s="44">
        <v>0.791963262055697</v>
      </c>
      <c r="M6" s="44">
        <v>1</v>
      </c>
      <c r="N6" s="45"/>
      <c r="O6" s="45"/>
      <c r="P6" s="45"/>
      <c r="Q6" s="46">
        <f>IF($I6="","",IFERROR(INDEX(_玩家曲线!$H$2:$H$286,MATCH($I6,_玩家曲线!$A$2:$A$286,0)),""))</f>
        <v>165656.324811522</v>
      </c>
      <c r="R6" s="46">
        <f>IF($I6="","",IFERROR(INDEX(_玩家曲线!$I$2:$I$286,MATCH($I6,_玩家曲线!$A$2:$A$286,0)),""))</f>
        <v>352956.471884879</v>
      </c>
      <c r="S6" s="46">
        <f>IF(OR($J6="",$F6="不适用"),"",IFERROR(INDEX(_怪物模型!$D$2:$D$4501,(INT($J6)-1)*ROWS(_怪物类型!$A$2:$A$10)+MATCH($F6,_怪物类型!$A$2:$A$10,0))*IF($K6="",1,$K6),""))</f>
        <v>2861389.6927141</v>
      </c>
      <c r="T6" s="46">
        <f>IF(OR($J6="",$F6="不适用"),"",IFERROR(INDEX(_怪物模型!$E$2:$E$4501,(INT($J6)-1)*ROWS(_怪物类型!$A$2:$A$10)+MATCH($F6,_怪物类型!$A$2:$A$10,0))*IF($L6="",1,$L6),""))</f>
        <v>5763.11665797931</v>
      </c>
      <c r="U6" s="46">
        <f>IF(OR($J6="",$F6="不适用"),"",IFERROR(INDEX(_怪物模型!$F$2:$F$4501,(INT($J6)-1)*ROWS(_怪物类型!$A$2:$A$10)+MATCH($F6,_怪物类型!$A$2:$A$10,0))*IF($M6="",1,$M6),""))</f>
        <v>8039</v>
      </c>
      <c r="V6" s="47">
        <f t="shared" si="1"/>
        <v>0.25091294984238</v>
      </c>
      <c r="W6" s="48">
        <f t="shared" si="2"/>
        <v>3819836.0152028</v>
      </c>
      <c r="X6" s="48">
        <f t="shared" si="3"/>
        <v>23.0587997141001</v>
      </c>
      <c r="Y6" s="48">
        <f t="shared" si="4"/>
        <v>61.2440269443781</v>
      </c>
      <c r="Z6" s="49" t="str">
        <f t="shared" si="5"/>
        <v/>
      </c>
      <c r="AA6" s="30" t="str">
        <f t="shared" si="6"/>
        <v>已计算</v>
      </c>
      <c r="AB6" s="30" t="str">
        <f t="shared" si="7"/>
        <v>有效</v>
      </c>
      <c r="AC6" s="30" t="str">
        <f t="shared" si="8"/>
        <v/>
      </c>
      <c r="AD6" s="31" t="s">
        <v>941</v>
      </c>
      <c r="AE6">
        <v>62400</v>
      </c>
      <c r="AF6">
        <f>INDEX(_统一战力!$B$2:$B$501,J6)</f>
        <v>166000</v>
      </c>
    </row>
    <row r="7" ht="25" customHeight="1" spans="1:32">
      <c r="A7" s="30" t="s">
        <v>150</v>
      </c>
      <c r="B7" s="30" t="s">
        <v>60</v>
      </c>
      <c r="C7" s="31" t="s">
        <v>937</v>
      </c>
      <c r="D7" s="31" t="s">
        <v>579</v>
      </c>
      <c r="E7" s="31" t="s">
        <v>942</v>
      </c>
      <c r="F7" s="30" t="s">
        <v>164</v>
      </c>
      <c r="G7" s="40">
        <v>76</v>
      </c>
      <c r="H7" s="41"/>
      <c r="I7" s="42">
        <f t="shared" si="0"/>
        <v>76</v>
      </c>
      <c r="J7" s="43">
        <v>120</v>
      </c>
      <c r="K7" s="44">
        <v>1.07914424095209</v>
      </c>
      <c r="L7" s="44">
        <v>0.827303587460533</v>
      </c>
      <c r="M7" s="44">
        <v>1</v>
      </c>
      <c r="N7" s="45"/>
      <c r="O7" s="45"/>
      <c r="P7" s="45"/>
      <c r="Q7" s="46">
        <f>IF($I7="","",IFERROR(INDEX(_玩家曲线!$H$2:$H$286,MATCH($I7,_玩家曲线!$A$2:$A$286,0)),""))</f>
        <v>241771.641497773</v>
      </c>
      <c r="R7" s="46">
        <f>IF($I7="","",IFERROR(INDEX(_玩家曲线!$I$2:$I$286,MATCH($I7,_玩家曲线!$A$2:$A$286,0)),""))</f>
        <v>494857.08136754</v>
      </c>
      <c r="S7" s="46">
        <f>IF(OR($J7="",$F7="不适用"),"",IFERROR(INDEX(_怪物模型!$D$2:$D$4501,(INT($J7)-1)*ROWS(_怪物类型!$A$2:$A$10)+MATCH($F7,_怪物类型!$A$2:$A$10,0))*IF($K7="",1,$K7),""))</f>
        <v>4661934.41609602</v>
      </c>
      <c r="T7" s="46">
        <f>IF(OR($J7="",$F7="不适用"),"",IFERROR(INDEX(_怪物模型!$E$2:$E$4501,(INT($J7)-1)*ROWS(_怪物类型!$A$2:$A$10)+MATCH($F7,_怪物类型!$A$2:$A$10,0))*IF($L7="",1,$L7),""))</f>
        <v>8287.10003559216</v>
      </c>
      <c r="U7" s="46">
        <f>IF(OR($J7="",$F7="不适用"),"",IFERROR(INDEX(_怪物模型!$F$2:$F$4501,(INT($J7)-1)*ROWS(_怪物类型!$A$2:$A$10)+MATCH($F7,_怪物类型!$A$2:$A$10,0))*IF($M7="",1,$M7),""))</f>
        <v>10496</v>
      </c>
      <c r="V7" s="47">
        <f t="shared" si="1"/>
        <v>0.304267161410019</v>
      </c>
      <c r="W7" s="48">
        <f t="shared" si="2"/>
        <v>6700753.73406867</v>
      </c>
      <c r="X7" s="48">
        <f t="shared" si="3"/>
        <v>27.7152179327467</v>
      </c>
      <c r="Y7" s="48">
        <f t="shared" si="4"/>
        <v>59.7141435776309</v>
      </c>
      <c r="Z7" s="49" t="str">
        <f t="shared" si="5"/>
        <v/>
      </c>
      <c r="AA7" s="30" t="str">
        <f t="shared" si="6"/>
        <v>已计算</v>
      </c>
      <c r="AB7" s="30" t="str">
        <f t="shared" si="7"/>
        <v>有效</v>
      </c>
      <c r="AC7" s="30" t="str">
        <f t="shared" si="8"/>
        <v/>
      </c>
      <c r="AD7" s="31" t="s">
        <v>943</v>
      </c>
      <c r="AE7">
        <v>95900</v>
      </c>
      <c r="AF7">
        <f>INDEX(_统一战力!$B$2:$B$501,J7)</f>
        <v>274000</v>
      </c>
    </row>
    <row r="8" ht="25" customHeight="1" spans="1:32">
      <c r="A8" s="30" t="s">
        <v>150</v>
      </c>
      <c r="B8" s="30" t="s">
        <v>60</v>
      </c>
      <c r="C8" s="31" t="s">
        <v>937</v>
      </c>
      <c r="D8" s="31" t="s">
        <v>582</v>
      </c>
      <c r="E8" s="31" t="s">
        <v>944</v>
      </c>
      <c r="F8" s="30" t="s">
        <v>164</v>
      </c>
      <c r="G8" s="40">
        <v>89</v>
      </c>
      <c r="H8" s="41"/>
      <c r="I8" s="42">
        <f t="shared" si="0"/>
        <v>89</v>
      </c>
      <c r="J8" s="43">
        <v>141</v>
      </c>
      <c r="K8" s="44">
        <v>1.05480649735759</v>
      </c>
      <c r="L8" s="44">
        <v>0.854646990676799</v>
      </c>
      <c r="M8" s="44">
        <v>1</v>
      </c>
      <c r="N8" s="45"/>
      <c r="O8" s="45"/>
      <c r="P8" s="45"/>
      <c r="Q8" s="46">
        <f>IF($I8="","",IFERROR(INDEX(_玩家曲线!$H$2:$H$286,MATCH($I8,_玩家曲线!$A$2:$A$286,0)),""))</f>
        <v>326620.567530564</v>
      </c>
      <c r="R8" s="46">
        <f>IF($I8="","",IFERROR(INDEX(_玩家曲线!$I$2:$I$286,MATCH($I8,_玩家曲线!$A$2:$A$286,0)),""))</f>
        <v>644822.593466224</v>
      </c>
      <c r="S8" s="46">
        <f>IF(OR($J8="",$F8="不适用"),"",IFERROR(INDEX(_怪物模型!$D$2:$D$4501,(INT($J8)-1)*ROWS(_怪物类型!$A$2:$A$10)+MATCH($F8,_怪物类型!$A$2:$A$10,0))*IF($K8="",1,$K8),""))</f>
        <v>6610875.25502201</v>
      </c>
      <c r="T8" s="46">
        <f>IF(OR($J8="",$F8="不适用"),"",IFERROR(INDEX(_怪物模型!$E$2:$E$4501,(INT($J8)-1)*ROWS(_怪物类型!$A$2:$A$10)+MATCH($F8,_怪物类型!$A$2:$A$10,0))*IF($L8="",1,$L8),""))</f>
        <v>10812.9937260429</v>
      </c>
      <c r="U8" s="46">
        <f>IF(OR($J8="",$F8="不适用"),"",IFERROR(INDEX(_怪物模型!$F$2:$F$4501,(INT($J8)-1)*ROWS(_怪物类型!$A$2:$A$10)+MATCH($F8,_怪物类型!$A$2:$A$10,0))*IF($M8="",1,$M8),""))</f>
        <v>12670</v>
      </c>
      <c r="V8" s="47">
        <f t="shared" si="1"/>
        <v>0.345514044177802</v>
      </c>
      <c r="W8" s="48">
        <f t="shared" si="2"/>
        <v>10100866.4834024</v>
      </c>
      <c r="X8" s="48">
        <f t="shared" si="3"/>
        <v>30.9253840312955</v>
      </c>
      <c r="Y8" s="48">
        <f t="shared" si="4"/>
        <v>59.6340486088679</v>
      </c>
      <c r="Z8" s="49" t="str">
        <f t="shared" si="5"/>
        <v/>
      </c>
      <c r="AA8" s="30" t="str">
        <f t="shared" si="6"/>
        <v>已计算</v>
      </c>
      <c r="AB8" s="30" t="str">
        <f t="shared" si="7"/>
        <v>有效</v>
      </c>
      <c r="AC8" s="30" t="str">
        <f t="shared" si="8"/>
        <v/>
      </c>
      <c r="AD8" s="31" t="s">
        <v>945</v>
      </c>
      <c r="AE8">
        <v>136000</v>
      </c>
      <c r="AF8">
        <f>INDEX(_统一战力!$B$2:$B$501,J8)</f>
        <v>381000</v>
      </c>
    </row>
    <row r="9" ht="25" customHeight="1" spans="1:32">
      <c r="A9" s="30" t="s">
        <v>150</v>
      </c>
      <c r="B9" s="30" t="s">
        <v>60</v>
      </c>
      <c r="C9" s="31" t="s">
        <v>937</v>
      </c>
      <c r="D9" s="31" t="s">
        <v>585</v>
      </c>
      <c r="E9" s="31" t="s">
        <v>946</v>
      </c>
      <c r="F9" s="30" t="s">
        <v>164</v>
      </c>
      <c r="G9" s="40">
        <v>104</v>
      </c>
      <c r="H9" s="41"/>
      <c r="I9" s="42">
        <f t="shared" si="0"/>
        <v>104</v>
      </c>
      <c r="J9" s="43">
        <v>162</v>
      </c>
      <c r="K9" s="44">
        <v>1.03967770900507</v>
      </c>
      <c r="L9" s="44">
        <v>0.886835348544449</v>
      </c>
      <c r="M9" s="44">
        <v>1</v>
      </c>
      <c r="N9" s="45"/>
      <c r="O9" s="45"/>
      <c r="P9" s="45"/>
      <c r="Q9" s="46">
        <f>IF($I9="","",IFERROR(INDEX(_玩家曲线!$H$2:$H$286,MATCH($I9,_玩家曲线!$A$2:$A$286,0)),""))</f>
        <v>438193.789707759</v>
      </c>
      <c r="R9" s="46">
        <f>IF($I9="","",IFERROR(INDEX(_玩家曲线!$I$2:$I$286,MATCH($I9,_玩家曲线!$A$2:$A$286,0)),""))</f>
        <v>824109.783432818</v>
      </c>
      <c r="S9" s="46">
        <f>IF(OR($J9="",$F9="不适用"),"",IFERROR(INDEX(_怪物模型!$D$2:$D$4501,(INT($J9)-1)*ROWS(_怪物类型!$A$2:$A$10)+MATCH($F9,_怪物类型!$A$2:$A$10,0))*IF($K9="",1,$K9),""))</f>
        <v>9108868.010599</v>
      </c>
      <c r="T9" s="46">
        <f>IF(OR($J9="",$F9="不适用"),"",IFERROR(INDEX(_怪物模型!$E$2:$E$4501,(INT($J9)-1)*ROWS(_怪物类型!$A$2:$A$10)+MATCH($F9,_怪物类型!$A$2:$A$10,0))*IF($L9="",1,$L9),""))</f>
        <v>13858.5759917041</v>
      </c>
      <c r="U9" s="46">
        <f>IF(OR($J9="",$F9="不适用"),"",IFERROR(INDEX(_怪物模型!$F$2:$F$4501,(INT($J9)-1)*ROWS(_怪物类型!$A$2:$A$10)+MATCH($F9,_怪物类型!$A$2:$A$10,0))*IF($M9="",1,$M9),""))</f>
        <v>14944</v>
      </c>
      <c r="V9" s="47">
        <f t="shared" si="1"/>
        <v>0.383730484798685</v>
      </c>
      <c r="W9" s="48">
        <f t="shared" si="2"/>
        <v>14780656.4918653</v>
      </c>
      <c r="X9" s="48">
        <f t="shared" si="3"/>
        <v>33.7308671164026</v>
      </c>
      <c r="Y9" s="48">
        <f t="shared" si="4"/>
        <v>59.4656899760942</v>
      </c>
      <c r="Z9" s="49" t="str">
        <f t="shared" si="5"/>
        <v/>
      </c>
      <c r="AA9" s="30" t="str">
        <f t="shared" si="6"/>
        <v>已计算</v>
      </c>
      <c r="AB9" s="30" t="str">
        <f t="shared" si="7"/>
        <v>有效</v>
      </c>
      <c r="AC9" s="30" t="str">
        <f t="shared" si="8"/>
        <v/>
      </c>
      <c r="AD9" s="31" t="s">
        <v>947</v>
      </c>
      <c r="AE9">
        <v>180000</v>
      </c>
      <c r="AF9">
        <f>INDEX(_统一战力!$B$2:$B$501,J9)</f>
        <v>409000</v>
      </c>
    </row>
    <row r="10" ht="25" customHeight="1" spans="1:32">
      <c r="A10" s="30" t="s">
        <v>150</v>
      </c>
      <c r="B10" s="30" t="s">
        <v>60</v>
      </c>
      <c r="C10" s="31" t="s">
        <v>937</v>
      </c>
      <c r="D10" s="31" t="s">
        <v>589</v>
      </c>
      <c r="E10" s="31" t="s">
        <v>948</v>
      </c>
      <c r="F10" s="30" t="s">
        <v>164</v>
      </c>
      <c r="G10" s="40">
        <v>122</v>
      </c>
      <c r="H10" s="41"/>
      <c r="I10" s="42">
        <f t="shared" si="0"/>
        <v>122</v>
      </c>
      <c r="J10" s="43">
        <v>189</v>
      </c>
      <c r="K10" s="44">
        <v>1.03127610503314</v>
      </c>
      <c r="L10" s="44">
        <v>0.939466811310611</v>
      </c>
      <c r="M10" s="44">
        <v>1</v>
      </c>
      <c r="N10" s="45"/>
      <c r="O10" s="45"/>
      <c r="P10" s="45"/>
      <c r="Q10" s="46">
        <f>IF($I10="","",IFERROR(INDEX(_玩家曲线!$H$2:$H$286,MATCH($I10,_玩家曲线!$A$2:$A$286,0)),""))</f>
        <v>654667.477063403</v>
      </c>
      <c r="R10" s="46">
        <f>IF($I10="","",IFERROR(INDEX(_玩家曲线!$I$2:$I$286,MATCH($I10,_玩家曲线!$A$2:$A$286,0)),""))</f>
        <v>1117995.99828374</v>
      </c>
      <c r="S10" s="46">
        <f>IF(OR($J10="",$F10="不适用"),"",IFERROR(INDEX(_怪物模型!$D$2:$D$4501,(INT($J10)-1)*ROWS(_怪物类型!$A$2:$A$10)+MATCH($F10,_怪物类型!$A$2:$A$10,0))*IF($K10="",1,$K10),""))</f>
        <v>13325181.4609756</v>
      </c>
      <c r="T10" s="46">
        <f>IF(OR($J10="",$F10="不适用"),"",IFERROR(INDEX(_怪物模型!$E$2:$E$4501,(INT($J10)-1)*ROWS(_怪物类型!$A$2:$A$10)+MATCH($F10,_怪物类型!$A$2:$A$10,0))*IF($L10="",1,$L10),""))</f>
        <v>18799.6703611366</v>
      </c>
      <c r="U10" s="46">
        <f>IF(OR($J10="",$F10="不适用"),"",IFERROR(INDEX(_怪物模型!$F$2:$F$4501,(INT($J10)-1)*ROWS(_怪物类型!$A$2:$A$10)+MATCH($F10,_怪物类型!$A$2:$A$10,0))*IF($M10="",1,$M10),""))</f>
        <v>18015</v>
      </c>
      <c r="V10" s="47">
        <f t="shared" si="1"/>
        <v>0.428775437343806</v>
      </c>
      <c r="W10" s="48">
        <f t="shared" si="2"/>
        <v>23327395.7951204</v>
      </c>
      <c r="X10" s="48">
        <f t="shared" si="3"/>
        <v>35.632434193552</v>
      </c>
      <c r="Y10" s="48">
        <f t="shared" si="4"/>
        <v>59.4689149760254</v>
      </c>
      <c r="Z10" s="49" t="str">
        <f t="shared" si="5"/>
        <v/>
      </c>
      <c r="AA10" s="30" t="str">
        <f t="shared" si="6"/>
        <v>已计算</v>
      </c>
      <c r="AB10" s="30" t="str">
        <f t="shared" si="7"/>
        <v>有效</v>
      </c>
      <c r="AC10" s="30" t="str">
        <f t="shared" si="8"/>
        <v/>
      </c>
      <c r="AD10" s="31" t="s">
        <v>949</v>
      </c>
      <c r="AE10">
        <v>249000</v>
      </c>
      <c r="AF10">
        <f>INDEX(_统一战力!$B$2:$B$501,J10)</f>
        <v>569000</v>
      </c>
    </row>
    <row r="11" ht="25" customHeight="1" spans="1:32">
      <c r="A11" s="30" t="s">
        <v>588</v>
      </c>
      <c r="B11" s="30" t="s">
        <v>60</v>
      </c>
      <c r="C11" s="31" t="s">
        <v>937</v>
      </c>
      <c r="D11" s="31" t="s">
        <v>592</v>
      </c>
      <c r="E11" s="31" t="s">
        <v>950</v>
      </c>
      <c r="F11" s="30" t="s">
        <v>164</v>
      </c>
      <c r="G11" s="40">
        <v>144</v>
      </c>
      <c r="H11" s="41"/>
      <c r="I11" s="42">
        <f t="shared" si="0"/>
        <v>144</v>
      </c>
      <c r="J11" s="43">
        <v>244</v>
      </c>
      <c r="K11" s="45"/>
      <c r="L11" s="45"/>
      <c r="M11" s="45"/>
      <c r="N11" s="45"/>
      <c r="O11" s="45"/>
      <c r="P11" s="45"/>
      <c r="Q11" s="46">
        <f>IF($I11="","",IFERROR(INDEX(_玩家曲线!$H$2:$H$286,MATCH($I11,_玩家曲线!$A$2:$A$286,0)),""))</f>
        <v>932330.377180163</v>
      </c>
      <c r="R11" s="46">
        <f>IF($I11="","",IFERROR(INDEX(_玩家曲线!$I$2:$I$286,MATCH($I11,_玩家曲线!$A$2:$A$286,0)),""))</f>
        <v>1454710.19421322</v>
      </c>
      <c r="S11" s="46">
        <f>IF(OR($J11="",$F11="不适用"),"",IFERROR(INDEX(_怪物模型!$D$2:$D$4501,(INT($J11)-1)*ROWS(_怪物类型!$A$2:$A$10)+MATCH($F11,_怪物类型!$A$2:$A$10,0))*IF($K11="",1,$K11),""))</f>
        <v>25660496</v>
      </c>
      <c r="T11" s="46">
        <f>IF(OR($J11="",$F11="不适用"),"",IFERROR(INDEX(_怪物模型!$E$2:$E$4501,(INT($J11)-1)*ROWS(_怪物类型!$A$2:$A$10)+MATCH($F11,_怪物类型!$A$2:$A$10,0))*IF($L11="",1,$L11),""))</f>
        <v>31248</v>
      </c>
      <c r="U11" s="46">
        <f>IF(OR($J11="",$F11="不适用"),"",IFERROR(INDEX(_怪物模型!$F$2:$F$4501,(INT($J11)-1)*ROWS(_怪物类型!$A$2:$A$10)+MATCH($F11,_怪物类型!$A$2:$A$10,0))*IF($M11="",1,$M11),""))</f>
        <v>24783</v>
      </c>
      <c r="V11" s="47">
        <f t="shared" si="1"/>
        <v>0.50802533669516</v>
      </c>
      <c r="W11" s="48">
        <f t="shared" si="2"/>
        <v>52158165.682</v>
      </c>
      <c r="X11" s="48">
        <f t="shared" si="3"/>
        <v>55.9438659928175</v>
      </c>
      <c r="Y11" s="48">
        <f t="shared" si="4"/>
        <v>46.5537056519848</v>
      </c>
      <c r="Z11" s="49" t="str">
        <f t="shared" si="5"/>
        <v/>
      </c>
      <c r="AA11" s="30" t="str">
        <f t="shared" si="6"/>
        <v>已计算</v>
      </c>
      <c r="AB11" s="30" t="str">
        <f t="shared" si="7"/>
        <v>有效</v>
      </c>
      <c r="AC11" s="30" t="str">
        <f t="shared" si="8"/>
        <v/>
      </c>
      <c r="AD11" s="31" t="s">
        <v>951</v>
      </c>
      <c r="AE11">
        <v>445000</v>
      </c>
    </row>
    <row r="12" ht="25" customHeight="1" spans="1:32">
      <c r="A12" s="30" t="s">
        <v>588</v>
      </c>
      <c r="B12" s="30" t="s">
        <v>60</v>
      </c>
      <c r="C12" s="31" t="s">
        <v>937</v>
      </c>
      <c r="D12" s="31" t="s">
        <v>595</v>
      </c>
      <c r="E12" s="31" t="s">
        <v>952</v>
      </c>
      <c r="F12" s="30" t="s">
        <v>164</v>
      </c>
      <c r="G12" s="40">
        <v>172</v>
      </c>
      <c r="H12" s="41"/>
      <c r="I12" s="42">
        <f t="shared" si="0"/>
        <v>172</v>
      </c>
      <c r="J12" s="43">
        <v>263</v>
      </c>
      <c r="K12" s="45"/>
      <c r="L12" s="45"/>
      <c r="M12" s="45"/>
      <c r="N12" s="45"/>
      <c r="O12" s="45"/>
      <c r="P12" s="45"/>
      <c r="Q12" s="46">
        <f>IF($I12="","",IFERROR(INDEX(_玩家曲线!$H$2:$H$286,MATCH($I12,_玩家曲线!$A$2:$A$286,0)),""))</f>
        <v>1272286.14469434</v>
      </c>
      <c r="R12" s="46">
        <f>IF($I12="","",IFERROR(INDEX(_玩家曲线!$I$2:$I$286,MATCH($I12,_玩家曲线!$A$2:$A$286,0)),""))</f>
        <v>1827365.88922263</v>
      </c>
      <c r="S12" s="46">
        <f>IF(OR($J12="",$F12="不适用"),"",IFERROR(INDEX(_怪物模型!$D$2:$D$4501,(INT($J12)-1)*ROWS(_怪物类型!$A$2:$A$10)+MATCH($F12,_怪物类型!$A$2:$A$10,0))*IF($K12="",1,$K12),""))</f>
        <v>31736300</v>
      </c>
      <c r="T12" s="46">
        <f>IF(OR($J12="",$F12="不适用"),"",IFERROR(INDEX(_怪物模型!$E$2:$E$4501,(INT($J12)-1)*ROWS(_怪物类型!$A$2:$A$10)+MATCH($F12,_怪物类型!$A$2:$A$10,0))*IF($L12="",1,$L12),""))</f>
        <v>35977</v>
      </c>
      <c r="U12" s="46">
        <f>IF(OR($J12="",$F12="不适用"),"",IFERROR(INDEX(_怪物模型!$F$2:$F$4501,(INT($J12)-1)*ROWS(_怪物类型!$A$2:$A$10)+MATCH($F12,_怪物类型!$A$2:$A$10,0))*IF($M12="",1,$M12),""))</f>
        <v>27281</v>
      </c>
      <c r="V12" s="47">
        <f t="shared" si="1"/>
        <v>0.531990405803319</v>
      </c>
      <c r="W12" s="48">
        <f t="shared" si="2"/>
        <v>67811216.6791667</v>
      </c>
      <c r="X12" s="48">
        <f t="shared" si="3"/>
        <v>53.2987150429575</v>
      </c>
      <c r="Y12" s="48">
        <f t="shared" si="4"/>
        <v>50.7926144265122</v>
      </c>
      <c r="Z12" s="49" t="str">
        <f t="shared" si="5"/>
        <v/>
      </c>
      <c r="AA12" s="30" t="str">
        <f t="shared" si="6"/>
        <v>已计算</v>
      </c>
      <c r="AB12" s="30" t="str">
        <f t="shared" si="7"/>
        <v>有效</v>
      </c>
      <c r="AC12" s="30" t="str">
        <f t="shared" si="8"/>
        <v/>
      </c>
      <c r="AD12" s="31" t="s">
        <v>953</v>
      </c>
      <c r="AE12">
        <v>522000</v>
      </c>
    </row>
    <row r="13" ht="25" customHeight="1" spans="1:32">
      <c r="A13" s="30" t="s">
        <v>588</v>
      </c>
      <c r="B13" s="30" t="s">
        <v>60</v>
      </c>
      <c r="C13" s="31" t="s">
        <v>937</v>
      </c>
      <c r="D13" s="31" t="s">
        <v>598</v>
      </c>
      <c r="E13" s="31" t="s">
        <v>954</v>
      </c>
      <c r="F13" s="30" t="s">
        <v>164</v>
      </c>
      <c r="G13" s="40">
        <v>209</v>
      </c>
      <c r="H13" s="41"/>
      <c r="I13" s="42">
        <f t="shared" si="0"/>
        <v>209</v>
      </c>
      <c r="J13" s="43">
        <v>279</v>
      </c>
      <c r="K13" s="45"/>
      <c r="L13" s="45"/>
      <c r="M13" s="45"/>
      <c r="N13" s="45"/>
      <c r="O13" s="45"/>
      <c r="P13" s="45"/>
      <c r="Q13" s="46">
        <f>IF($I13="","",IFERROR(INDEX(_玩家曲线!$H$2:$H$286,MATCH($I13,_玩家曲线!$A$2:$A$286,0)),""))</f>
        <v>1701720.97311869</v>
      </c>
      <c r="R13" s="46">
        <f>IF($I13="","",IFERROR(INDEX(_玩家曲线!$I$2:$I$286,MATCH($I13,_玩家曲线!$A$2:$A$286,0)),""))</f>
        <v>2256520.78005422</v>
      </c>
      <c r="S13" s="46">
        <f>IF(OR($J13="",$F13="不适用"),"",IFERROR(INDEX(_怪物模型!$D$2:$D$4501,(INT($J13)-1)*ROWS(_怪物类型!$A$2:$A$10)+MATCH($F13,_怪物类型!$A$2:$A$10,0))*IF($K13="",1,$K13),""))</f>
        <v>37663333</v>
      </c>
      <c r="T13" s="46">
        <f>IF(OR($J13="",$F13="不适用"),"",IFERROR(INDEX(_怪物模型!$E$2:$E$4501,(INT($J13)-1)*ROWS(_怪物类型!$A$2:$A$10)+MATCH($F13,_怪物类型!$A$2:$A$10,0))*IF($L13="",1,$L13),""))</f>
        <v>40347</v>
      </c>
      <c r="U13" s="46">
        <f>IF(OR($J13="",$F13="不适用"),"",IFERROR(INDEX(_怪物模型!$F$2:$F$4501,(INT($J13)-1)*ROWS(_怪物类型!$A$2:$A$10)+MATCH($F13,_怪物类型!$A$2:$A$10,0))*IF($M13="",1,$M13),""))</f>
        <v>29449</v>
      </c>
      <c r="V13" s="47">
        <f t="shared" si="1"/>
        <v>0.550973825515912</v>
      </c>
      <c r="W13" s="48">
        <f t="shared" si="2"/>
        <v>83877811.8965417</v>
      </c>
      <c r="X13" s="48">
        <f t="shared" si="3"/>
        <v>49.2899912626812</v>
      </c>
      <c r="Y13" s="48">
        <f t="shared" si="4"/>
        <v>55.9278454421449</v>
      </c>
      <c r="Z13" s="49" t="str">
        <f t="shared" si="5"/>
        <v/>
      </c>
      <c r="AA13" s="30" t="str">
        <f t="shared" si="6"/>
        <v>已计算</v>
      </c>
      <c r="AB13" s="30" t="str">
        <f t="shared" si="7"/>
        <v>有效</v>
      </c>
      <c r="AC13" s="30" t="str">
        <f t="shared" si="8"/>
        <v/>
      </c>
      <c r="AD13" s="31" t="s">
        <v>955</v>
      </c>
      <c r="AE13">
        <v>595000</v>
      </c>
    </row>
    <row r="14" ht="25" customHeight="1" spans="1:32">
      <c r="A14" s="30" t="s">
        <v>588</v>
      </c>
      <c r="B14" s="30" t="s">
        <v>60</v>
      </c>
      <c r="C14" s="31" t="s">
        <v>937</v>
      </c>
      <c r="D14" s="31" t="s">
        <v>641</v>
      </c>
      <c r="E14" s="31" t="s">
        <v>956</v>
      </c>
      <c r="F14" s="30" t="s">
        <v>164</v>
      </c>
      <c r="G14" s="40">
        <v>254</v>
      </c>
      <c r="H14" s="41"/>
      <c r="I14" s="42">
        <f t="shared" si="0"/>
        <v>254</v>
      </c>
      <c r="J14" s="43">
        <v>295</v>
      </c>
      <c r="K14" s="45"/>
      <c r="L14" s="45"/>
      <c r="M14" s="45"/>
      <c r="N14" s="45"/>
      <c r="O14" s="45"/>
      <c r="P14" s="45"/>
      <c r="Q14" s="46">
        <f>IF($I14="","",IFERROR(INDEX(_玩家曲线!$H$2:$H$286,MATCH($I14,_玩家曲线!$A$2:$A$286,0)),""))</f>
        <v>2209437.26644121</v>
      </c>
      <c r="R14" s="46">
        <f>IF($I14="","",IFERROR(INDEX(_玩家曲线!$I$2:$I$286,MATCH($I14,_玩家曲线!$A$2:$A$286,0)),""))</f>
        <v>2722271.5366903</v>
      </c>
      <c r="S14" s="46">
        <f>IF(OR($J14="",$F14="不适用"),"",IFERROR(INDEX(_怪物模型!$D$2:$D$4501,(INT($J14)-1)*ROWS(_怪物类型!$A$2:$A$10)+MATCH($F14,_怪物类型!$A$2:$A$10,0))*IF($K14="",1,$K14),""))</f>
        <v>44416582</v>
      </c>
      <c r="T14" s="46">
        <f>IF(OR($J14="",$F14="不适用"),"",IFERROR(INDEX(_怪物模型!$E$2:$E$4501,(INT($J14)-1)*ROWS(_怪物类型!$A$2:$A$10)+MATCH($F14,_怪物类型!$A$2:$A$10,0))*IF($L14="",1,$L14),""))</f>
        <v>45102</v>
      </c>
      <c r="U14" s="46">
        <f>IF(OR($J14="",$F14="不适用"),"",IFERROR(INDEX(_怪物模型!$F$2:$F$4501,(INT($J14)-1)*ROWS(_怪物类型!$A$2:$A$10)+MATCH($F14,_怪物类型!$A$2:$A$10,0))*IF($M14="",1,$M14),""))</f>
        <v>31674</v>
      </c>
      <c r="V14" s="47">
        <f t="shared" si="1"/>
        <v>0.56891906455437</v>
      </c>
      <c r="W14" s="48">
        <f t="shared" si="2"/>
        <v>103035366.0945</v>
      </c>
      <c r="X14" s="48">
        <f t="shared" si="3"/>
        <v>46.6342120953094</v>
      </c>
      <c r="Y14" s="48">
        <f t="shared" si="4"/>
        <v>60.3581113185734</v>
      </c>
      <c r="Z14" s="49" t="str">
        <f t="shared" si="5"/>
        <v/>
      </c>
      <c r="AA14" s="30" t="str">
        <f t="shared" si="6"/>
        <v>已计算</v>
      </c>
      <c r="AB14" s="30" t="str">
        <f t="shared" si="7"/>
        <v>有效</v>
      </c>
      <c r="AC14" s="30" t="str">
        <f t="shared" si="8"/>
        <v/>
      </c>
      <c r="AD14" s="31" t="s">
        <v>957</v>
      </c>
      <c r="AE14">
        <v>677000</v>
      </c>
    </row>
  </sheetData>
  <mergeCells count="3">
    <mergeCell ref="A1:AD1"/>
    <mergeCell ref="A2:AD2"/>
    <mergeCell ref="A3:AD3"/>
  </mergeCells>
  <conditionalFormatting sqref="J5:J14">
    <cfRule type="expression" dxfId="2" priority="1">
      <formula>AND($A5&lt;&gt;"特殊：双方属性对算",$J5="")</formula>
    </cfRule>
  </conditionalFormatting>
  <conditionalFormatting sqref="AA5:AA14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14">
    <cfRule type="expression" dxfId="4" priority="2">
      <formula>$AB5="超范围"</formula>
    </cfRule>
  </conditionalFormatting>
  <conditionalFormatting sqref="AC5:AC14">
    <cfRule type="expression" dxfId="4" priority="7">
      <formula>$AC5="下降"</formula>
    </cfRule>
  </conditionalFormatting>
  <dataValidations count="5">
    <dataValidation type="list" sqref="F5:F14">
      <formula1>_字典!$A$2:$A$11</formula1>
    </dataValidation>
    <dataValidation type="whole" operator="between" allowBlank="1" sqref="H5:H14">
      <formula1>1</formula1>
      <formula2>285</formula2>
    </dataValidation>
    <dataValidation type="whole" operator="between" allowBlank="1" sqref="J5:J14">
      <formula1>1</formula1>
      <formula2>500</formula2>
    </dataValidation>
    <dataValidation type="decimal" operator="between" allowBlank="1" sqref="P5:P14">
      <formula1>0.01</formula1>
      <formula2>3600</formula2>
    </dataValidation>
    <dataValidation type="decimal" operator="between" allowBlank="1" sqref="K5:O14">
      <formula1>0</formula1>
      <formula2>100</formula2>
    </dataValidation>
  </dataValidations>
  <hyperlinks>
    <hyperlink ref="A1" r:id="rId4" display="全玩法难度填写｜Boss挑战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D9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</cols>
  <sheetData>
    <row r="1" ht="34" customHeight="1" spans="1:30">
      <c r="A1" s="26" t="s">
        <v>958</v>
      </c>
    </row>
    <row r="2" ht="30" customHeight="1" spans="1:30">
      <c r="A2" s="27" t="s">
        <v>119</v>
      </c>
    </row>
    <row r="3" ht="14.25" customHeight="1" spans="1:30">
      <c r="A3" s="28" t="s">
        <v>120</v>
      </c>
    </row>
    <row r="4" ht="36" customHeight="1" spans="1:30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</row>
    <row r="5" ht="25" customHeight="1" spans="1:30">
      <c r="A5" s="30" t="s">
        <v>150</v>
      </c>
      <c r="B5" s="30" t="s">
        <v>61</v>
      </c>
      <c r="C5" s="31" t="s">
        <v>959</v>
      </c>
      <c r="D5" s="31" t="s">
        <v>573</v>
      </c>
      <c r="E5" s="31">
        <v>1000001</v>
      </c>
      <c r="F5" s="30" t="s">
        <v>164</v>
      </c>
      <c r="G5" s="40">
        <v>85</v>
      </c>
      <c r="H5" s="41"/>
      <c r="I5" s="42">
        <f>IF($H5="",$G5,$H5)</f>
        <v>85</v>
      </c>
      <c r="J5" s="43">
        <v>106</v>
      </c>
      <c r="K5" s="45"/>
      <c r="L5" s="45"/>
      <c r="M5" s="45"/>
      <c r="N5" s="45"/>
      <c r="O5" s="45"/>
      <c r="P5" s="45"/>
      <c r="Q5" s="46">
        <f>IF($I5="","",IFERROR(INDEX(_玩家曲线!$H$2:$H$286,MATCH($I5,_玩家曲线!$A$2:$A$286,0)),""))</f>
        <v>303608.455403675</v>
      </c>
      <c r="R5" s="46">
        <f>IF($I5="","",IFERROR(INDEX(_玩家曲线!$I$2:$I$286,MATCH($I5,_玩家曲线!$A$2:$A$286,0)),""))</f>
        <v>604842.67487879</v>
      </c>
      <c r="S5" s="46">
        <f>IF(OR($J5="",$F5="不适用"),"",IFERROR(INDEX(_怪物模型!$D$2:$D$4501,(INT($J5)-1)*ROWS(_怪物类型!$A$2:$A$10)+MATCH($F5,_怪物类型!$A$2:$A$10,0))*IF($K5="",1,$K5),""))</f>
        <v>3285226</v>
      </c>
      <c r="T5" s="46">
        <f>IF(OR($J5="",$F5="不适用"),"",IFERROR(INDEX(_怪物模型!$E$2:$E$4501,(INT($J5)-1)*ROWS(_怪物类型!$A$2:$A$10)+MATCH($F5,_怪物类型!$A$2:$A$10,0))*IF($L5="",1,$L5),""))</f>
        <v>8432</v>
      </c>
      <c r="U5" s="46">
        <f>IF(OR($J5="",$F5="不适用"),"",IFERROR(INDEX(_怪物模型!$F$2:$F$4501,(INT($J5)-1)*ROWS(_怪物类型!$A$2:$A$10)+MATCH($F5,_怪物类型!$A$2:$A$10,0))*IF($M5="",1,$M5),""))</f>
        <v>9103</v>
      </c>
      <c r="V5" s="47">
        <f>IF($U5="","",MIN(0.75,$U5/($U5+24000)))</f>
        <v>0.274990182158717</v>
      </c>
      <c r="W5" s="48">
        <f>IF($S5="","",$S5/(1-$V5)*IF($N5="",1,$N5))</f>
        <v>4531284.84491667</v>
      </c>
      <c r="X5" s="48">
        <f>IF(OR($W5="",$Q5="",$Q5=0),"",$W5/$Q5)</f>
        <v>14.9247649868378</v>
      </c>
      <c r="Y5" s="48">
        <f>IF(OR($R5="",$T5="",$T5=0),"",$R5/($T5*IF($O5="",1,$O5)))</f>
        <v>71.7318162806914</v>
      </c>
      <c r="Z5" s="49" t="str">
        <f>IF(OR($X5="",$P5="",$P5=0),"",$X5/$P5)</f>
        <v/>
      </c>
      <c r="AA5" s="30" t="str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>IF($J5="","待填",IF(AND(ISNUMBER($J5),$J5&gt;=1,$J5&lt;=500,MOD($J5,1)=0),"有效","超范围"))</f>
        <v>有效</v>
      </c>
      <c r="AC5" s="30" t="str">
        <f>IF(OR($J5="",ROW()=5,$B5&lt;&gt;$B4,$J4=""),"",IF($J5&lt;$J4,"下降",""))</f>
        <v/>
      </c>
      <c r="AD5" s="31" t="s">
        <v>960</v>
      </c>
    </row>
    <row r="6" ht="25" customHeight="1" spans="1:30">
      <c r="A6" s="30" t="s">
        <v>150</v>
      </c>
      <c r="B6" s="30" t="s">
        <v>61</v>
      </c>
      <c r="C6" s="31" t="s">
        <v>959</v>
      </c>
      <c r="D6" s="31" t="s">
        <v>576</v>
      </c>
      <c r="E6" s="31">
        <v>1000002</v>
      </c>
      <c r="F6" s="30" t="s">
        <v>164</v>
      </c>
      <c r="G6" s="40">
        <v>110</v>
      </c>
      <c r="H6" s="41"/>
      <c r="I6" s="42">
        <f>IF($H6="",$G6,$H6)</f>
        <v>110</v>
      </c>
      <c r="J6" s="43">
        <v>154</v>
      </c>
      <c r="K6" s="45"/>
      <c r="L6" s="45"/>
      <c r="M6" s="45"/>
      <c r="N6" s="45"/>
      <c r="O6" s="45"/>
      <c r="P6" s="45"/>
      <c r="Q6" s="46">
        <f>IF($I6="","",IFERROR(INDEX(_玩家曲线!$H$2:$H$286,MATCH($I6,_玩家曲线!$A$2:$A$286,0)),""))</f>
        <v>508840.728168413</v>
      </c>
      <c r="R6" s="46">
        <f>IF($I6="","",IFERROR(INDEX(_玩家曲线!$I$2:$I$286,MATCH($I6,_玩家曲线!$A$2:$A$286,0)),""))</f>
        <v>923924.615741295</v>
      </c>
      <c r="S6" s="46">
        <f>IF(OR($J6="",$F6="不适用"),"",IFERROR(INDEX(_怪物模型!$D$2:$D$4501,(INT($J6)-1)*ROWS(_怪物类型!$A$2:$A$10)+MATCH($F6,_怪物类型!$A$2:$A$10,0))*IF($K6="",1,$K6),""))</f>
        <v>7741117</v>
      </c>
      <c r="T6" s="46">
        <f>IF(OR($J6="",$F6="不适用"),"",IFERROR(INDEX(_怪物模型!$E$2:$E$4501,(INT($J6)-1)*ROWS(_怪物类型!$A$2:$A$10)+MATCH($F6,_怪物类型!$A$2:$A$10,0))*IF($L6="",1,$L6),""))</f>
        <v>14451</v>
      </c>
      <c r="U6" s="46">
        <f>IF(OR($J6="",$F6="不适用"),"",IFERROR(INDEX(_怪物模型!$F$2:$F$4501,(INT($J6)-1)*ROWS(_怪物类型!$A$2:$A$10)+MATCH($F6,_怪物类型!$A$2:$A$10,0))*IF($M6="",1,$M6),""))</f>
        <v>14066</v>
      </c>
      <c r="V6" s="47">
        <f>IF($U6="","",MIN(0.75,$U6/($U6+24000)))</f>
        <v>0.36951610360952</v>
      </c>
      <c r="W6" s="48">
        <f>IF($S6="","",$S6/(1-$V6)*IF($N6="",1,$N6))</f>
        <v>12278056.6550833</v>
      </c>
      <c r="X6" s="48">
        <f>IF(OR($W6="",$Q6="",$Q6=0),"",$W6/$Q6)</f>
        <v>24.129469154874</v>
      </c>
      <c r="Y6" s="48">
        <f>IF(OR($R6="",$T6="",$T6=0),"",$R6/($T6*IF($O6="",1,$O6)))</f>
        <v>63.9349952073417</v>
      </c>
      <c r="Z6" s="49" t="str">
        <f>IF(OR($X6="",$P6="",$P6=0),"",$X6/$P6)</f>
        <v/>
      </c>
      <c r="AA6" s="30" t="str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>已计算</v>
      </c>
      <c r="AB6" s="30" t="str">
        <f>IF($J6="","待填",IF(AND(ISNUMBER($J6),$J6&gt;=1,$J6&lt;=500,MOD($J6,1)=0),"有效","超范围"))</f>
        <v>有效</v>
      </c>
      <c r="AC6" s="30" t="str">
        <f>IF(OR($J6="",ROW()=5,$B6&lt;&gt;$B5,$J5=""),"",IF($J6&lt;$J5,"下降",""))</f>
        <v/>
      </c>
      <c r="AD6" s="31" t="s">
        <v>961</v>
      </c>
    </row>
    <row r="7" ht="25" customHeight="1" spans="1:30">
      <c r="A7" s="30" t="s">
        <v>150</v>
      </c>
      <c r="B7" s="30" t="s">
        <v>61</v>
      </c>
      <c r="C7" s="31" t="s">
        <v>959</v>
      </c>
      <c r="D7" s="31" t="s">
        <v>579</v>
      </c>
      <c r="E7" s="31">
        <v>1000003</v>
      </c>
      <c r="F7" s="30" t="s">
        <v>164</v>
      </c>
      <c r="G7" s="40">
        <v>145</v>
      </c>
      <c r="H7" s="41"/>
      <c r="I7" s="42">
        <f>IF($H7="",$G7,$H7)</f>
        <v>145</v>
      </c>
      <c r="J7" s="43">
        <v>218</v>
      </c>
      <c r="K7" s="45"/>
      <c r="L7" s="45"/>
      <c r="M7" s="45"/>
      <c r="N7" s="45"/>
      <c r="O7" s="45"/>
      <c r="P7" s="45"/>
      <c r="Q7" s="46">
        <f>IF($I7="","",IFERROR(INDEX(_玩家曲线!$H$2:$H$286,MATCH($I7,_玩家曲线!$A$2:$A$286,0)),""))</f>
        <v>944736.740100976</v>
      </c>
      <c r="R7" s="46">
        <f>IF($I7="","",IFERROR(INDEX(_玩家曲线!$I$2:$I$286,MATCH($I7,_玩家曲线!$A$2:$A$286,0)),""))</f>
        <v>1468975.82144667</v>
      </c>
      <c r="S7" s="46">
        <f>IF(OR($J7="",$F7="不适用"),"",IFERROR(INDEX(_怪物模型!$D$2:$D$4501,(INT($J7)-1)*ROWS(_怪物类型!$A$2:$A$10)+MATCH($F7,_怪物类型!$A$2:$A$10,0))*IF($K7="",1,$K7),""))</f>
        <v>18828908</v>
      </c>
      <c r="T7" s="46">
        <f>IF(OR($J7="",$F7="不适用"),"",IFERROR(INDEX(_怪物模型!$E$2:$E$4501,(INT($J7)-1)*ROWS(_怪物类型!$A$2:$A$10)+MATCH($F7,_怪物类型!$A$2:$A$10,0))*IF($L7="",1,$L7),""))</f>
        <v>25514</v>
      </c>
      <c r="U7" s="46">
        <f>IF(OR($J7="",$F7="不适用"),"",IFERROR(INDEX(_怪物模型!$F$2:$F$4501,(INT($J7)-1)*ROWS(_怪物类型!$A$2:$A$10)+MATCH($F7,_怪物类型!$A$2:$A$10,0))*IF($M7="",1,$M7),""))</f>
        <v>21498</v>
      </c>
      <c r="V7" s="47">
        <f>IF($U7="","",MIN(0.75,$U7/($U7+24000)))</f>
        <v>0.472504285902677</v>
      </c>
      <c r="W7" s="48">
        <f>IF($S7="","",$S7/(1-$V7)*IF($N7="",1,$N7))</f>
        <v>35694902.341</v>
      </c>
      <c r="X7" s="48">
        <f>IF(OR($W7="",$Q7="",$Q7=0),"",$W7/$Q7)</f>
        <v>37.7829090643652</v>
      </c>
      <c r="Y7" s="48">
        <f>IF(OR($R7="",$T7="",$T7=0),"",$R7/($T7*IF($O7="",1,$O7)))</f>
        <v>57.5752849983017</v>
      </c>
      <c r="Z7" s="49" t="str">
        <f>IF(OR($X7="",$P7="",$P7=0),"",$X7/$P7)</f>
        <v/>
      </c>
      <c r="AA7" s="30" t="str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>已计算</v>
      </c>
      <c r="AB7" s="30" t="str">
        <f>IF($J7="","待填",IF(AND(ISNUMBER($J7),$J7&gt;=1,$J7&lt;=500,MOD($J7,1)=0),"有效","超范围"))</f>
        <v>有效</v>
      </c>
      <c r="AC7" s="30" t="str">
        <f>IF(OR($J7="",ROW()=5,$B7&lt;&gt;$B6,$J6=""),"",IF($J7&lt;$J6,"下降",""))</f>
        <v/>
      </c>
      <c r="AD7" s="31" t="s">
        <v>962</v>
      </c>
    </row>
    <row r="8" ht="25" customHeight="1" spans="1:30">
      <c r="A8" s="30" t="s">
        <v>150</v>
      </c>
      <c r="B8" s="30" t="s">
        <v>61</v>
      </c>
      <c r="C8" s="31" t="s">
        <v>959</v>
      </c>
      <c r="D8" s="31" t="s">
        <v>582</v>
      </c>
      <c r="E8" s="31">
        <v>1000004</v>
      </c>
      <c r="F8" s="30" t="s">
        <v>164</v>
      </c>
      <c r="G8" s="40">
        <v>190</v>
      </c>
      <c r="H8" s="41"/>
      <c r="I8" s="42">
        <f>IF($H8="",$G8,$H8)</f>
        <v>190</v>
      </c>
      <c r="J8" s="43">
        <v>267</v>
      </c>
      <c r="K8" s="45"/>
      <c r="L8" s="45"/>
      <c r="M8" s="45"/>
      <c r="N8" s="45"/>
      <c r="O8" s="45"/>
      <c r="P8" s="45"/>
      <c r="Q8" s="46">
        <f>IF($I8="","",IFERROR(INDEX(_玩家曲线!$H$2:$H$286,MATCH($I8,_玩家曲线!$A$2:$A$286,0)),""))</f>
        <v>1485358.61627873</v>
      </c>
      <c r="R8" s="46">
        <f>IF($I8="","",IFERROR(INDEX(_玩家曲线!$I$2:$I$286,MATCH($I8,_玩家曲线!$A$2:$A$286,0)),""))</f>
        <v>2045070.07669524</v>
      </c>
      <c r="S8" s="46">
        <f>IF(OR($J8="",$F8="不适用"),"",IFERROR(INDEX(_怪物模型!$D$2:$D$4501,(INT($J8)-1)*ROWS(_怪物类型!$A$2:$A$10)+MATCH($F8,_怪物类型!$A$2:$A$10,0))*IF($K8="",1,$K8),""))</f>
        <v>33145113</v>
      </c>
      <c r="T8" s="46">
        <f>IF(OR($J8="",$F8="不适用"),"",IFERROR(INDEX(_怪物模型!$E$2:$E$4501,(INT($J8)-1)*ROWS(_怪物类型!$A$2:$A$10)+MATCH($F8,_怪物类型!$A$2:$A$10,0))*IF($L8="",1,$L8),""))</f>
        <v>37035</v>
      </c>
      <c r="U8" s="46">
        <f>IF(OR($J8="",$F8="不适用"),"",IFERROR(INDEX(_怪物模型!$F$2:$F$4501,(INT($J8)-1)*ROWS(_怪物类型!$A$2:$A$10)+MATCH($F8,_怪物类型!$A$2:$A$10,0))*IF($M8="",1,$M8),""))</f>
        <v>27818</v>
      </c>
      <c r="V8" s="47">
        <f>IF($U8="","",MIN(0.75,$U8/($U8+24000)))</f>
        <v>0.536840480142036</v>
      </c>
      <c r="W8" s="48">
        <f>IF($S8="","",$S8/(1-$V8)*IF($N8="",1,$N8))</f>
        <v>71563061.05975</v>
      </c>
      <c r="X8" s="48">
        <f>IF(OR($W8="",$Q8="",$Q8=0),"",$W8/$Q8)</f>
        <v>48.1789786489656</v>
      </c>
      <c r="Y8" s="48">
        <f>IF(OR($R8="",$T8="",$T8=0),"",$R8/($T8*IF($O8="",1,$O8)))</f>
        <v>55.2199291668757</v>
      </c>
      <c r="Z8" s="49" t="str">
        <f>IF(OR($X8="",$P8="",$P8=0),"",$X8/$P8)</f>
        <v/>
      </c>
      <c r="AA8" s="30" t="str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>已计算</v>
      </c>
      <c r="AB8" s="30" t="str">
        <f>IF($J8="","待填",IF(AND(ISNUMBER($J8),$J8&gt;=1,$J8&lt;=500,MOD($J8,1)=0),"有效","超范围"))</f>
        <v>有效</v>
      </c>
      <c r="AC8" s="30" t="str">
        <f>IF(OR($J8="",ROW()=5,$B8&lt;&gt;$B7,$J7=""),"",IF($J8&lt;$J7,"下降",""))</f>
        <v/>
      </c>
      <c r="AD8" s="31" t="s">
        <v>963</v>
      </c>
    </row>
    <row r="9" ht="25" customHeight="1" spans="1:30">
      <c r="A9" s="30" t="s">
        <v>150</v>
      </c>
      <c r="B9" s="30" t="s">
        <v>61</v>
      </c>
      <c r="C9" s="31" t="s">
        <v>959</v>
      </c>
      <c r="D9" s="31" t="s">
        <v>585</v>
      </c>
      <c r="E9" s="31">
        <v>1000005</v>
      </c>
      <c r="F9" s="30" t="s">
        <v>164</v>
      </c>
      <c r="G9" s="40">
        <v>240</v>
      </c>
      <c r="H9" s="41"/>
      <c r="I9" s="42">
        <f>IF($H9="",$G9,$H9)</f>
        <v>240</v>
      </c>
      <c r="J9" s="43">
        <v>286</v>
      </c>
      <c r="K9" s="45"/>
      <c r="L9" s="45"/>
      <c r="M9" s="45"/>
      <c r="N9" s="45"/>
      <c r="O9" s="45"/>
      <c r="P9" s="45"/>
      <c r="Q9" s="46">
        <f>IF($I9="","",IFERROR(INDEX(_玩家曲线!$H$2:$H$286,MATCH($I9,_玩家曲线!$A$2:$A$286,0)),""))</f>
        <v>2051195.6918378</v>
      </c>
      <c r="R9" s="46">
        <f>IF($I9="","",IFERROR(INDEX(_玩家曲线!$I$2:$I$286,MATCH($I9,_玩家曲线!$A$2:$A$286,0)),""))</f>
        <v>2581145.459312</v>
      </c>
      <c r="S9" s="46">
        <f>IF(OR($J9="",$F9="不适用"),"",IFERROR(INDEX(_怪物模型!$D$2:$D$4501,(INT($J9)-1)*ROWS(_怪物类型!$A$2:$A$10)+MATCH($F9,_怪物类型!$A$2:$A$10,0))*IF($K9="",1,$K9),""))</f>
        <v>40511215</v>
      </c>
      <c r="T9" s="46">
        <f>IF(OR($J9="",$F9="不适用"),"",IFERROR(INDEX(_怪物模型!$E$2:$E$4501,(INT($J9)-1)*ROWS(_怪物类型!$A$2:$A$10)+MATCH($F9,_怪物类型!$A$2:$A$10,0))*IF($L9="",1,$L9),""))</f>
        <v>42378</v>
      </c>
      <c r="U9" s="46">
        <f>IF(OR($J9="",$F9="不适用"),"",IFERROR(INDEX(_怪物模型!$F$2:$F$4501,(INT($J9)-1)*ROWS(_怪物类型!$A$2:$A$10)+MATCH($F9,_怪物类型!$A$2:$A$10,0))*IF($M9="",1,$M9),""))</f>
        <v>30415</v>
      </c>
      <c r="V9" s="47">
        <f>IF($U9="","",MIN(0.75,$U9/($U9+24000)))</f>
        <v>0.55894514380226</v>
      </c>
      <c r="W9" s="48">
        <f>IF($S9="","",$S9/(1-$V9)*IF($N9="",1,$N9))</f>
        <v>91850740.1760417</v>
      </c>
      <c r="X9" s="48">
        <f>IF(OR($W9="",$Q9="",$Q9=0),"",$W9/$Q9)</f>
        <v>44.7791210470741</v>
      </c>
      <c r="Y9" s="48">
        <f>IF(OR($R9="",$T9="",$T9=0),"",$R9/($T9*IF($O9="",1,$O9)))</f>
        <v>60.9076751925999</v>
      </c>
      <c r="Z9" s="49" t="str">
        <f>IF(OR($X9="",$P9="",$P9=0),"",$X9/$P9)</f>
        <v/>
      </c>
      <c r="AA9" s="30" t="str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>已计算</v>
      </c>
      <c r="AB9" s="30" t="str">
        <f>IF($J9="","待填",IF(AND(ISNUMBER($J9),$J9&gt;=1,$J9&lt;=500,MOD($J9,1)=0),"有效","超范围"))</f>
        <v>有效</v>
      </c>
      <c r="AC9" s="30" t="str">
        <f>IF(OR($J9="",ROW()=5,$B9&lt;&gt;$B8,$J8=""),"",IF($J9&lt;$J8,"下降",""))</f>
        <v/>
      </c>
      <c r="AD9" s="31" t="s">
        <v>964</v>
      </c>
    </row>
  </sheetData>
  <mergeCells count="3">
    <mergeCell ref="A1:AD1"/>
    <mergeCell ref="A2:AD2"/>
    <mergeCell ref="A3:AD3"/>
  </mergeCells>
  <conditionalFormatting sqref="J5:J9">
    <cfRule type="expression" dxfId="2" priority="1">
      <formula>AND($A5&lt;&gt;"特殊：双方属性对算",$J5="")</formula>
    </cfRule>
  </conditionalFormatting>
  <conditionalFormatting sqref="AA5:AA9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9">
    <cfRule type="expression" dxfId="4" priority="2">
      <formula>$AB5="超范围"</formula>
    </cfRule>
  </conditionalFormatting>
  <conditionalFormatting sqref="AC5:AC9">
    <cfRule type="expression" dxfId="4" priority="7">
      <formula>$AC5="下降"</formula>
    </cfRule>
  </conditionalFormatting>
  <dataValidations count="5">
    <dataValidation type="list" sqref="F5:F9">
      <formula1>_字典!$A$2:$A$11</formula1>
    </dataValidation>
    <dataValidation type="whole" operator="between" allowBlank="1" sqref="H5:H9">
      <formula1>1</formula1>
      <formula2>285</formula2>
    </dataValidation>
    <dataValidation type="whole" operator="between" allowBlank="1" sqref="J5:J9">
      <formula1>1</formula1>
      <formula2>500</formula2>
    </dataValidation>
    <dataValidation type="decimal" operator="between" allowBlank="1" sqref="P5:P9">
      <formula1>0.01</formula1>
      <formula2>3600</formula2>
    </dataValidation>
    <dataValidation type="decimal" operator="between" allowBlank="1" sqref="K5:O9">
      <formula1>0</formula1>
      <formula2>100</formula2>
    </dataValidation>
  </dataValidations>
  <hyperlinks>
    <hyperlink ref="A1" r:id="rId4" display="全玩法难度填写｜肉鸽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AF29"/>
  <sheetViews>
    <sheetView showGridLines="0" workbookViewId="0">
      <selection activeCell="A1" sqref="A1:AD1"/>
    </sheetView>
  </sheetViews>
  <sheetFormatPr defaultColWidth="9" defaultRowHeight="13.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  <col min="31" max="32" width="22" customWidth="1"/>
  </cols>
  <sheetData>
    <row r="1" ht="34" customHeight="1" spans="1:32">
      <c r="A1" s="26" t="s">
        <v>965</v>
      </c>
    </row>
    <row r="2" ht="30" customHeight="1" spans="1:32">
      <c r="A2" s="27" t="s">
        <v>119</v>
      </c>
    </row>
    <row r="3" ht="14.25" customHeight="1" spans="1:32">
      <c r="A3" s="28" t="s">
        <v>120</v>
      </c>
    </row>
    <row r="4" ht="30" customHeight="1" spans="1:32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  <c r="AE4" s="8" t="s">
        <v>148</v>
      </c>
      <c r="AF4" s="8" t="s">
        <v>149</v>
      </c>
    </row>
    <row r="5" ht="25" customHeight="1" spans="1:32">
      <c r="A5" s="30" t="s">
        <v>966</v>
      </c>
      <c r="B5" s="30" t="s">
        <v>62</v>
      </c>
      <c r="C5" s="31" t="s">
        <v>967</v>
      </c>
      <c r="D5" s="31" t="s">
        <v>734</v>
      </c>
      <c r="E5" s="31" t="s">
        <v>968</v>
      </c>
      <c r="F5" s="30" t="s">
        <v>154</v>
      </c>
      <c r="G5" s="40">
        <v>95</v>
      </c>
      <c r="H5" s="41"/>
      <c r="I5" s="42">
        <f t="shared" ref="I5:I29" si="0">IF($H5="",$G5,$H5)</f>
        <v>95</v>
      </c>
      <c r="J5" s="43">
        <v>143</v>
      </c>
      <c r="K5" s="44">
        <v>0.976540929820854</v>
      </c>
      <c r="L5" s="44">
        <v>1.08067173483721</v>
      </c>
      <c r="M5" s="44">
        <v>1</v>
      </c>
      <c r="N5" s="45"/>
      <c r="O5" s="45"/>
      <c r="P5" s="45"/>
      <c r="Q5" s="46">
        <f>IF($I5="","",IFERROR(INDEX(_玩家曲线!$H$2:$H$286,MATCH($I5,_玩家曲线!$A$2:$A$286,0)),""))</f>
        <v>363417.105400859</v>
      </c>
      <c r="R5" s="46">
        <f>IF($I5="","",IFERROR(INDEX(_玩家曲线!$I$2:$I$286,MATCH($I5,_玩家曲线!$A$2:$A$286,0)),""))</f>
        <v>707692.113002087</v>
      </c>
      <c r="S5" s="46">
        <f>IF(OR($J5="",$F5="不适用"),"",IFERROR(INDEX(_怪物模型!$D$2:$D$4501,(INT($J5)-1)*ROWS(_怪物类型!$A$2:$A$10)+MATCH($F5,_怪物类型!$A$2:$A$10,0))*IF($K5="",1,$K5),""))</f>
        <v>75504.1916118888</v>
      </c>
      <c r="T5" s="46">
        <f>IF(OR($J5="",$F5="不适用"),"",IFERROR(INDEX(_怪物模型!$E$2:$E$4501,(INT($J5)-1)*ROWS(_怪物类型!$A$2:$A$10)+MATCH($F5,_怪物类型!$A$2:$A$10,0))*IF($L5="",1,$L5),""))</f>
        <v>12106.7654453813</v>
      </c>
      <c r="U5" s="46">
        <f>IF(OR($J5="",$F5="不适用"),"",IFERROR(INDEX(_怪物模型!$F$2:$F$4501,(INT($J5)-1)*ROWS(_怪物类型!$A$2:$A$10)+MATCH($F5,_怪物类型!$A$2:$A$10,0))*IF($M5="",1,$M5),""))</f>
        <v>12882</v>
      </c>
      <c r="V5" s="47">
        <f t="shared" ref="V5:V29" si="1">IF($U5="","",MIN(0.75,$U5/($U5+24000)))</f>
        <v>0.349276069627461</v>
      </c>
      <c r="W5" s="48">
        <f t="shared" ref="W5:W29" si="2">IF($S5="","",$S5/(1-$V5)*IF($N5="",1,$N5))</f>
        <v>116031.06645957</v>
      </c>
      <c r="X5" s="48">
        <f t="shared" ref="X5:X29" si="3">IF(OR($W5="",$Q5="",$Q5=0),"",$W5/$Q5)</f>
        <v>0.319277944640456</v>
      </c>
      <c r="Y5" s="48">
        <f t="shared" ref="Y5:Y29" si="4">IF(OR($R5="",$T5="",$T5=0),"",$R5/($T5*IF($O5="",1,$O5)))</f>
        <v>58.4542680862849</v>
      </c>
      <c r="Z5" s="49" t="str">
        <f t="shared" ref="Z5:Z29" si="5">IF(OR($X5="",$P5="",$P5=0),"",$X5/$P5)</f>
        <v/>
      </c>
      <c r="AA5" s="30" t="str">
        <f t="shared" ref="AA5:AA29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已计算</v>
      </c>
      <c r="AB5" s="30" t="str">
        <f t="shared" ref="AB5:AB29" si="7">IF($J5="","待填",IF(AND(ISNUMBER($J5),$J5&gt;=1,$J5&lt;=500,MOD($J5,1)=0),"有效","超范围"))</f>
        <v>有效</v>
      </c>
      <c r="AC5" s="30" t="str">
        <f t="shared" ref="AC5:AC29" si="8">IF(OR($J5="",ROW()=5,$B5&lt;&gt;$B4,$J4=""),"",IF($J5&lt;$J4,"下降",""))</f>
        <v/>
      </c>
      <c r="AD5" s="31" t="s">
        <v>969</v>
      </c>
      <c r="AE5">
        <v>125000</v>
      </c>
      <c r="AF5">
        <f>INDEX(_统一战力!$B$2:$B$501,J5)</f>
        <v>398000</v>
      </c>
    </row>
    <row r="6" ht="25" customHeight="1" spans="1:32">
      <c r="A6" s="30" t="s">
        <v>966</v>
      </c>
      <c r="B6" s="30" t="s">
        <v>62</v>
      </c>
      <c r="C6" s="31" t="s">
        <v>967</v>
      </c>
      <c r="D6" s="31" t="s">
        <v>737</v>
      </c>
      <c r="E6" s="31" t="s">
        <v>970</v>
      </c>
      <c r="F6" s="30" t="s">
        <v>154</v>
      </c>
      <c r="G6" s="40">
        <v>101</v>
      </c>
      <c r="H6" s="41"/>
      <c r="I6" s="42">
        <f t="shared" si="0"/>
        <v>101</v>
      </c>
      <c r="J6" s="43">
        <v>151</v>
      </c>
      <c r="K6" s="44">
        <v>0.969744926924125</v>
      </c>
      <c r="L6" s="44">
        <v>1.09016192045715</v>
      </c>
      <c r="M6" s="44">
        <v>1</v>
      </c>
      <c r="N6" s="45"/>
      <c r="O6" s="45"/>
      <c r="P6" s="45"/>
      <c r="Q6" s="46">
        <f>IF($I6="","",IFERROR(INDEX(_玩家曲线!$H$2:$H$286,MATCH($I6,_玩家曲线!$A$2:$A$286,0)),""))</f>
        <v>405743.55804063</v>
      </c>
      <c r="R6" s="46">
        <f>IF($I6="","",IFERROR(INDEX(_玩家曲线!$I$2:$I$286,MATCH($I6,_玩家曲线!$A$2:$A$286,0)),""))</f>
        <v>776696.17263262</v>
      </c>
      <c r="S6" s="46">
        <f>IF(OR($J6="",$F6="不适用"),"",IFERROR(INDEX(_怪物模型!$D$2:$D$4501,(INT($J6)-1)*ROWS(_怪物类型!$A$2:$A$10)+MATCH($F6,_怪物类型!$A$2:$A$10,0))*IF($K6="",1,$K6),""))</f>
        <v>84407.5681844028</v>
      </c>
      <c r="T6" s="46">
        <f>IF(OR($J6="",$F6="不适用"),"",IFERROR(INDEX(_怪物模型!$E$2:$E$4501,(INT($J6)-1)*ROWS(_怪物类型!$A$2:$A$10)+MATCH($F6,_怪物类型!$A$2:$A$10,0))*IF($L6="",1,$L6),""))</f>
        <v>13302.1557534181</v>
      </c>
      <c r="U6" s="46">
        <f>IF(OR($J6="",$F6="不适用"),"",IFERROR(INDEX(_怪物模型!$F$2:$F$4501,(INT($J6)-1)*ROWS(_怪物类型!$A$2:$A$10)+MATCH($F6,_怪物类型!$A$2:$A$10,0))*IF($M6="",1,$M6),""))</f>
        <v>13740</v>
      </c>
      <c r="V6" s="47">
        <f t="shared" si="1"/>
        <v>0.364069952305246</v>
      </c>
      <c r="W6" s="48">
        <f t="shared" si="2"/>
        <v>132730.900969973</v>
      </c>
      <c r="X6" s="48">
        <f t="shared" si="3"/>
        <v>0.327130026687157</v>
      </c>
      <c r="Y6" s="48">
        <f t="shared" si="4"/>
        <v>58.3887444283637</v>
      </c>
      <c r="Z6" s="49" t="str">
        <f t="shared" si="5"/>
        <v/>
      </c>
      <c r="AA6" s="30" t="str">
        <f t="shared" si="6"/>
        <v>已计算</v>
      </c>
      <c r="AB6" s="30" t="str">
        <f t="shared" si="7"/>
        <v>有效</v>
      </c>
      <c r="AC6" s="30" t="str">
        <f t="shared" si="8"/>
        <v/>
      </c>
      <c r="AD6" s="31" t="s">
        <v>971</v>
      </c>
      <c r="AE6">
        <v>142000</v>
      </c>
      <c r="AF6">
        <f>INDEX(_统一战力!$B$2:$B$501,J6)</f>
        <v>403000</v>
      </c>
    </row>
    <row r="7" ht="25" customHeight="1" spans="1:32">
      <c r="A7" s="30" t="s">
        <v>966</v>
      </c>
      <c r="B7" s="30" t="s">
        <v>62</v>
      </c>
      <c r="C7" s="31" t="s">
        <v>967</v>
      </c>
      <c r="D7" s="31" t="s">
        <v>739</v>
      </c>
      <c r="E7" s="31" t="s">
        <v>972</v>
      </c>
      <c r="F7" s="30" t="s">
        <v>154</v>
      </c>
      <c r="G7" s="40">
        <v>107</v>
      </c>
      <c r="H7" s="41"/>
      <c r="I7" s="42">
        <f t="shared" si="0"/>
        <v>107</v>
      </c>
      <c r="J7" s="43">
        <v>159</v>
      </c>
      <c r="K7" s="44">
        <v>0.964580870355496</v>
      </c>
      <c r="L7" s="44">
        <v>1.1035478487286</v>
      </c>
      <c r="M7" s="44">
        <v>1</v>
      </c>
      <c r="N7" s="45"/>
      <c r="O7" s="45"/>
      <c r="P7" s="45"/>
      <c r="Q7" s="46">
        <f>IF($I7="","",IFERROR(INDEX(_玩家曲线!$H$2:$H$286,MATCH($I7,_玩家曲线!$A$2:$A$286,0)),""))</f>
        <v>472530.004881104</v>
      </c>
      <c r="R7" s="46">
        <f>IF($I7="","",IFERROR(INDEX(_玩家曲线!$I$2:$I$286,MATCH($I7,_玩家曲线!$A$2:$A$286,0)),""))</f>
        <v>873175.356835511</v>
      </c>
      <c r="S7" s="46">
        <f>IF(OR($J7="",$F7="不适用"),"",IFERROR(INDEX(_怪物模型!$D$2:$D$4501,(INT($J7)-1)*ROWS(_怪物类型!$A$2:$A$10)+MATCH($F7,_怪物类型!$A$2:$A$10,0))*IF($K7="",1,$K7),""))</f>
        <v>94144.0575275668</v>
      </c>
      <c r="T7" s="46">
        <f>IF(OR($J7="",$F7="不适用"),"",IFERROR(INDEX(_怪物模型!$E$2:$E$4501,(INT($J7)-1)*ROWS(_怪物类型!$A$2:$A$10)+MATCH($F7,_怪物类型!$A$2:$A$10,0))*IF($L7="",1,$L7),""))</f>
        <v>14623.1125435027</v>
      </c>
      <c r="U7" s="46">
        <f>IF(OR($J7="",$F7="不适用"),"",IFERROR(INDEX(_怪物模型!$F$2:$F$4501,(INT($J7)-1)*ROWS(_怪物类型!$A$2:$A$10)+MATCH($F7,_怪物类型!$A$2:$A$10,0))*IF($M7="",1,$M7),""))</f>
        <v>14613</v>
      </c>
      <c r="V7" s="47">
        <f t="shared" si="1"/>
        <v>0.378447673063476</v>
      </c>
      <c r="W7" s="48">
        <f t="shared" si="2"/>
        <v>151466.020554664</v>
      </c>
      <c r="X7" s="48">
        <f t="shared" si="3"/>
        <v>0.320542651239206</v>
      </c>
      <c r="Y7" s="48">
        <f t="shared" si="4"/>
        <v>59.7120041467149</v>
      </c>
      <c r="Z7" s="49" t="str">
        <f t="shared" si="5"/>
        <v/>
      </c>
      <c r="AA7" s="30" t="str">
        <f t="shared" si="6"/>
        <v>已计算</v>
      </c>
      <c r="AB7" s="30" t="str">
        <f t="shared" si="7"/>
        <v>有效</v>
      </c>
      <c r="AC7" s="30" t="str">
        <f t="shared" si="8"/>
        <v/>
      </c>
      <c r="AD7" s="31" t="s">
        <v>973</v>
      </c>
      <c r="AE7">
        <v>156000</v>
      </c>
      <c r="AF7">
        <f>INDEX(_统一战力!$B$2:$B$501,J7)</f>
        <v>409000</v>
      </c>
    </row>
    <row r="8" ht="25" customHeight="1" spans="1:32">
      <c r="A8" s="30" t="s">
        <v>966</v>
      </c>
      <c r="B8" s="30" t="s">
        <v>62</v>
      </c>
      <c r="C8" s="31" t="s">
        <v>967</v>
      </c>
      <c r="D8" s="31" t="s">
        <v>741</v>
      </c>
      <c r="E8" s="31" t="s">
        <v>974</v>
      </c>
      <c r="F8" s="30" t="s">
        <v>154</v>
      </c>
      <c r="G8" s="40">
        <v>114</v>
      </c>
      <c r="H8" s="41"/>
      <c r="I8" s="42">
        <f t="shared" si="0"/>
        <v>114</v>
      </c>
      <c r="J8" s="43">
        <v>168</v>
      </c>
      <c r="K8" s="44">
        <v>0.9630583360773</v>
      </c>
      <c r="L8" s="44">
        <v>1.12238693404869</v>
      </c>
      <c r="M8" s="44">
        <v>1</v>
      </c>
      <c r="N8" s="45"/>
      <c r="O8" s="45"/>
      <c r="P8" s="45"/>
      <c r="Q8" s="46">
        <f>IF($I8="","",IFERROR(INDEX(_玩家曲线!$H$2:$H$286,MATCH($I8,_玩家曲线!$A$2:$A$286,0)),""))</f>
        <v>560485.544118465</v>
      </c>
      <c r="R8" s="46">
        <f>IF($I8="","",IFERROR(INDEX(_玩家曲线!$I$2:$I$286,MATCH($I8,_玩家曲线!$A$2:$A$286,0)),""))</f>
        <v>994264.71152202</v>
      </c>
      <c r="S8" s="46">
        <f>IF(OR($J8="",$F8="不适用"),"",IFERROR(INDEX(_怪物模型!$D$2:$D$4501,(INT($J8)-1)*ROWS(_怪物类型!$A$2:$A$10)+MATCH($F8,_怪物类型!$A$2:$A$10,0))*IF($K8="",1,$K8),""))</f>
        <v>106460.320703329</v>
      </c>
      <c r="T8" s="46">
        <f>IF(OR($J8="",$F8="不适用"),"",IFERROR(INDEX(_怪物模型!$E$2:$E$4501,(INT($J8)-1)*ROWS(_怪物类型!$A$2:$A$10)+MATCH($F8,_怪物类型!$A$2:$A$10,0))*IF($L8="",1,$L8),""))</f>
        <v>16270.1209959698</v>
      </c>
      <c r="U8" s="46">
        <f>IF(OR($J8="",$F8="不适用"),"",IFERROR(INDEX(_怪物模型!$F$2:$F$4501,(INT($J8)-1)*ROWS(_怪物类型!$A$2:$A$10)+MATCH($F8,_怪物类型!$A$2:$A$10,0))*IF($M8="",1,$M8),""))</f>
        <v>15612</v>
      </c>
      <c r="V8" s="47">
        <f t="shared" si="1"/>
        <v>0.394122993032414</v>
      </c>
      <c r="W8" s="48">
        <f t="shared" si="2"/>
        <v>175712.759320845</v>
      </c>
      <c r="X8" s="48">
        <f t="shared" si="3"/>
        <v>0.313500965662204</v>
      </c>
      <c r="Y8" s="48">
        <f t="shared" si="4"/>
        <v>61.1098535633696</v>
      </c>
      <c r="Z8" s="49" t="str">
        <f t="shared" si="5"/>
        <v/>
      </c>
      <c r="AA8" s="30" t="str">
        <f t="shared" si="6"/>
        <v>已计算</v>
      </c>
      <c r="AB8" s="30" t="str">
        <f t="shared" si="7"/>
        <v>有效</v>
      </c>
      <c r="AC8" s="30" t="str">
        <f t="shared" si="8"/>
        <v/>
      </c>
      <c r="AD8" s="31" t="s">
        <v>975</v>
      </c>
      <c r="AE8">
        <v>175000</v>
      </c>
      <c r="AF8">
        <f>INDEX(_统一战力!$B$2:$B$501,J8)</f>
        <v>435000</v>
      </c>
    </row>
    <row r="9" ht="25" customHeight="1" spans="1:32">
      <c r="A9" s="30" t="s">
        <v>966</v>
      </c>
      <c r="B9" s="30" t="s">
        <v>62</v>
      </c>
      <c r="C9" s="31" t="s">
        <v>967</v>
      </c>
      <c r="D9" s="31" t="s">
        <v>743</v>
      </c>
      <c r="E9" s="31" t="s">
        <v>976</v>
      </c>
      <c r="F9" s="30" t="s">
        <v>154</v>
      </c>
      <c r="G9" s="40">
        <v>121</v>
      </c>
      <c r="H9" s="41"/>
      <c r="I9" s="42">
        <f t="shared" si="0"/>
        <v>121</v>
      </c>
      <c r="J9" s="43">
        <v>178</v>
      </c>
      <c r="K9" s="44">
        <v>0.951004591312042</v>
      </c>
      <c r="L9" s="44">
        <v>1.13234950495075</v>
      </c>
      <c r="M9" s="44">
        <v>1</v>
      </c>
      <c r="N9" s="45"/>
      <c r="O9" s="45"/>
      <c r="P9" s="45"/>
      <c r="Q9" s="46">
        <f>IF($I9="","",IFERROR(INDEX(_玩家曲线!$H$2:$H$286,MATCH($I9,_玩家曲线!$A$2:$A$286,0)),""))</f>
        <v>642427.062756206</v>
      </c>
      <c r="R9" s="46">
        <f>IF($I9="","",IFERROR(INDEX(_玩家曲线!$I$2:$I$286,MATCH($I9,_玩家曲线!$A$2:$A$286,0)),""))</f>
        <v>1102239.71135184</v>
      </c>
      <c r="S9" s="46">
        <f>IF(OR($J9="",$F9="不适用"),"",IFERROR(INDEX(_怪物模型!$D$2:$D$4501,(INT($J9)-1)*ROWS(_怪物类型!$A$2:$A$10)+MATCH($F9,_怪物类型!$A$2:$A$10,0))*IF($K9="",1,$K9),""))</f>
        <v>120136.606002085</v>
      </c>
      <c r="T9" s="46">
        <f>IF(OR($J9="",$F9="不适用"),"",IFERROR(INDEX(_怪物模型!$E$2:$E$4501,(INT($J9)-1)*ROWS(_怪物类型!$A$2:$A$10)+MATCH($F9,_怪物类型!$A$2:$A$10,0))*IF($L9="",1,$L9),""))</f>
        <v>18072.298099014</v>
      </c>
      <c r="U9" s="46">
        <f>IF(OR($J9="",$F9="不适用"),"",IFERROR(INDEX(_怪物模型!$F$2:$F$4501,(INT($J9)-1)*ROWS(_怪物类型!$A$2:$A$10)+MATCH($F9,_怪物类型!$A$2:$A$10,0))*IF($M9="",1,$M9),""))</f>
        <v>16743</v>
      </c>
      <c r="V9" s="47">
        <f t="shared" si="1"/>
        <v>0.41094175686621</v>
      </c>
      <c r="W9" s="48">
        <f t="shared" si="2"/>
        <v>203946.90576429</v>
      </c>
      <c r="X9" s="48">
        <f t="shared" si="3"/>
        <v>0.317463129416273</v>
      </c>
      <c r="Y9" s="48">
        <f t="shared" si="4"/>
        <v>60.9905671825975</v>
      </c>
      <c r="Z9" s="49" t="str">
        <f t="shared" si="5"/>
        <v/>
      </c>
      <c r="AA9" s="30" t="str">
        <f t="shared" si="6"/>
        <v>已计算</v>
      </c>
      <c r="AB9" s="30" t="str">
        <f t="shared" si="7"/>
        <v>有效</v>
      </c>
      <c r="AC9" s="30" t="str">
        <f t="shared" si="8"/>
        <v/>
      </c>
      <c r="AD9" s="31" t="s">
        <v>977</v>
      </c>
      <c r="AE9">
        <v>197000</v>
      </c>
      <c r="AF9">
        <f>INDEX(_统一战力!$B$2:$B$501,J9)</f>
        <v>492000</v>
      </c>
    </row>
    <row r="10" ht="25" customHeight="1" spans="1:32">
      <c r="A10" s="30" t="s">
        <v>966</v>
      </c>
      <c r="B10" s="30" t="s">
        <v>62</v>
      </c>
      <c r="C10" s="31" t="s">
        <v>967</v>
      </c>
      <c r="D10" s="31" t="s">
        <v>746</v>
      </c>
      <c r="E10" s="31" t="s">
        <v>978</v>
      </c>
      <c r="F10" s="30" t="s">
        <v>154</v>
      </c>
      <c r="G10" s="40">
        <v>128</v>
      </c>
      <c r="H10" s="41"/>
      <c r="I10" s="42">
        <f t="shared" si="0"/>
        <v>128</v>
      </c>
      <c r="J10" s="43">
        <v>186</v>
      </c>
      <c r="K10" s="44">
        <v>0.943600541376085</v>
      </c>
      <c r="L10" s="44">
        <v>1.14291701848363</v>
      </c>
      <c r="M10" s="44">
        <v>1</v>
      </c>
      <c r="N10" s="45"/>
      <c r="O10" s="45"/>
      <c r="P10" s="45"/>
      <c r="Q10" s="46">
        <f>IF($I10="","",IFERROR(INDEX(_玩家曲线!$H$2:$H$286,MATCH($I10,_玩家曲线!$A$2:$A$286,0)),""))</f>
        <v>731965.348782274</v>
      </c>
      <c r="R10" s="46">
        <f>IF($I10="","",IFERROR(INDEX(_玩家曲线!$I$2:$I$286,MATCH($I10,_玩家曲线!$A$2:$A$286,0)),""))</f>
        <v>1215454.24837794</v>
      </c>
      <c r="S10" s="46">
        <f>IF(OR($J10="",$F10="不适用"),"",IFERROR(INDEX(_怪物模型!$D$2:$D$4501,(INT($J10)-1)*ROWS(_怪物类型!$A$2:$A$10)+MATCH($F10,_怪物类型!$A$2:$A$10,0))*IF($K10="",1,$K10),""))</f>
        <v>132179.563835962</v>
      </c>
      <c r="T10" s="46">
        <f>IF(OR($J10="",$F10="不适用"),"",IFERROR(INDEX(_怪物模型!$E$2:$E$4501,(INT($J10)-1)*ROWS(_怪物类型!$A$2:$A$10)+MATCH($F10,_怪物类型!$A$2:$A$10,0))*IF($L10="",1,$L10),""))</f>
        <v>19654.743966863</v>
      </c>
      <c r="U10" s="46">
        <f>IF(OR($J10="",$F10="不适用"),"",IFERROR(INDEX(_怪物模型!$F$2:$F$4501,(INT($J10)-1)*ROWS(_怪物类型!$A$2:$A$10)+MATCH($F10,_怪物类型!$A$2:$A$10,0))*IF($M10="",1,$M10),""))</f>
        <v>17665</v>
      </c>
      <c r="V10" s="47">
        <f t="shared" si="1"/>
        <v>0.423976959078363</v>
      </c>
      <c r="W10" s="48">
        <f t="shared" si="2"/>
        <v>229469.230301056</v>
      </c>
      <c r="X10" s="48">
        <f t="shared" si="3"/>
        <v>0.313497395310871</v>
      </c>
      <c r="Y10" s="48">
        <f t="shared" si="4"/>
        <v>61.8402483607592</v>
      </c>
      <c r="Z10" s="49" t="str">
        <f t="shared" si="5"/>
        <v/>
      </c>
      <c r="AA10" s="30" t="str">
        <f t="shared" si="6"/>
        <v>已计算</v>
      </c>
      <c r="AB10" s="30" t="str">
        <f t="shared" si="7"/>
        <v>有效</v>
      </c>
      <c r="AC10" s="30" t="str">
        <f t="shared" si="8"/>
        <v/>
      </c>
      <c r="AD10" s="31" t="s">
        <v>979</v>
      </c>
      <c r="AE10">
        <v>218000</v>
      </c>
      <c r="AF10">
        <f>INDEX(_统一战力!$B$2:$B$501,J10)</f>
        <v>542000</v>
      </c>
    </row>
    <row r="11" ht="25" customHeight="1" spans="1:32">
      <c r="A11" s="30" t="s">
        <v>966</v>
      </c>
      <c r="B11" s="30" t="s">
        <v>62</v>
      </c>
      <c r="C11" s="31" t="s">
        <v>967</v>
      </c>
      <c r="D11" s="31" t="s">
        <v>748</v>
      </c>
      <c r="E11" s="31" t="s">
        <v>980</v>
      </c>
      <c r="F11" s="30" t="s">
        <v>154</v>
      </c>
      <c r="G11" s="40">
        <v>135</v>
      </c>
      <c r="H11" s="41"/>
      <c r="I11" s="42">
        <f t="shared" si="0"/>
        <v>135</v>
      </c>
      <c r="J11" s="43">
        <v>193</v>
      </c>
      <c r="K11" s="44">
        <v>0.947622018277534</v>
      </c>
      <c r="L11" s="44">
        <v>1.16023729995253</v>
      </c>
      <c r="M11" s="44">
        <v>1</v>
      </c>
      <c r="N11" s="45"/>
      <c r="O11" s="45"/>
      <c r="P11" s="45"/>
      <c r="Q11" s="46">
        <f>IF($I11="","",IFERROR(INDEX(_玩家曲线!$H$2:$H$286,MATCH($I11,_玩家曲线!$A$2:$A$286,0)),""))</f>
        <v>816982.952001487</v>
      </c>
      <c r="R11" s="46">
        <f>IF($I11="","",IFERROR(INDEX(_玩家曲线!$I$2:$I$286,MATCH($I11,_玩家曲线!$A$2:$A$286,0)),""))</f>
        <v>1319205.62267016</v>
      </c>
      <c r="S11" s="46">
        <f>IF(OR($J11="",$F11="不适用"),"",IFERROR(INDEX(_怪物模型!$D$2:$D$4501,(INT($J11)-1)*ROWS(_怪物类型!$A$2:$A$10)+MATCH($F11,_怪物类型!$A$2:$A$10,0))*IF($K11="",1,$K11),""))</f>
        <v>144969.111600134</v>
      </c>
      <c r="T11" s="46">
        <f>IF(OR($J11="",$F11="不适用"),"",IFERROR(INDEX(_怪物模型!$E$2:$E$4501,(INT($J11)-1)*ROWS(_怪物类型!$A$2:$A$10)+MATCH($F11,_怪物类型!$A$2:$A$10,0))*IF($L11="",1,$L11),""))</f>
        <v>21264.82923353</v>
      </c>
      <c r="U11" s="46">
        <f>IF(OR($J11="",$F11="不适用"),"",IFERROR(INDEX(_怪物模型!$F$2:$F$4501,(INT($J11)-1)*ROWS(_怪物类型!$A$2:$A$10)+MATCH($F11,_怪物类型!$A$2:$A$10,0))*IF($M11="",1,$M11),""))</f>
        <v>18484</v>
      </c>
      <c r="V11" s="47">
        <f t="shared" si="1"/>
        <v>0.435081442425384</v>
      </c>
      <c r="W11" s="48">
        <f t="shared" si="2"/>
        <v>256619.489050837</v>
      </c>
      <c r="X11" s="48">
        <f t="shared" si="3"/>
        <v>0.314106296125466</v>
      </c>
      <c r="Y11" s="48">
        <f t="shared" si="4"/>
        <v>62.0369723256494</v>
      </c>
      <c r="Z11" s="49" t="str">
        <f t="shared" si="5"/>
        <v/>
      </c>
      <c r="AA11" s="30" t="str">
        <f t="shared" si="6"/>
        <v>已计算</v>
      </c>
      <c r="AB11" s="30" t="str">
        <f t="shared" si="7"/>
        <v>有效</v>
      </c>
      <c r="AC11" s="30" t="str">
        <f t="shared" si="8"/>
        <v/>
      </c>
      <c r="AD11" s="31" t="s">
        <v>981</v>
      </c>
      <c r="AE11">
        <v>231000</v>
      </c>
      <c r="AF11">
        <f>INDEX(_统一战力!$B$2:$B$501,J11)</f>
        <v>595000</v>
      </c>
    </row>
    <row r="12" ht="25" customHeight="1" spans="1:32">
      <c r="A12" s="30" t="s">
        <v>966</v>
      </c>
      <c r="B12" s="30" t="s">
        <v>62</v>
      </c>
      <c r="C12" s="31" t="s">
        <v>967</v>
      </c>
      <c r="D12" s="31" t="s">
        <v>750</v>
      </c>
      <c r="E12" s="31" t="s">
        <v>982</v>
      </c>
      <c r="F12" s="30" t="s">
        <v>154</v>
      </c>
      <c r="G12" s="40">
        <v>142</v>
      </c>
      <c r="H12" s="41"/>
      <c r="I12" s="42">
        <f t="shared" si="0"/>
        <v>142</v>
      </c>
      <c r="J12" s="43">
        <v>200</v>
      </c>
      <c r="K12" s="44">
        <v>0.945895430935843</v>
      </c>
      <c r="L12" s="44">
        <v>1.1725216094445</v>
      </c>
      <c r="M12" s="44">
        <v>1</v>
      </c>
      <c r="N12" s="45"/>
      <c r="O12" s="45"/>
      <c r="P12" s="45"/>
      <c r="Q12" s="46">
        <f>IF($I12="","",IFERROR(INDEX(_玩家曲线!$H$2:$H$286,MATCH($I12,_玩家曲线!$A$2:$A$286,0)),""))</f>
        <v>905644.755644088</v>
      </c>
      <c r="R12" s="46">
        <f>IF($I12="","",IFERROR(INDEX(_玩家曲线!$I$2:$I$286,MATCH($I12,_玩家曲线!$A$2:$A$286,0)),""))</f>
        <v>1423866.78356194</v>
      </c>
      <c r="S12" s="46">
        <f>IF(OR($J12="",$F12="不适用"),"",IFERROR(INDEX(_怪物模型!$D$2:$D$4501,(INT($J12)-1)*ROWS(_怪物类型!$A$2:$A$10)+MATCH($F12,_怪物类型!$A$2:$A$10,0))*IF($K12="",1,$K12),""))</f>
        <v>157711.982886226</v>
      </c>
      <c r="T12" s="46">
        <f>IF(OR($J12="",$F12="不适用"),"",IFERROR(INDEX(_怪物模型!$E$2:$E$4501,(INT($J12)-1)*ROWS(_怪物类型!$A$2:$A$10)+MATCH($F12,_怪物类型!$A$2:$A$10,0))*IF($L12="",1,$L12),""))</f>
        <v>22873.5515570433</v>
      </c>
      <c r="U12" s="46">
        <f>IF(OR($J12="",$F12="不适用"),"",IFERROR(INDEX(_怪物模型!$F$2:$F$4501,(INT($J12)-1)*ROWS(_怪物类型!$A$2:$A$10)+MATCH($F12,_怪物类型!$A$2:$A$10,0))*IF($M12="",1,$M12),""))</f>
        <v>19313</v>
      </c>
      <c r="V12" s="47">
        <f t="shared" si="1"/>
        <v>0.445893842495325</v>
      </c>
      <c r="W12" s="48">
        <f t="shared" si="2"/>
        <v>284624.129781296</v>
      </c>
      <c r="X12" s="48">
        <f t="shared" si="3"/>
        <v>0.314277897605528</v>
      </c>
      <c r="Y12" s="48">
        <f t="shared" si="4"/>
        <v>62.2494840825669</v>
      </c>
      <c r="Z12" s="49" t="str">
        <f t="shared" si="5"/>
        <v/>
      </c>
      <c r="AA12" s="30" t="str">
        <f t="shared" si="6"/>
        <v>已计算</v>
      </c>
      <c r="AB12" s="30" t="str">
        <f t="shared" si="7"/>
        <v>有效</v>
      </c>
      <c r="AC12" s="30" t="str">
        <f t="shared" si="8"/>
        <v/>
      </c>
      <c r="AD12" s="31" t="s">
        <v>983</v>
      </c>
      <c r="AE12">
        <v>249000</v>
      </c>
      <c r="AF12">
        <f>INDEX(_统一战力!$B$2:$B$501,J12)</f>
        <v>649000</v>
      </c>
    </row>
    <row r="13" ht="25" customHeight="1" spans="1:32">
      <c r="A13" s="30" t="s">
        <v>966</v>
      </c>
      <c r="B13" s="30" t="s">
        <v>62</v>
      </c>
      <c r="C13" s="31" t="s">
        <v>967</v>
      </c>
      <c r="D13" s="31" t="s">
        <v>752</v>
      </c>
      <c r="E13" s="31" t="s">
        <v>984</v>
      </c>
      <c r="F13" s="30" t="s">
        <v>154</v>
      </c>
      <c r="G13" s="40">
        <v>150</v>
      </c>
      <c r="H13" s="41"/>
      <c r="I13" s="42">
        <f t="shared" si="0"/>
        <v>150</v>
      </c>
      <c r="J13" s="43">
        <v>208</v>
      </c>
      <c r="K13" s="44">
        <v>0.933227965834996</v>
      </c>
      <c r="L13" s="44">
        <v>1.17679486579661</v>
      </c>
      <c r="M13" s="44">
        <v>1</v>
      </c>
      <c r="N13" s="45"/>
      <c r="O13" s="45"/>
      <c r="P13" s="45"/>
      <c r="Q13" s="46">
        <f>IF($I13="","",IFERROR(INDEX(_玩家曲线!$H$2:$H$286,MATCH($I13,_玩家曲线!$A$2:$A$286,0)),""))</f>
        <v>1003594.36051948</v>
      </c>
      <c r="R13" s="46">
        <f>IF($I13="","",IFERROR(INDEX(_玩家曲线!$I$2:$I$286,MATCH($I13,_玩家曲线!$A$2:$A$286,0)),""))</f>
        <v>1535950.83460991</v>
      </c>
      <c r="S13" s="46">
        <f>IF(OR($J13="",$F13="不适用"),"",IFERROR(INDEX(_怪物模型!$D$2:$D$4501,(INT($J13)-1)*ROWS(_怪物类型!$A$2:$A$10)+MATCH($F13,_怪物类型!$A$2:$A$10,0))*IF($K13="",1,$K13),""))</f>
        <v>171281.861165458</v>
      </c>
      <c r="T13" s="46">
        <f>IF(OR($J13="",$F13="不适用"),"",IFERROR(INDEX(_怪物模型!$E$2:$E$4501,(INT($J13)-1)*ROWS(_怪物类型!$A$2:$A$10)+MATCH($F13,_怪物类型!$A$2:$A$10,0))*IF($L13="",1,$L13),""))</f>
        <v>24613.8414130019</v>
      </c>
      <c r="U13" s="46">
        <f>IF(OR($J13="",$F13="不适用"),"",IFERROR(INDEX(_怪物模型!$F$2:$F$4501,(INT($J13)-1)*ROWS(_怪物类型!$A$2:$A$10)+MATCH($F13,_怪物类型!$A$2:$A$10,0))*IF($M13="",1,$M13),""))</f>
        <v>20275</v>
      </c>
      <c r="V13" s="47">
        <f t="shared" si="1"/>
        <v>0.457933370976849</v>
      </c>
      <c r="W13" s="48">
        <f t="shared" si="2"/>
        <v>315979.350129193</v>
      </c>
      <c r="X13" s="48">
        <f t="shared" si="3"/>
        <v>0.314847674079831</v>
      </c>
      <c r="Y13" s="48">
        <f t="shared" si="4"/>
        <v>62.4019147941112</v>
      </c>
      <c r="Z13" s="49" t="str">
        <f t="shared" si="5"/>
        <v/>
      </c>
      <c r="AA13" s="30" t="str">
        <f t="shared" si="6"/>
        <v>已计算</v>
      </c>
      <c r="AB13" s="30" t="str">
        <f t="shared" si="7"/>
        <v>有效</v>
      </c>
      <c r="AC13" s="30" t="str">
        <f t="shared" si="8"/>
        <v/>
      </c>
      <c r="AD13" s="31" t="s">
        <v>985</v>
      </c>
      <c r="AE13">
        <v>268000</v>
      </c>
      <c r="AF13">
        <f>INDEX(_统一战力!$B$2:$B$501,J13)</f>
        <v>710000</v>
      </c>
    </row>
    <row r="14" ht="25" customHeight="1" spans="1:32">
      <c r="A14" s="30" t="s">
        <v>966</v>
      </c>
      <c r="B14" s="30" t="s">
        <v>62</v>
      </c>
      <c r="C14" s="31" t="s">
        <v>967</v>
      </c>
      <c r="D14" s="31" t="s">
        <v>754</v>
      </c>
      <c r="E14" s="31" t="s">
        <v>986</v>
      </c>
      <c r="F14" s="30" t="s">
        <v>154</v>
      </c>
      <c r="G14" s="40">
        <v>158</v>
      </c>
      <c r="H14" s="41"/>
      <c r="I14" s="42">
        <f t="shared" si="0"/>
        <v>158</v>
      </c>
      <c r="J14" s="43">
        <v>215</v>
      </c>
      <c r="K14" s="44">
        <v>0.9277015189892</v>
      </c>
      <c r="L14" s="44">
        <v>1.18518613830209</v>
      </c>
      <c r="M14" s="44">
        <v>1</v>
      </c>
      <c r="N14" s="45"/>
      <c r="O14" s="45"/>
      <c r="P14" s="45"/>
      <c r="Q14" s="46">
        <f>IF($I14="","",IFERROR(INDEX(_玩家曲线!$H$2:$H$286,MATCH($I14,_玩家曲线!$A$2:$A$286,0)),""))</f>
        <v>1103860.56001256</v>
      </c>
      <c r="R14" s="46">
        <f>IF($I14="","",IFERROR(INDEX(_玩家曲线!$I$2:$I$286,MATCH($I14,_玩家曲线!$A$2:$A$286,0)),""))</f>
        <v>1647181.96630916</v>
      </c>
      <c r="S14" s="46">
        <f>IF(OR($J14="",$F14="不适用"),"",IFERROR(INDEX(_怪物模型!$D$2:$D$4501,(INT($J14)-1)*ROWS(_怪物类型!$A$2:$A$10)+MATCH($F14,_怪物类型!$A$2:$A$10,0))*IF($K14="",1,$K14),""))</f>
        <v>184831.539837332</v>
      </c>
      <c r="T14" s="46">
        <f>IF(OR($J14="",$F14="不适用"),"",IFERROR(INDEX(_怪物模型!$E$2:$E$4501,(INT($J14)-1)*ROWS(_怪物类型!$A$2:$A$10)+MATCH($F14,_怪物类型!$A$2:$A$10,0))*IF($L14="",1,$L14),""))</f>
        <v>26315.8730148596</v>
      </c>
      <c r="U14" s="46">
        <f>IF(OR($J14="",$F14="不适用"),"",IFERROR(INDEX(_怪物模型!$F$2:$F$4501,(INT($J14)-1)*ROWS(_怪物类型!$A$2:$A$10)+MATCH($F14,_怪物类型!$A$2:$A$10,0))*IF($M14="",1,$M14),""))</f>
        <v>21129</v>
      </c>
      <c r="V14" s="47">
        <f t="shared" si="1"/>
        <v>0.468191185268896</v>
      </c>
      <c r="W14" s="48">
        <f t="shared" si="2"/>
        <v>347552.606721624</v>
      </c>
      <c r="X14" s="48">
        <f t="shared" si="3"/>
        <v>0.314851910931277</v>
      </c>
      <c r="Y14" s="48">
        <f t="shared" si="4"/>
        <v>62.5927160151235</v>
      </c>
      <c r="Z14" s="49" t="str">
        <f t="shared" si="5"/>
        <v/>
      </c>
      <c r="AA14" s="30" t="str">
        <f t="shared" si="6"/>
        <v>已计算</v>
      </c>
      <c r="AB14" s="30" t="str">
        <f t="shared" si="7"/>
        <v>有效</v>
      </c>
      <c r="AC14" s="30" t="str">
        <f t="shared" si="8"/>
        <v/>
      </c>
      <c r="AD14" s="31" t="s">
        <v>987</v>
      </c>
      <c r="AE14">
        <v>287000</v>
      </c>
      <c r="AF14">
        <f>INDEX(_统一战力!$B$2:$B$501,J14)</f>
        <v>760000</v>
      </c>
    </row>
    <row r="15" ht="25" customHeight="1" spans="1:32">
      <c r="A15" s="30" t="s">
        <v>966</v>
      </c>
      <c r="B15" s="30" t="s">
        <v>62</v>
      </c>
      <c r="C15" s="31" t="s">
        <v>967</v>
      </c>
      <c r="D15" s="31" t="s">
        <v>756</v>
      </c>
      <c r="E15" s="31" t="s">
        <v>988</v>
      </c>
      <c r="F15" s="30" t="s">
        <v>154</v>
      </c>
      <c r="G15" s="40">
        <v>165</v>
      </c>
      <c r="H15" s="41"/>
      <c r="I15" s="42">
        <f t="shared" si="0"/>
        <v>165</v>
      </c>
      <c r="J15" s="43">
        <v>221</v>
      </c>
      <c r="K15" s="44">
        <v>0.930792810059927</v>
      </c>
      <c r="L15" s="44">
        <v>1.19841761076149</v>
      </c>
      <c r="M15" s="44">
        <v>1</v>
      </c>
      <c r="N15" s="45"/>
      <c r="O15" s="45"/>
      <c r="P15" s="45"/>
      <c r="Q15" s="46">
        <f>IF($I15="","",IFERROR(INDEX(_玩家曲线!$H$2:$H$286,MATCH($I15,_玩家曲线!$A$2:$A$286,0)),""))</f>
        <v>1187088.12987151</v>
      </c>
      <c r="R15" s="46">
        <f>IF($I15="","",IFERROR(INDEX(_玩家曲线!$I$2:$I$286,MATCH($I15,_玩家曲线!$A$2:$A$286,0)),""))</f>
        <v>1737234.08803906</v>
      </c>
      <c r="S15" s="46">
        <f>IF(OR($J15="",$F15="不适用"),"",IFERROR(INDEX(_怪物模型!$D$2:$D$4501,(INT($J15)-1)*ROWS(_怪物类型!$A$2:$A$10)+MATCH($F15,_怪物类型!$A$2:$A$10,0))*IF($K15="",1,$K15),""))</f>
        <v>198690.756406632</v>
      </c>
      <c r="T15" s="46">
        <f>IF(OR($J15="",$F15="不适用"),"",IFERROR(INDEX(_怪物模型!$E$2:$E$4501,(INT($J15)-1)*ROWS(_怪物类型!$A$2:$A$10)+MATCH($F15,_怪物类型!$A$2:$A$10,0))*IF($L15="",1,$L15),""))</f>
        <v>27983.0512112808</v>
      </c>
      <c r="U15" s="46">
        <f>IF(OR($J15="",$F15="不适用"),"",IFERROR(INDEX(_怪物模型!$F$2:$F$4501,(INT($J15)-1)*ROWS(_怪物类型!$A$2:$A$10)+MATCH($F15,_怪物类型!$A$2:$A$10,0))*IF($M15="",1,$M15),""))</f>
        <v>21869</v>
      </c>
      <c r="V15" s="47">
        <f t="shared" si="1"/>
        <v>0.476770803810853</v>
      </c>
      <c r="W15" s="48">
        <f t="shared" si="2"/>
        <v>379739.429400659</v>
      </c>
      <c r="X15" s="48">
        <f t="shared" si="3"/>
        <v>0.319891522663749</v>
      </c>
      <c r="Y15" s="48">
        <f t="shared" si="4"/>
        <v>62.0816534595316</v>
      </c>
      <c r="Z15" s="49" t="str">
        <f t="shared" si="5"/>
        <v/>
      </c>
      <c r="AA15" s="30" t="str">
        <f t="shared" si="6"/>
        <v>已计算</v>
      </c>
      <c r="AB15" s="30" t="str">
        <f t="shared" si="7"/>
        <v>有效</v>
      </c>
      <c r="AC15" s="30" t="str">
        <f t="shared" si="8"/>
        <v/>
      </c>
      <c r="AD15" s="31" t="s">
        <v>989</v>
      </c>
      <c r="AE15">
        <v>307000</v>
      </c>
      <c r="AF15">
        <f>INDEX(_统一战力!$B$2:$B$501,J15)</f>
        <v>810000</v>
      </c>
    </row>
    <row r="16" ht="25" customHeight="1" spans="1:32">
      <c r="A16" s="30" t="s">
        <v>966</v>
      </c>
      <c r="B16" s="30" t="s">
        <v>62</v>
      </c>
      <c r="C16" s="31" t="s">
        <v>967</v>
      </c>
      <c r="D16" s="31" t="s">
        <v>758</v>
      </c>
      <c r="E16" s="31" t="s">
        <v>990</v>
      </c>
      <c r="F16" s="30" t="s">
        <v>154</v>
      </c>
      <c r="G16" s="40">
        <v>173</v>
      </c>
      <c r="H16" s="41"/>
      <c r="I16" s="42">
        <f t="shared" si="0"/>
        <v>173</v>
      </c>
      <c r="J16" s="43">
        <v>227</v>
      </c>
      <c r="K16" s="44">
        <v>0.929622893890929</v>
      </c>
      <c r="L16" s="44">
        <v>1.20840448217647</v>
      </c>
      <c r="M16" s="44">
        <v>1</v>
      </c>
      <c r="N16" s="45"/>
      <c r="O16" s="45"/>
      <c r="P16" s="45"/>
      <c r="Q16" s="46">
        <f>IF($I16="","",IFERROR(INDEX(_玩家曲线!$H$2:$H$286,MATCH($I16,_玩家曲线!$A$2:$A$286,0)),""))</f>
        <v>1284852.8287467</v>
      </c>
      <c r="R16" s="46">
        <f>IF($I16="","",IFERROR(INDEX(_玩家曲线!$I$2:$I$286,MATCH($I16,_玩家曲线!$A$2:$A$286,0)),""))</f>
        <v>1840489.9100475</v>
      </c>
      <c r="S16" s="46">
        <f>IF(OR($J16="",$F16="不适用"),"",IFERROR(INDEX(_怪物模型!$D$2:$D$4501,(INT($J16)-1)*ROWS(_怪物类型!$A$2:$A$10)+MATCH($F16,_怪物类型!$A$2:$A$10,0))*IF($K16="",1,$K16),""))</f>
        <v>212355.616897293</v>
      </c>
      <c r="T16" s="46">
        <f>IF(OR($J16="",$F16="不适用"),"",IFERROR(INDEX(_怪物模型!$E$2:$E$4501,(INT($J16)-1)*ROWS(_怪物类型!$A$2:$A$10)+MATCH($F16,_怪物类型!$A$2:$A$10,0))*IF($L16="",1,$L16),""))</f>
        <v>29648.2039701997</v>
      </c>
      <c r="U16" s="46">
        <f>IF(OR($J16="",$F16="不适用"),"",IFERROR(INDEX(_怪物模型!$F$2:$F$4501,(INT($J16)-1)*ROWS(_怪物类型!$A$2:$A$10)+MATCH($F16,_怪物类型!$A$2:$A$10,0))*IF($M16="",1,$M16),""))</f>
        <v>22618</v>
      </c>
      <c r="V16" s="47">
        <f t="shared" si="1"/>
        <v>0.485177399287829</v>
      </c>
      <c r="W16" s="48">
        <f t="shared" si="2"/>
        <v>412483.089521583</v>
      </c>
      <c r="X16" s="48">
        <f t="shared" si="3"/>
        <v>0.321035281467946</v>
      </c>
      <c r="Y16" s="48">
        <f t="shared" si="4"/>
        <v>62.0776189983526</v>
      </c>
      <c r="Z16" s="49" t="str">
        <f t="shared" si="5"/>
        <v/>
      </c>
      <c r="AA16" s="30" t="str">
        <f t="shared" si="6"/>
        <v>已计算</v>
      </c>
      <c r="AB16" s="30" t="str">
        <f t="shared" si="7"/>
        <v>有效</v>
      </c>
      <c r="AC16" s="30" t="str">
        <f t="shared" si="8"/>
        <v/>
      </c>
      <c r="AD16" s="31" t="s">
        <v>991</v>
      </c>
      <c r="AE16">
        <v>320000</v>
      </c>
      <c r="AF16">
        <f>INDEX(_统一战力!$B$2:$B$501,J16)</f>
        <v>862000</v>
      </c>
    </row>
    <row r="17" ht="25" customHeight="1" spans="1:32">
      <c r="A17" s="30" t="s">
        <v>966</v>
      </c>
      <c r="B17" s="30" t="s">
        <v>62</v>
      </c>
      <c r="C17" s="31" t="s">
        <v>967</v>
      </c>
      <c r="D17" s="31" t="s">
        <v>760</v>
      </c>
      <c r="E17" s="31" t="s">
        <v>992</v>
      </c>
      <c r="F17" s="30" t="s">
        <v>154</v>
      </c>
      <c r="G17" s="40">
        <v>181</v>
      </c>
      <c r="H17" s="41"/>
      <c r="I17" s="42">
        <f t="shared" si="0"/>
        <v>181</v>
      </c>
      <c r="J17" s="43">
        <v>233</v>
      </c>
      <c r="K17" s="44">
        <v>0.927414459259092</v>
      </c>
      <c r="L17" s="44">
        <v>1.21679232322575</v>
      </c>
      <c r="M17" s="44">
        <v>1</v>
      </c>
      <c r="N17" s="45"/>
      <c r="O17" s="45"/>
      <c r="P17" s="45"/>
      <c r="Q17" s="46">
        <f>IF($I17="","",IFERROR(INDEX(_玩家曲线!$H$2:$H$286,MATCH($I17,_玩家曲线!$A$2:$A$286,0)),""))</f>
        <v>1377894.31762429</v>
      </c>
      <c r="R17" s="46">
        <f>IF($I17="","",IFERROR(INDEX(_玩家曲线!$I$2:$I$286,MATCH($I17,_玩家曲线!$A$2:$A$286,0)),""))</f>
        <v>1936600.79811508</v>
      </c>
      <c r="S17" s="46">
        <f>IF(OR($J17="",$F17="不适用"),"",IFERROR(INDEX(_怪物模型!$D$2:$D$4501,(INT($J17)-1)*ROWS(_怪物类型!$A$2:$A$10)+MATCH($F17,_怪物类型!$A$2:$A$10,0))*IF($K17="",1,$K17),""))</f>
        <v>226444.933688374</v>
      </c>
      <c r="T17" s="46">
        <f>IF(OR($J17="",$F17="不适用"),"",IFERROR(INDEX(_怪物模型!$E$2:$E$4501,(INT($J17)-1)*ROWS(_怪物类型!$A$2:$A$10)+MATCH($F17,_怪物类型!$A$2:$A$10,0))*IF($L17="",1,$L17),""))</f>
        <v>31349.4374155882</v>
      </c>
      <c r="U17" s="46">
        <f>IF(OR($J17="",$F17="不适用"),"",IFERROR(INDEX(_怪物模型!$F$2:$F$4501,(INT($J17)-1)*ROWS(_怪物类型!$A$2:$A$10)+MATCH($F17,_怪物类型!$A$2:$A$10,0))*IF($M17="",1,$M17),""))</f>
        <v>23374</v>
      </c>
      <c r="V17" s="47">
        <f t="shared" si="1"/>
        <v>0.493393000379955</v>
      </c>
      <c r="W17" s="48">
        <f t="shared" si="2"/>
        <v>446983.42868971</v>
      </c>
      <c r="X17" s="48">
        <f t="shared" si="3"/>
        <v>0.324396017149109</v>
      </c>
      <c r="Y17" s="48">
        <f t="shared" si="4"/>
        <v>61.7746587424284</v>
      </c>
      <c r="Z17" s="49" t="str">
        <f t="shared" si="5"/>
        <v/>
      </c>
      <c r="AA17" s="30" t="str">
        <f t="shared" si="6"/>
        <v>已计算</v>
      </c>
      <c r="AB17" s="30" t="str">
        <f t="shared" si="7"/>
        <v>有效</v>
      </c>
      <c r="AC17" s="30" t="str">
        <f t="shared" si="8"/>
        <v/>
      </c>
      <c r="AD17" s="31" t="s">
        <v>993</v>
      </c>
      <c r="AE17">
        <v>342000</v>
      </c>
      <c r="AF17">
        <f>INDEX(_统一战力!$B$2:$B$501,J17)</f>
        <v>909000</v>
      </c>
    </row>
    <row r="18" ht="25" customHeight="1" spans="1:32">
      <c r="A18" s="30" t="s">
        <v>966</v>
      </c>
      <c r="B18" s="30" t="s">
        <v>62</v>
      </c>
      <c r="C18" s="31" t="s">
        <v>967</v>
      </c>
      <c r="D18" s="31" t="s">
        <v>762</v>
      </c>
      <c r="E18" s="31" t="s">
        <v>994</v>
      </c>
      <c r="F18" s="30" t="s">
        <v>154</v>
      </c>
      <c r="G18" s="40">
        <v>189</v>
      </c>
      <c r="H18" s="41"/>
      <c r="I18" s="42">
        <f t="shared" si="0"/>
        <v>189</v>
      </c>
      <c r="J18" s="43">
        <v>239</v>
      </c>
      <c r="K18" s="44">
        <v>0.929136960829456</v>
      </c>
      <c r="L18" s="44">
        <v>1.22853771020941</v>
      </c>
      <c r="M18" s="44">
        <v>1</v>
      </c>
      <c r="N18" s="45"/>
      <c r="O18" s="45"/>
      <c r="P18" s="45"/>
      <c r="Q18" s="46">
        <f>IF($I18="","",IFERROR(INDEX(_玩家曲线!$H$2:$H$286,MATCH($I18,_玩家曲线!$A$2:$A$286,0)),""))</f>
        <v>1473752.89066686</v>
      </c>
      <c r="R18" s="46">
        <f>IF($I18="","",IFERROR(INDEX(_玩家曲线!$I$2:$I$286,MATCH($I18,_玩家曲线!$A$2:$A$286,0)),""))</f>
        <v>2033469.77841399</v>
      </c>
      <c r="S18" s="46">
        <f>IF(OR($J18="",$F18="不适用"),"",IFERROR(INDEX(_怪物模型!$D$2:$D$4501,(INT($J18)-1)*ROWS(_怪物类型!$A$2:$A$10)+MATCH($F18,_怪物类型!$A$2:$A$10,0))*IF($K18="",1,$K18),""))</f>
        <v>242224.147414317</v>
      </c>
      <c r="T18" s="46">
        <f>IF(OR($J18="",$F18="不适用"),"",IFERROR(INDEX(_怪物模型!$E$2:$E$4501,(INT($J18)-1)*ROWS(_怪物类型!$A$2:$A$10)+MATCH($F18,_怪物类型!$A$2:$A$10,0))*IF($L18="",1,$L18),""))</f>
        <v>33211.059920091</v>
      </c>
      <c r="U18" s="46">
        <f>IF(OR($J18="",$F18="不适用"),"",IFERROR(INDEX(_怪物模型!$F$2:$F$4501,(INT($J18)-1)*ROWS(_怪物类型!$A$2:$A$10)+MATCH($F18,_怪物类型!$A$2:$A$10,0))*IF($M18="",1,$M18),""))</f>
        <v>24139</v>
      </c>
      <c r="V18" s="47">
        <f t="shared" si="1"/>
        <v>0.501443735848273</v>
      </c>
      <c r="W18" s="48">
        <f t="shared" si="2"/>
        <v>485851.176349076</v>
      </c>
      <c r="X18" s="48">
        <f t="shared" si="3"/>
        <v>0.329669362771688</v>
      </c>
      <c r="Y18" s="48">
        <f t="shared" si="4"/>
        <v>61.2286925893577</v>
      </c>
      <c r="Z18" s="49" t="str">
        <f t="shared" si="5"/>
        <v/>
      </c>
      <c r="AA18" s="30" t="str">
        <f t="shared" si="6"/>
        <v>已计算</v>
      </c>
      <c r="AB18" s="30" t="str">
        <f t="shared" si="7"/>
        <v>有效</v>
      </c>
      <c r="AC18" s="30" t="str">
        <f t="shared" si="8"/>
        <v/>
      </c>
      <c r="AD18" s="31" t="s">
        <v>995</v>
      </c>
      <c r="AE18">
        <v>358000</v>
      </c>
      <c r="AF18">
        <f>INDEX(_统一战力!$B$2:$B$501,J18)</f>
        <v>958000</v>
      </c>
    </row>
    <row r="19" ht="25" customHeight="1" spans="1:32">
      <c r="A19" s="30" t="s">
        <v>966</v>
      </c>
      <c r="B19" s="30" t="s">
        <v>62</v>
      </c>
      <c r="C19" s="31" t="s">
        <v>967</v>
      </c>
      <c r="D19" s="31" t="s">
        <v>764</v>
      </c>
      <c r="E19" s="31" t="s">
        <v>996</v>
      </c>
      <c r="F19" s="30" t="s">
        <v>154</v>
      </c>
      <c r="G19" s="40">
        <v>197</v>
      </c>
      <c r="H19" s="41"/>
      <c r="I19" s="42">
        <f t="shared" si="0"/>
        <v>197</v>
      </c>
      <c r="J19" s="43">
        <v>245</v>
      </c>
      <c r="K19" s="44">
        <v>0.917613635352208</v>
      </c>
      <c r="L19" s="44">
        <v>1.22815728624221</v>
      </c>
      <c r="M19" s="44">
        <v>1</v>
      </c>
      <c r="N19" s="45"/>
      <c r="O19" s="45"/>
      <c r="P19" s="45"/>
      <c r="Q19" s="46">
        <f>IF($I19="","",IFERROR(INDEX(_玩家曲线!$H$2:$H$286,MATCH($I19,_玩家曲线!$A$2:$A$286,0)),""))</f>
        <v>1564103.91286231</v>
      </c>
      <c r="R19" s="46">
        <f>IF($I19="","",IFERROR(INDEX(_玩家曲线!$I$2:$I$286,MATCH($I19,_玩家曲线!$A$2:$A$286,0)),""))</f>
        <v>2123096.1621807</v>
      </c>
      <c r="S19" s="46">
        <f>IF(OR($J19="",$F19="不适用"),"",IFERROR(INDEX(_怪物模型!$D$2:$D$4501,(INT($J19)-1)*ROWS(_怪物类型!$A$2:$A$10)+MATCH($F19,_怪物类型!$A$2:$A$10,0))*IF($K19="",1,$K19),""))</f>
        <v>255143.388923317</v>
      </c>
      <c r="T19" s="46">
        <f>IF(OR($J19="",$F19="不适用"),"",IFERROR(INDEX(_怪物模型!$E$2:$E$4501,(INT($J19)-1)*ROWS(_怪物类型!$A$2:$A$10)+MATCH($F19,_怪物类型!$A$2:$A$10,0))*IF($L19="",1,$L19),""))</f>
        <v>34814.5745931079</v>
      </c>
      <c r="U19" s="46">
        <f>IF(OR($J19="",$F19="不适用"),"",IFERROR(INDEX(_怪物模型!$F$2:$F$4501,(INT($J19)-1)*ROWS(_怪物类型!$A$2:$A$10)+MATCH($F19,_怪物类型!$A$2:$A$10,0))*IF($M19="",1,$M19),""))</f>
        <v>24913</v>
      </c>
      <c r="V19" s="47">
        <f t="shared" si="1"/>
        <v>0.509332897184797</v>
      </c>
      <c r="W19" s="48">
        <f t="shared" si="2"/>
        <v>519992.857600258</v>
      </c>
      <c r="X19" s="48">
        <f t="shared" si="3"/>
        <v>0.332454163258674</v>
      </c>
      <c r="Y19" s="48">
        <f t="shared" si="4"/>
        <v>60.982970120824</v>
      </c>
      <c r="Z19" s="49" t="str">
        <f t="shared" si="5"/>
        <v/>
      </c>
      <c r="AA19" s="30" t="str">
        <f t="shared" si="6"/>
        <v>已计算</v>
      </c>
      <c r="AB19" s="30" t="str">
        <f t="shared" si="7"/>
        <v>有效</v>
      </c>
      <c r="AC19" s="30" t="str">
        <f t="shared" si="8"/>
        <v/>
      </c>
      <c r="AD19" s="31" t="s">
        <v>997</v>
      </c>
      <c r="AE19">
        <v>375000</v>
      </c>
      <c r="AF19">
        <f>INDEX(_统一战力!$B$2:$B$501,J19)</f>
        <v>1010000</v>
      </c>
    </row>
    <row r="20" ht="25" customHeight="1" spans="1:32">
      <c r="A20" s="30" t="s">
        <v>966</v>
      </c>
      <c r="B20" s="30" t="s">
        <v>62</v>
      </c>
      <c r="C20" s="31" t="s">
        <v>967</v>
      </c>
      <c r="D20" s="31" t="s">
        <v>766</v>
      </c>
      <c r="E20" s="31" t="s">
        <v>998</v>
      </c>
      <c r="F20" s="30" t="s">
        <v>154</v>
      </c>
      <c r="G20" s="40">
        <v>205</v>
      </c>
      <c r="H20" s="41"/>
      <c r="I20" s="42">
        <f t="shared" si="0"/>
        <v>205</v>
      </c>
      <c r="J20" s="43">
        <v>250</v>
      </c>
      <c r="K20" s="44">
        <v>0.921752132659619</v>
      </c>
      <c r="L20" s="44">
        <v>1.24026886843341</v>
      </c>
      <c r="M20" s="44">
        <v>1</v>
      </c>
      <c r="N20" s="45"/>
      <c r="O20" s="45"/>
      <c r="P20" s="45"/>
      <c r="Q20" s="46">
        <f>IF($I20="","",IFERROR(INDEX(_玩家曲线!$H$2:$H$286,MATCH($I20,_玩家曲线!$A$2:$A$286,0)),""))</f>
        <v>1657649.79878015</v>
      </c>
      <c r="R20" s="46">
        <f>IF($I20="","",IFERROR(INDEX(_玩家曲线!$I$2:$I$286,MATCH($I20,_玩家曲线!$A$2:$A$286,0)),""))</f>
        <v>2214138.83140036</v>
      </c>
      <c r="S20" s="46">
        <f>IF(OR($J20="",$F20="不适用"),"",IFERROR(INDEX(_怪物模型!$D$2:$D$4501,(INT($J20)-1)*ROWS(_怪物类型!$A$2:$A$10)+MATCH($F20,_怪物类型!$A$2:$A$10,0))*IF($K20="",1,$K20),""))</f>
        <v>270222.698714759</v>
      </c>
      <c r="T20" s="46">
        <f>IF(OR($J20="",$F20="不适用"),"",IFERROR(INDEX(_怪物模型!$E$2:$E$4501,(INT($J20)-1)*ROWS(_怪物类型!$A$2:$A$10)+MATCH($F20,_怪物类型!$A$2:$A$10,0))*IF($L20="",1,$L20),""))</f>
        <v>36559.4054348116</v>
      </c>
      <c r="U20" s="46">
        <f>IF(OR($J20="",$F20="不适用"),"",IFERROR(INDEX(_怪物模型!$F$2:$F$4501,(INT($J20)-1)*ROWS(_怪物类型!$A$2:$A$10)+MATCH($F20,_怪物类型!$A$2:$A$10,0))*IF($M20="",1,$M20),""))</f>
        <v>25563</v>
      </c>
      <c r="V20" s="47">
        <f t="shared" si="1"/>
        <v>0.515767810665214</v>
      </c>
      <c r="W20" s="48">
        <f t="shared" si="2"/>
        <v>558043.650683317</v>
      </c>
      <c r="X20" s="48">
        <f t="shared" si="3"/>
        <v>0.336647493996607</v>
      </c>
      <c r="Y20" s="48">
        <f t="shared" si="4"/>
        <v>60.5627691442726</v>
      </c>
      <c r="Z20" s="49" t="str">
        <f t="shared" si="5"/>
        <v/>
      </c>
      <c r="AA20" s="30" t="str">
        <f t="shared" si="6"/>
        <v>已计算</v>
      </c>
      <c r="AB20" s="30" t="str">
        <f t="shared" si="7"/>
        <v>有效</v>
      </c>
      <c r="AC20" s="30" t="str">
        <f t="shared" si="8"/>
        <v/>
      </c>
      <c r="AD20" s="31" t="s">
        <v>999</v>
      </c>
      <c r="AE20">
        <v>398000</v>
      </c>
      <c r="AF20">
        <f>INDEX(_统一战力!$B$2:$B$501,J20)</f>
        <v>1050000</v>
      </c>
    </row>
    <row r="21" ht="25" customHeight="1" spans="1:32">
      <c r="A21" s="30" t="s">
        <v>966</v>
      </c>
      <c r="B21" s="30" t="s">
        <v>62</v>
      </c>
      <c r="C21" s="31" t="s">
        <v>967</v>
      </c>
      <c r="D21" s="31" t="s">
        <v>768</v>
      </c>
      <c r="E21" s="31" t="s">
        <v>1000</v>
      </c>
      <c r="F21" s="30" t="s">
        <v>154</v>
      </c>
      <c r="G21" s="40">
        <v>213</v>
      </c>
      <c r="H21" s="41"/>
      <c r="I21" s="42">
        <f t="shared" si="0"/>
        <v>213</v>
      </c>
      <c r="J21" s="43">
        <v>257</v>
      </c>
      <c r="K21" s="44">
        <v>0.911918349262879</v>
      </c>
      <c r="L21" s="44">
        <v>1.24174258364797</v>
      </c>
      <c r="M21" s="44">
        <v>1</v>
      </c>
      <c r="N21" s="45"/>
      <c r="O21" s="45"/>
      <c r="P21" s="45"/>
      <c r="Q21" s="46">
        <f>IF($I21="","",IFERROR(INDEX(_玩家曲线!$H$2:$H$286,MATCH($I21,_玩家曲线!$A$2:$A$286,0)),""))</f>
        <v>1746757.31235003</v>
      </c>
      <c r="R21" s="46">
        <f>IF($I21="","",IFERROR(INDEX(_玩家曲线!$I$2:$I$286,MATCH($I21,_玩家曲线!$A$2:$A$286,0)),""))</f>
        <v>2299459.64464222</v>
      </c>
      <c r="S21" s="46">
        <f>IF(OR($J21="",$F21="不适用"),"",IFERROR(INDEX(_怪物模型!$D$2:$D$4501,(INT($J21)-1)*ROWS(_怪物类型!$A$2:$A$10)+MATCH($F21,_怪物类型!$A$2:$A$10,0))*IF($K21="",1,$K21),""))</f>
        <v>287567.068011604</v>
      </c>
      <c r="T21" s="46">
        <f>IF(OR($J21="",$F21="不适用"),"",IFERROR(INDEX(_怪物模型!$E$2:$E$4501,(INT($J21)-1)*ROWS(_怪物类型!$A$2:$A$10)+MATCH($F21,_怪物类型!$A$2:$A$10,0))*IF($L21="",1,$L21),""))</f>
        <v>38634.3370050393</v>
      </c>
      <c r="U21" s="46">
        <f>IF(OR($J21="",$F21="不适用"),"",IFERROR(INDEX(_怪物模型!$F$2:$F$4501,(INT($J21)-1)*ROWS(_怪物类型!$A$2:$A$10)+MATCH($F21,_怪物类型!$A$2:$A$10,0))*IF($M21="",1,$M21),""))</f>
        <v>26484</v>
      </c>
      <c r="V21" s="47">
        <f t="shared" si="1"/>
        <v>0.524601854052769</v>
      </c>
      <c r="W21" s="48">
        <f t="shared" si="2"/>
        <v>604897.327562409</v>
      </c>
      <c r="X21" s="48">
        <f t="shared" si="3"/>
        <v>0.346297292294486</v>
      </c>
      <c r="Y21" s="48">
        <f t="shared" si="4"/>
        <v>59.5185480817825</v>
      </c>
      <c r="Z21" s="49" t="str">
        <f t="shared" si="5"/>
        <v/>
      </c>
      <c r="AA21" s="30" t="str">
        <f t="shared" si="6"/>
        <v>已计算</v>
      </c>
      <c r="AB21" s="30" t="str">
        <f t="shared" si="7"/>
        <v>有效</v>
      </c>
      <c r="AC21" s="30" t="str">
        <f t="shared" si="8"/>
        <v/>
      </c>
      <c r="AD21" s="31" t="s">
        <v>1001</v>
      </c>
      <c r="AE21">
        <v>417000</v>
      </c>
      <c r="AF21">
        <f>INDEX(_统一战力!$B$2:$B$501,J21)</f>
        <v>1120000</v>
      </c>
    </row>
    <row r="22" ht="25" customHeight="1" spans="1:32">
      <c r="A22" s="30" t="s">
        <v>966</v>
      </c>
      <c r="B22" s="30" t="s">
        <v>62</v>
      </c>
      <c r="C22" s="31" t="s">
        <v>967</v>
      </c>
      <c r="D22" s="31" t="s">
        <v>770</v>
      </c>
      <c r="E22" s="31" t="s">
        <v>1002</v>
      </c>
      <c r="F22" s="30" t="s">
        <v>154</v>
      </c>
      <c r="G22" s="40">
        <v>221</v>
      </c>
      <c r="H22" s="41"/>
      <c r="I22" s="42">
        <f t="shared" si="0"/>
        <v>221</v>
      </c>
      <c r="J22" s="43">
        <v>262</v>
      </c>
      <c r="K22" s="44">
        <v>0.916961783923683</v>
      </c>
      <c r="L22" s="44">
        <v>1.25417897101172</v>
      </c>
      <c r="M22" s="44">
        <v>1</v>
      </c>
      <c r="N22" s="45"/>
      <c r="O22" s="45"/>
      <c r="P22" s="45"/>
      <c r="Q22" s="46">
        <f>IF($I22="","",IFERROR(INDEX(_玩家曲线!$H$2:$H$286,MATCH($I22,_玩家曲线!$A$2:$A$286,0)),""))</f>
        <v>1838313.57172641</v>
      </c>
      <c r="R22" s="46">
        <f>IF($I22="","",IFERROR(INDEX(_玩家曲线!$I$2:$I$286,MATCH($I22,_玩家曲线!$A$2:$A$286,0)),""))</f>
        <v>2385668.99803778</v>
      </c>
      <c r="S22" s="46">
        <f>IF(OR($J22="",$F22="不适用"),"",IFERROR(INDEX(_怪物模型!$D$2:$D$4501,(INT($J22)-1)*ROWS(_怪物类型!$A$2:$A$10)+MATCH($F22,_怪物类型!$A$2:$A$10,0))*IF($K22="",1,$K22),""))</f>
        <v>304379.962402763</v>
      </c>
      <c r="T22" s="46">
        <f>IF(OR($J22="",$F22="不适用"),"",IFERROR(INDEX(_怪物模型!$E$2:$E$4501,(INT($J22)-1)*ROWS(_怪物类型!$A$2:$A$10)+MATCH($F22,_怪物类型!$A$2:$A$10,0))*IF($L22="",1,$L22),""))</f>
        <v>40537.5727010408</v>
      </c>
      <c r="U22" s="46">
        <f>IF(OR($J22="",$F22="不适用"),"",IFERROR(INDEX(_怪物模型!$F$2:$F$4501,(INT($J22)-1)*ROWS(_怪物类型!$A$2:$A$10)+MATCH($F22,_怪物类型!$A$2:$A$10,0))*IF($M22="",1,$M22),""))</f>
        <v>27148</v>
      </c>
      <c r="V22" s="47">
        <f t="shared" si="1"/>
        <v>0.530773441776805</v>
      </c>
      <c r="W22" s="48">
        <f t="shared" si="2"/>
        <v>648684.429874022</v>
      </c>
      <c r="X22" s="48">
        <f t="shared" si="3"/>
        <v>0.352869303611149</v>
      </c>
      <c r="Y22" s="48">
        <f t="shared" si="4"/>
        <v>58.8508102256583</v>
      </c>
      <c r="Z22" s="49" t="str">
        <f t="shared" si="5"/>
        <v/>
      </c>
      <c r="AA22" s="30" t="str">
        <f t="shared" si="6"/>
        <v>已计算</v>
      </c>
      <c r="AB22" s="30" t="str">
        <f t="shared" si="7"/>
        <v>有效</v>
      </c>
      <c r="AC22" s="30" t="str">
        <f t="shared" si="8"/>
        <v/>
      </c>
      <c r="AD22" s="31" t="s">
        <v>1003</v>
      </c>
      <c r="AE22">
        <v>445000</v>
      </c>
      <c r="AF22">
        <f>INDEX(_统一战力!$B$2:$B$501,J22)</f>
        <v>1160000</v>
      </c>
    </row>
    <row r="23" ht="25" customHeight="1" spans="1:32">
      <c r="A23" s="30" t="s">
        <v>966</v>
      </c>
      <c r="B23" s="30" t="s">
        <v>62</v>
      </c>
      <c r="C23" s="31" t="s">
        <v>967</v>
      </c>
      <c r="D23" s="31" t="s">
        <v>772</v>
      </c>
      <c r="E23" s="31" t="s">
        <v>1004</v>
      </c>
      <c r="F23" s="30" t="s">
        <v>154</v>
      </c>
      <c r="G23" s="40">
        <v>229</v>
      </c>
      <c r="H23" s="41"/>
      <c r="I23" s="42">
        <f t="shared" si="0"/>
        <v>229</v>
      </c>
      <c r="J23" s="43">
        <v>268</v>
      </c>
      <c r="K23" s="44">
        <v>0.909825071533798</v>
      </c>
      <c r="L23" s="44">
        <v>1.2564527283729</v>
      </c>
      <c r="M23" s="44">
        <v>1</v>
      </c>
      <c r="N23" s="45"/>
      <c r="O23" s="45"/>
      <c r="P23" s="45"/>
      <c r="Q23" s="46">
        <f>IF($I23="","",IFERROR(INDEX(_玩家曲线!$H$2:$H$286,MATCH($I23,_玩家曲线!$A$2:$A$286,0)),""))</f>
        <v>1927364.21561704</v>
      </c>
      <c r="R23" s="46">
        <f>IF($I23="","",IFERROR(INDEX(_玩家曲线!$I$2:$I$286,MATCH($I23,_玩家曲线!$A$2:$A$286,0)),""))</f>
        <v>2468275.0932094</v>
      </c>
      <c r="S23" s="46">
        <f>IF(OR($J23="",$F23="不适用"),"",IFERROR(INDEX(_怪物模型!$D$2:$D$4501,(INT($J23)-1)*ROWS(_怪物类型!$A$2:$A$10)+MATCH($F23,_怪物类型!$A$2:$A$10,0))*IF($K23="",1,$K23),""))</f>
        <v>320919.868006902</v>
      </c>
      <c r="T23" s="46">
        <f>IF(OR($J23="",$F23="不适用"),"",IFERROR(INDEX(_怪物模型!$E$2:$E$4501,(INT($J23)-1)*ROWS(_怪物类型!$A$2:$A$10)+MATCH($F23,_怪物类型!$A$2:$A$10,0))*IF($L23="",1,$L23),""))</f>
        <v>42489.4619153864</v>
      </c>
      <c r="U23" s="46">
        <f>IF(OR($J23="",$F23="不适用"),"",IFERROR(INDEX(_怪物模型!$F$2:$F$4501,(INT($J23)-1)*ROWS(_怪物类型!$A$2:$A$10)+MATCH($F23,_怪物类型!$A$2:$A$10,0))*IF($M23="",1,$M23),""))</f>
        <v>27952</v>
      </c>
      <c r="V23" s="47">
        <f t="shared" si="1"/>
        <v>0.538035109331691</v>
      </c>
      <c r="W23" s="48">
        <f t="shared" si="2"/>
        <v>694684.540945607</v>
      </c>
      <c r="X23" s="48">
        <f t="shared" si="3"/>
        <v>0.360432416103153</v>
      </c>
      <c r="Y23" s="48">
        <f t="shared" si="4"/>
        <v>58.0914650819709</v>
      </c>
      <c r="Z23" s="49" t="str">
        <f t="shared" si="5"/>
        <v/>
      </c>
      <c r="AA23" s="30" t="str">
        <f t="shared" si="6"/>
        <v>已计算</v>
      </c>
      <c r="AB23" s="30" t="str">
        <f t="shared" si="7"/>
        <v>有效</v>
      </c>
      <c r="AC23" s="30" t="str">
        <f t="shared" si="8"/>
        <v/>
      </c>
      <c r="AD23" s="31" t="s">
        <v>1005</v>
      </c>
      <c r="AE23">
        <v>463000</v>
      </c>
      <c r="AF23">
        <f>INDEX(_统一战力!$B$2:$B$501,J23)</f>
        <v>1210000</v>
      </c>
    </row>
    <row r="24" ht="25" customHeight="1" spans="1:32">
      <c r="A24" s="30" t="s">
        <v>966</v>
      </c>
      <c r="B24" s="30" t="s">
        <v>62</v>
      </c>
      <c r="C24" s="31" t="s">
        <v>967</v>
      </c>
      <c r="D24" s="31" t="s">
        <v>774</v>
      </c>
      <c r="E24" s="31" t="s">
        <v>1006</v>
      </c>
      <c r="F24" s="30" t="s">
        <v>154</v>
      </c>
      <c r="G24" s="40">
        <v>237</v>
      </c>
      <c r="H24" s="41"/>
      <c r="I24" s="42">
        <f t="shared" si="0"/>
        <v>237</v>
      </c>
      <c r="J24" s="43">
        <v>273</v>
      </c>
      <c r="K24" s="44">
        <v>0.915593429943015</v>
      </c>
      <c r="L24" s="44">
        <v>1.26924978638973</v>
      </c>
      <c r="M24" s="44">
        <v>1</v>
      </c>
      <c r="N24" s="45"/>
      <c r="O24" s="45"/>
      <c r="P24" s="45"/>
      <c r="Q24" s="46">
        <f>IF($I24="","",IFERROR(INDEX(_玩家曲线!$H$2:$H$286,MATCH($I24,_玩家曲线!$A$2:$A$286,0)),""))</f>
        <v>2017961.19053141</v>
      </c>
      <c r="R24" s="46">
        <f>IF($I24="","",IFERROR(INDEX(_玩家曲线!$I$2:$I$286,MATCH($I24,_玩家曲线!$A$2:$A$286,0)),""))</f>
        <v>2551062.20789098</v>
      </c>
      <c r="S24" s="46">
        <f>IF(OR($J24="",$F24="不适用"),"",IFERROR(INDEX(_怪物模型!$D$2:$D$4501,(INT($J24)-1)*ROWS(_怪物类型!$A$2:$A$10)+MATCH($F24,_怪物类型!$A$2:$A$10,0))*IF($K24="",1,$K24),""))</f>
        <v>339488.309921421</v>
      </c>
      <c r="T24" s="46">
        <f>IF(OR($J24="",$F24="不适用"),"",IFERROR(INDEX(_怪物模型!$E$2:$E$4501,(INT($J24)-1)*ROWS(_怪物类型!$A$2:$A$10)+MATCH($F24,_怪物类型!$A$2:$A$10,0))*IF($L24="",1,$L24),""))</f>
        <v>44551.9367520659</v>
      </c>
      <c r="U24" s="46">
        <f>IF(OR($J24="",$F24="不适用"),"",IFERROR(INDEX(_怪物模型!$F$2:$F$4501,(INT($J24)-1)*ROWS(_怪物类型!$A$2:$A$10)+MATCH($F24,_怪物类型!$A$2:$A$10,0))*IF($M24="",1,$M24),""))</f>
        <v>28629</v>
      </c>
      <c r="V24" s="47">
        <f t="shared" si="1"/>
        <v>0.54397765490509</v>
      </c>
      <c r="W24" s="48">
        <f t="shared" si="2"/>
        <v>744455.427618936</v>
      </c>
      <c r="X24" s="48">
        <f t="shared" si="3"/>
        <v>0.368914640733448</v>
      </c>
      <c r="Y24" s="48">
        <f t="shared" si="4"/>
        <v>57.2604109690626</v>
      </c>
      <c r="Z24" s="49" t="str">
        <f t="shared" si="5"/>
        <v/>
      </c>
      <c r="AA24" s="30" t="str">
        <f t="shared" si="6"/>
        <v>已计算</v>
      </c>
      <c r="AB24" s="30" t="str">
        <f t="shared" si="7"/>
        <v>有效</v>
      </c>
      <c r="AC24" s="30" t="str">
        <f t="shared" si="8"/>
        <v/>
      </c>
      <c r="AD24" s="31" t="s">
        <v>1007</v>
      </c>
      <c r="AE24">
        <v>492000</v>
      </c>
      <c r="AF24">
        <f>INDEX(_统一战力!$B$2:$B$501,J24)</f>
        <v>1250000</v>
      </c>
    </row>
    <row r="25" ht="25" customHeight="1" spans="1:32">
      <c r="A25" s="30" t="s">
        <v>966</v>
      </c>
      <c r="B25" s="30" t="s">
        <v>62</v>
      </c>
      <c r="C25" s="31" t="s">
        <v>967</v>
      </c>
      <c r="D25" s="31" t="s">
        <v>776</v>
      </c>
      <c r="E25" s="31" t="s">
        <v>1008</v>
      </c>
      <c r="F25" s="30" t="s">
        <v>154</v>
      </c>
      <c r="G25" s="40">
        <v>246</v>
      </c>
      <c r="H25" s="41"/>
      <c r="I25" s="42">
        <f t="shared" si="0"/>
        <v>246</v>
      </c>
      <c r="J25" s="43">
        <v>278</v>
      </c>
      <c r="K25" s="44">
        <v>0.914079132756287</v>
      </c>
      <c r="L25" s="44">
        <v>1.27558658621214</v>
      </c>
      <c r="M25" s="44">
        <v>1</v>
      </c>
      <c r="N25" s="45"/>
      <c r="O25" s="45"/>
      <c r="P25" s="45"/>
      <c r="Q25" s="46">
        <f>IF($I25="","",IFERROR(INDEX(_玩家曲线!$H$2:$H$286,MATCH($I25,_玩家曲线!$A$2:$A$286,0)),""))</f>
        <v>2119035.71991954</v>
      </c>
      <c r="R25" s="46">
        <f>IF($I25="","",IFERROR(INDEX(_玩家曲线!$I$2:$I$286,MATCH($I25,_玩家曲线!$A$2:$A$286,0)),""))</f>
        <v>2642059.2688544</v>
      </c>
      <c r="S25" s="46">
        <f>IF(OR($J25="",$F25="不适用"),"",IFERROR(INDEX(_怪物模型!$D$2:$D$4501,(INT($J25)-1)*ROWS(_怪物类型!$A$2:$A$10)+MATCH($F25,_怪物类型!$A$2:$A$10,0))*IF($K25="",1,$K25),""))</f>
        <v>356066.729057353</v>
      </c>
      <c r="T25" s="46">
        <f>IF(OR($J25="",$F25="不适用"),"",IFERROR(INDEX(_怪物模型!$E$2:$E$4501,(INT($J25)-1)*ROWS(_怪物类型!$A$2:$A$10)+MATCH($F25,_怪物类型!$A$2:$A$10,0))*IF($L25="",1,$L25),""))</f>
        <v>46458.1390564324</v>
      </c>
      <c r="U25" s="46">
        <f>IF(OR($J25="",$F25="不适用"),"",IFERROR(INDEX(_怪物模型!$F$2:$F$4501,(INT($J25)-1)*ROWS(_怪物类型!$A$2:$A$10)+MATCH($F25,_怪物类型!$A$2:$A$10,0))*IF($M25="",1,$M25),""))</f>
        <v>29311</v>
      </c>
      <c r="V25" s="47">
        <f t="shared" si="1"/>
        <v>0.54981148355874</v>
      </c>
      <c r="W25" s="48">
        <f t="shared" si="2"/>
        <v>790928.058032356</v>
      </c>
      <c r="X25" s="48">
        <f t="shared" si="3"/>
        <v>0.373249044646773</v>
      </c>
      <c r="Y25" s="48">
        <f t="shared" si="4"/>
        <v>56.8696749916115</v>
      </c>
      <c r="Z25" s="49" t="str">
        <f t="shared" si="5"/>
        <v/>
      </c>
      <c r="AA25" s="30" t="str">
        <f t="shared" si="6"/>
        <v>已计算</v>
      </c>
      <c r="AB25" s="30" t="str">
        <f t="shared" si="7"/>
        <v>有效</v>
      </c>
      <c r="AC25" s="30" t="str">
        <f t="shared" si="8"/>
        <v/>
      </c>
      <c r="AD25" s="31" t="s">
        <v>1009</v>
      </c>
      <c r="AE25">
        <v>512000</v>
      </c>
      <c r="AF25">
        <f>INDEX(_统一战力!$B$2:$B$501,J25)</f>
        <v>1290000</v>
      </c>
    </row>
    <row r="26" ht="25" customHeight="1" spans="1:32">
      <c r="A26" s="30" t="s">
        <v>966</v>
      </c>
      <c r="B26" s="30" t="s">
        <v>62</v>
      </c>
      <c r="C26" s="31" t="s">
        <v>967</v>
      </c>
      <c r="D26" s="31" t="s">
        <v>778</v>
      </c>
      <c r="E26" s="31" t="s">
        <v>1010</v>
      </c>
      <c r="F26" s="30" t="s">
        <v>154</v>
      </c>
      <c r="G26" s="40">
        <v>254</v>
      </c>
      <c r="H26" s="41"/>
      <c r="I26" s="42">
        <f t="shared" si="0"/>
        <v>254</v>
      </c>
      <c r="J26" s="43">
        <v>284</v>
      </c>
      <c r="K26" s="44">
        <v>0.909103825215339</v>
      </c>
      <c r="L26" s="44">
        <v>1.27916804703092</v>
      </c>
      <c r="M26" s="44">
        <v>1</v>
      </c>
      <c r="N26" s="45"/>
      <c r="O26" s="45"/>
      <c r="P26" s="45"/>
      <c r="Q26" s="46">
        <f>IF($I26="","",IFERROR(INDEX(_玩家曲线!$H$2:$H$286,MATCH($I26,_玩家曲线!$A$2:$A$286,0)),""))</f>
        <v>2209437.26644121</v>
      </c>
      <c r="R26" s="46">
        <f>IF($I26="","",IFERROR(INDEX(_玩家曲线!$I$2:$I$286,MATCH($I26,_玩家曲线!$A$2:$A$286,0)),""))</f>
        <v>2722271.5366903</v>
      </c>
      <c r="S26" s="46">
        <f>IF(OR($J26="",$F26="不适用"),"",IFERROR(INDEX(_怪物模型!$D$2:$D$4501,(INT($J26)-1)*ROWS(_怪物类型!$A$2:$A$10)+MATCH($F26,_怪物类型!$A$2:$A$10,0))*IF($K26="",1,$K26),""))</f>
        <v>375440.788633605</v>
      </c>
      <c r="T26" s="46">
        <f>IF(OR($J26="",$F26="不适用"),"",IFERROR(INDEX(_怪物模型!$E$2:$E$4501,(INT($J26)-1)*ROWS(_怪物类型!$A$2:$A$10)+MATCH($F26,_怪物类型!$A$2:$A$10,0))*IF($L26="",1,$L26),""))</f>
        <v>48677.4608617146</v>
      </c>
      <c r="U26" s="46">
        <f>IF(OR($J26="",$F26="不适用"),"",IFERROR(INDEX(_怪物模型!$F$2:$F$4501,(INT($J26)-1)*ROWS(_怪物类型!$A$2:$A$10)+MATCH($F26,_怪物类型!$A$2:$A$10,0))*IF($M26="",1,$M26),""))</f>
        <v>30138</v>
      </c>
      <c r="V26" s="47">
        <f t="shared" si="1"/>
        <v>0.556688462817245</v>
      </c>
      <c r="W26" s="48">
        <f t="shared" si="2"/>
        <v>846900.558960256</v>
      </c>
      <c r="X26" s="48">
        <f t="shared" si="3"/>
        <v>0.383310525183807</v>
      </c>
      <c r="Y26" s="48">
        <f t="shared" si="4"/>
        <v>55.9246823581013</v>
      </c>
      <c r="Z26" s="49" t="str">
        <f t="shared" si="5"/>
        <v/>
      </c>
      <c r="AA26" s="30" t="str">
        <f t="shared" si="6"/>
        <v>已计算</v>
      </c>
      <c r="AB26" s="30" t="str">
        <f t="shared" si="7"/>
        <v>有效</v>
      </c>
      <c r="AC26" s="30" t="str">
        <f t="shared" si="8"/>
        <v/>
      </c>
      <c r="AD26" s="31" t="s">
        <v>1011</v>
      </c>
      <c r="AE26">
        <v>532000</v>
      </c>
      <c r="AF26">
        <f>INDEX(_统一战力!$B$2:$B$501,J26)</f>
        <v>1340000</v>
      </c>
    </row>
    <row r="27" ht="25" customHeight="1" spans="1:32">
      <c r="A27" s="30" t="s">
        <v>966</v>
      </c>
      <c r="B27" s="30" t="s">
        <v>62</v>
      </c>
      <c r="C27" s="31" t="s">
        <v>967</v>
      </c>
      <c r="D27" s="31" t="s">
        <v>780</v>
      </c>
      <c r="E27" s="31" t="s">
        <v>1012</v>
      </c>
      <c r="F27" s="30" t="s">
        <v>154</v>
      </c>
      <c r="G27" s="40">
        <v>262</v>
      </c>
      <c r="H27" s="41"/>
      <c r="I27" s="42">
        <f t="shared" si="0"/>
        <v>262</v>
      </c>
      <c r="J27" s="43">
        <v>291</v>
      </c>
      <c r="K27" s="44">
        <v>0.904626307456486</v>
      </c>
      <c r="L27" s="44">
        <v>1.28379377873449</v>
      </c>
      <c r="M27" s="44">
        <v>1</v>
      </c>
      <c r="N27" s="45"/>
      <c r="O27" s="45"/>
      <c r="P27" s="45"/>
      <c r="Q27" s="46">
        <f>IF($I27="","",IFERROR(INDEX(_玩家曲线!$H$2:$H$286,MATCH($I27,_玩家曲线!$A$2:$A$286,0)),""))</f>
        <v>2300714.95446865</v>
      </c>
      <c r="R27" s="46">
        <f>IF($I27="","",IFERROR(INDEX(_玩家曲线!$I$2:$I$286,MATCH($I27,_玩家曲线!$A$2:$A$286,0)),""))</f>
        <v>2802193.369286</v>
      </c>
      <c r="S27" s="46">
        <f>IF(OR($J27="",$F27="不适用"),"",IFERROR(INDEX(_怪物模型!$D$2:$D$4501,(INT($J27)-1)*ROWS(_怪物类型!$A$2:$A$10)+MATCH($F27,_怪物类型!$A$2:$A$10,0))*IF($K27="",1,$K27),""))</f>
        <v>399547.205840614</v>
      </c>
      <c r="T27" s="46">
        <f>IF(OR($J27="",$F27="不适用"),"",IFERROR(INDEX(_怪物模型!$E$2:$E$4501,(INT($J27)-1)*ROWS(_怪物类型!$A$2:$A$10)+MATCH($F27,_怪物类型!$A$2:$A$10,0))*IF($L27="",1,$L27),""))</f>
        <v>51388.9811689629</v>
      </c>
      <c r="U27" s="46">
        <f>IF(OR($J27="",$F27="不适用"),"",IFERROR(INDEX(_怪物模型!$F$2:$F$4501,(INT($J27)-1)*ROWS(_怪物类型!$A$2:$A$10)+MATCH($F27,_怪物类型!$A$2:$A$10,0))*IF($M27="",1,$M27),""))</f>
        <v>31112</v>
      </c>
      <c r="V27" s="47">
        <f t="shared" si="1"/>
        <v>0.564523152852373</v>
      </c>
      <c r="W27" s="48">
        <f t="shared" si="2"/>
        <v>917493.567011996</v>
      </c>
      <c r="X27" s="48">
        <f t="shared" si="3"/>
        <v>0.398786283902732</v>
      </c>
      <c r="Y27" s="48">
        <f t="shared" si="4"/>
        <v>54.5290703482252</v>
      </c>
      <c r="Z27" s="49" t="str">
        <f t="shared" si="5"/>
        <v/>
      </c>
      <c r="AA27" s="30" t="str">
        <f t="shared" si="6"/>
        <v>已计算</v>
      </c>
      <c r="AB27" s="30" t="str">
        <f t="shared" si="7"/>
        <v>有效</v>
      </c>
      <c r="AC27" s="30" t="str">
        <f t="shared" si="8"/>
        <v/>
      </c>
      <c r="AD27" s="31" t="s">
        <v>1013</v>
      </c>
      <c r="AE27">
        <v>569000</v>
      </c>
      <c r="AF27">
        <f>INDEX(_统一战力!$B$2:$B$501,J27)</f>
        <v>1400000</v>
      </c>
    </row>
    <row r="28" ht="25" customHeight="1" spans="1:32">
      <c r="A28" s="30" t="s">
        <v>966</v>
      </c>
      <c r="B28" s="30" t="s">
        <v>62</v>
      </c>
      <c r="C28" s="31" t="s">
        <v>967</v>
      </c>
      <c r="D28" s="31" t="s">
        <v>782</v>
      </c>
      <c r="E28" s="31" t="s">
        <v>1014</v>
      </c>
      <c r="F28" s="30" t="s">
        <v>154</v>
      </c>
      <c r="G28" s="40">
        <v>271</v>
      </c>
      <c r="H28" s="41"/>
      <c r="I28" s="42">
        <f t="shared" si="0"/>
        <v>271</v>
      </c>
      <c r="J28" s="43">
        <v>297</v>
      </c>
      <c r="K28" s="44">
        <v>0.904349238860208</v>
      </c>
      <c r="L28" s="44">
        <v>1.29150814643165</v>
      </c>
      <c r="M28" s="44">
        <v>1</v>
      </c>
      <c r="N28" s="45"/>
      <c r="O28" s="45"/>
      <c r="P28" s="45"/>
      <c r="Q28" s="46">
        <f>IF($I28="","",IFERROR(INDEX(_玩家曲线!$H$2:$H$286,MATCH($I28,_玩家曲线!$A$2:$A$286,0)),""))</f>
        <v>2403671.36825338</v>
      </c>
      <c r="R28" s="46">
        <f>IF($I28="","",IFERROR(INDEX(_玩家曲线!$I$2:$I$286,MATCH($I28,_玩家曲线!$A$2:$A$286,0)),""))</f>
        <v>2891117.01274283</v>
      </c>
      <c r="S28" s="46">
        <f>IF(OR($J28="",$F28="不适用"),"",IFERROR(INDEX(_怪物模型!$D$2:$D$4501,(INT($J28)-1)*ROWS(_怪物类型!$A$2:$A$10)+MATCH($F28,_怪物类型!$A$2:$A$10,0))*IF($K28="",1,$K28),""))</f>
        <v>422741.66910216</v>
      </c>
      <c r="T28" s="46">
        <f>IF(OR($J28="",$F28="不适用"),"",IFERROR(INDEX(_怪物模型!$E$2:$E$4501,(INT($J28)-1)*ROWS(_怪物类型!$A$2:$A$10)+MATCH($F28,_怪物类型!$A$2:$A$10,0))*IF($L28="",1,$L28),""))</f>
        <v>53961.7933742072</v>
      </c>
      <c r="U28" s="46">
        <f>IF(OR($J28="",$F28="不适用"),"",IFERROR(INDEX(_怪物模型!$F$2:$F$4501,(INT($J28)-1)*ROWS(_怪物类型!$A$2:$A$10)+MATCH($F28,_怪物类型!$A$2:$A$10,0))*IF($M28="",1,$M28),""))</f>
        <v>31956</v>
      </c>
      <c r="V28" s="47">
        <f t="shared" si="1"/>
        <v>0.571091571949389</v>
      </c>
      <c r="W28" s="48">
        <f t="shared" si="2"/>
        <v>985622.201511685</v>
      </c>
      <c r="X28" s="48">
        <f t="shared" si="3"/>
        <v>0.410048650797003</v>
      </c>
      <c r="Y28" s="48">
        <f t="shared" si="4"/>
        <v>53.5771113590293</v>
      </c>
      <c r="Z28" s="49" t="str">
        <f t="shared" si="5"/>
        <v/>
      </c>
      <c r="AA28" s="30" t="str">
        <f t="shared" si="6"/>
        <v>已计算</v>
      </c>
      <c r="AB28" s="30" t="str">
        <f t="shared" si="7"/>
        <v>有效</v>
      </c>
      <c r="AC28" s="30" t="str">
        <f t="shared" si="8"/>
        <v/>
      </c>
      <c r="AD28" s="31" t="s">
        <v>1015</v>
      </c>
      <c r="AE28">
        <v>595000</v>
      </c>
      <c r="AF28">
        <f>INDEX(_统一战力!$B$2:$B$501,J28)</f>
        <v>1440000</v>
      </c>
    </row>
    <row r="29" ht="25" customHeight="1" spans="1:32">
      <c r="A29" s="30" t="s">
        <v>966</v>
      </c>
      <c r="B29" s="30" t="s">
        <v>62</v>
      </c>
      <c r="C29" s="31" t="s">
        <v>967</v>
      </c>
      <c r="D29" s="31" t="s">
        <v>784</v>
      </c>
      <c r="E29" s="31" t="s">
        <v>1016</v>
      </c>
      <c r="F29" s="30" t="s">
        <v>154</v>
      </c>
      <c r="G29" s="40">
        <v>279</v>
      </c>
      <c r="H29" s="41"/>
      <c r="I29" s="42">
        <f t="shared" si="0"/>
        <v>279</v>
      </c>
      <c r="J29" s="43">
        <v>302</v>
      </c>
      <c r="K29" s="44">
        <v>0.901352615473646</v>
      </c>
      <c r="L29" s="44">
        <v>1.29532433930881</v>
      </c>
      <c r="M29" s="44">
        <v>1</v>
      </c>
      <c r="N29" s="45"/>
      <c r="O29" s="45"/>
      <c r="P29" s="45"/>
      <c r="Q29" s="46">
        <f>IF($I29="","",IFERROR(INDEX(_玩家曲线!$H$2:$H$286,MATCH($I29,_玩家曲线!$A$2:$A$286,0)),""))</f>
        <v>2497204.47172539</v>
      </c>
      <c r="R29" s="46">
        <f>IF($I29="","",IFERROR(INDEX(_玩家曲线!$I$2:$I$286,MATCH($I29,_玩家曲线!$A$2:$A$286,0)),""))</f>
        <v>2970822.69299639</v>
      </c>
      <c r="S29" s="46">
        <f>IF(OR($J29="",$F29="不适用"),"",IFERROR(INDEX(_怪物模型!$D$2:$D$4501,(INT($J29)-1)*ROWS(_怪物类型!$A$2:$A$10)+MATCH($F29,_怪物类型!$A$2:$A$10,0))*IF($K29="",1,$K29),""))</f>
        <v>441488.8205273</v>
      </c>
      <c r="T29" s="46">
        <f>IF(OR($J29="",$F29="不适用"),"",IFERROR(INDEX(_怪物模型!$E$2:$E$4501,(INT($J29)-1)*ROWS(_怪物类型!$A$2:$A$10)+MATCH($F29,_怪物类型!$A$2:$A$10,0))*IF($L29="",1,$L29),""))</f>
        <v>56071.9999999998</v>
      </c>
      <c r="U29" s="46">
        <f>IF(OR($J29="",$F29="不适用"),"",IFERROR(INDEX(_怪物模型!$F$2:$F$4501,(INT($J29)-1)*ROWS(_怪物类型!$A$2:$A$10)+MATCH($F29,_怪物类型!$A$2:$A$10,0))*IF($M29="",1,$M29),""))</f>
        <v>32666</v>
      </c>
      <c r="V29" s="47">
        <f t="shared" si="1"/>
        <v>0.576465605477712</v>
      </c>
      <c r="W29" s="48">
        <f t="shared" si="2"/>
        <v>1042391.896</v>
      </c>
      <c r="X29" s="48">
        <f t="shared" si="3"/>
        <v>0.417423526107889</v>
      </c>
      <c r="Y29" s="48">
        <f t="shared" si="4"/>
        <v>52.98228515117</v>
      </c>
      <c r="Z29" s="49" t="str">
        <f t="shared" si="5"/>
        <v/>
      </c>
      <c r="AA29" s="30" t="str">
        <f t="shared" si="6"/>
        <v>已计算</v>
      </c>
      <c r="AB29" s="30" t="str">
        <f t="shared" si="7"/>
        <v>有效</v>
      </c>
      <c r="AC29" s="30" t="str">
        <f t="shared" si="8"/>
        <v/>
      </c>
      <c r="AD29" s="31" t="s">
        <v>1017</v>
      </c>
      <c r="AE29">
        <v>622000</v>
      </c>
      <c r="AF29">
        <f>INDEX(_统一战力!$B$2:$B$501,J29)</f>
        <v>1480000</v>
      </c>
    </row>
  </sheetData>
  <mergeCells count="3">
    <mergeCell ref="A1:AD1"/>
    <mergeCell ref="A2:AD2"/>
    <mergeCell ref="A3:AD3"/>
  </mergeCells>
  <conditionalFormatting sqref="J5:J29">
    <cfRule type="expression" dxfId="2" priority="1">
      <formula>AND($A5&lt;&gt;"特殊：双方属性对算",$J5="")</formula>
    </cfRule>
  </conditionalFormatting>
  <conditionalFormatting sqref="AA5:AA29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29">
    <cfRule type="expression" dxfId="4" priority="2">
      <formula>$AB5="超范围"</formula>
    </cfRule>
  </conditionalFormatting>
  <conditionalFormatting sqref="AC5:AC29">
    <cfRule type="expression" dxfId="4" priority="7">
      <formula>$AC5="下降"</formula>
    </cfRule>
  </conditionalFormatting>
  <dataValidations count="5">
    <dataValidation type="list" sqref="F5:F29">
      <formula1>_字典!$A$2:$A$11</formula1>
    </dataValidation>
    <dataValidation type="whole" operator="between" allowBlank="1" sqref="H5:H29">
      <formula1>1</formula1>
      <formula2>285</formula2>
    </dataValidation>
    <dataValidation type="whole" operator="between" allowBlank="1" sqref="J5:J29">
      <formula1>1</formula1>
      <formula2>500</formula2>
    </dataValidation>
    <dataValidation type="decimal" operator="between" allowBlank="1" sqref="P5:P29">
      <formula1>0.01</formula1>
      <formula2>3600</formula2>
    </dataValidation>
    <dataValidation type="decimal" operator="between" allowBlank="1" sqref="K5:O29">
      <formula1>0</formula1>
      <formula2>100</formula2>
    </dataValidation>
  </dataValidations>
  <hyperlinks>
    <hyperlink ref="A1" r:id="rId4" display="全玩法难度填写｜大秘境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7F7F"/>
  </sheetPr>
  <dimension ref="A1:AD6"/>
  <sheetViews>
    <sheetView showGridLines="0" workbookViewId="0">
      <selection activeCell="A1" sqref="A1:AD1"/>
    </sheetView>
  </sheetViews>
  <sheetFormatPr defaultColWidth="9" defaultRowHeight="13.5" outlineLevelRow="5"/>
  <cols>
    <col min="1" max="1" width="12" customWidth="1"/>
    <col min="2" max="2" width="13" customWidth="1"/>
    <col min="3" max="3" width="18" customWidth="1"/>
    <col min="4" max="4" width="15" customWidth="1"/>
    <col min="5" max="5" width="35" customWidth="1"/>
    <col min="6" max="9" width="14" customWidth="1"/>
    <col min="10" max="10" width="12" customWidth="1"/>
    <col min="11" max="13" width="11" customWidth="1"/>
    <col min="14" max="15" width="13" customWidth="1"/>
    <col min="16" max="16" width="12" customWidth="1"/>
    <col min="17" max="21" width="16" customWidth="1"/>
    <col min="22" max="22" width="12" customWidth="1"/>
    <col min="23" max="23" width="17" customWidth="1"/>
    <col min="24" max="25" width="14" customWidth="1"/>
    <col min="26" max="26" width="12" customWidth="1"/>
    <col min="27" max="27" width="15" customWidth="1"/>
    <col min="28" max="29" width="12" customWidth="1"/>
    <col min="30" max="30" width="46" customWidth="1"/>
  </cols>
  <sheetData>
    <row r="1" ht="34" customHeight="1" spans="1:30">
      <c r="A1" s="26" t="s">
        <v>1018</v>
      </c>
    </row>
    <row r="2" ht="30" customHeight="1" spans="1:30">
      <c r="A2" s="27" t="s">
        <v>1019</v>
      </c>
    </row>
    <row r="3" ht="14.25" customHeight="1" spans="1:30">
      <c r="A3" s="28" t="s">
        <v>120</v>
      </c>
    </row>
    <row r="4" ht="36" customHeight="1" spans="1:30">
      <c r="A4" s="29" t="s">
        <v>81</v>
      </c>
      <c r="B4" s="29" t="s">
        <v>80</v>
      </c>
      <c r="C4" s="29" t="s">
        <v>121</v>
      </c>
      <c r="D4" s="29" t="s">
        <v>122</v>
      </c>
      <c r="E4" s="29" t="s">
        <v>123</v>
      </c>
      <c r="F4" s="29" t="s">
        <v>124</v>
      </c>
      <c r="G4" s="29" t="s">
        <v>125</v>
      </c>
      <c r="H4" s="29" t="s">
        <v>126</v>
      </c>
      <c r="I4" s="29" t="s">
        <v>127</v>
      </c>
      <c r="J4" s="29" t="s">
        <v>128</v>
      </c>
      <c r="K4" s="29" t="s">
        <v>129</v>
      </c>
      <c r="L4" s="29" t="s">
        <v>130</v>
      </c>
      <c r="M4" s="29" t="s">
        <v>131</v>
      </c>
      <c r="N4" s="29" t="s">
        <v>132</v>
      </c>
      <c r="O4" s="29" t="s">
        <v>133</v>
      </c>
      <c r="P4" s="29" t="s">
        <v>134</v>
      </c>
      <c r="Q4" s="29" t="s">
        <v>135</v>
      </c>
      <c r="R4" s="29" t="s">
        <v>136</v>
      </c>
      <c r="S4" s="29" t="s">
        <v>137</v>
      </c>
      <c r="T4" s="29" t="s">
        <v>138</v>
      </c>
      <c r="U4" s="29" t="s">
        <v>139</v>
      </c>
      <c r="V4" s="29" t="s">
        <v>140</v>
      </c>
      <c r="W4" s="29" t="s">
        <v>141</v>
      </c>
      <c r="X4" s="29" t="s">
        <v>142</v>
      </c>
      <c r="Y4" s="29" t="s">
        <v>143</v>
      </c>
      <c r="Z4" s="29" t="s">
        <v>144</v>
      </c>
      <c r="AA4" s="29" t="s">
        <v>145</v>
      </c>
      <c r="AB4" s="29" t="s">
        <v>146</v>
      </c>
      <c r="AC4" s="29" t="s">
        <v>147</v>
      </c>
      <c r="AD4" s="29" t="s">
        <v>91</v>
      </c>
    </row>
    <row r="5" ht="25" customHeight="1" spans="1:30">
      <c r="A5" s="30" t="s">
        <v>1020</v>
      </c>
      <c r="B5" s="30" t="s">
        <v>63</v>
      </c>
      <c r="C5" s="31" t="s">
        <v>1021</v>
      </c>
      <c r="D5" s="31" t="s">
        <v>1022</v>
      </c>
      <c r="E5" s="31" t="s">
        <v>1023</v>
      </c>
      <c r="F5" s="30" t="s">
        <v>1024</v>
      </c>
      <c r="G5" s="32"/>
      <c r="H5" s="32"/>
      <c r="I5" s="33"/>
      <c r="J5" s="32"/>
      <c r="K5" s="34"/>
      <c r="L5" s="34"/>
      <c r="M5" s="34"/>
      <c r="N5" s="34"/>
      <c r="O5" s="34"/>
      <c r="P5" s="34"/>
      <c r="Q5" s="35"/>
      <c r="R5" s="35"/>
      <c r="S5" s="35" t="str">
        <f>IF(OR($J5="",$F5="不适用"),"",IFERROR(INDEX(_怪物模型!$D$2:$D$4501,(INT($J5)-1)*ROWS(_怪物类型!$A$2:$A$10)+MATCH($F5,_怪物类型!$A$2:$A$10,0))*IF($K5="",1,$K5),""))</f>
        <v/>
      </c>
      <c r="T5" s="35" t="str">
        <f>IF(OR($J5="",$F5="不适用"),"",IFERROR(INDEX(_怪物模型!$E$2:$E$4501,(INT($J5)-1)*ROWS(_怪物类型!$A$2:$A$10)+MATCH($F5,_怪物类型!$A$2:$A$10,0))*IF($L5="",1,$L5),""))</f>
        <v/>
      </c>
      <c r="U5" s="35" t="str">
        <f>IF(OR($J5="",$F5="不适用"),"",IFERROR(INDEX(_怪物模型!$F$2:$F$4501,(INT($J5)-1)*ROWS(_怪物类型!$A$2:$A$10)+MATCH($F5,_怪物类型!$A$2:$A$10,0))*IF($M5="",1,$M5),""))</f>
        <v/>
      </c>
      <c r="V5" s="36"/>
      <c r="W5" s="37"/>
      <c r="X5" s="37"/>
      <c r="Y5" s="37"/>
      <c r="Z5" s="38"/>
      <c r="AA5" s="39"/>
      <c r="AB5" s="39"/>
      <c r="AC5" s="39"/>
      <c r="AD5" s="31" t="s">
        <v>1025</v>
      </c>
    </row>
    <row r="6" ht="25" customHeight="1" spans="1:30">
      <c r="A6" s="30" t="s">
        <v>1020</v>
      </c>
      <c r="B6" s="30" t="s">
        <v>63</v>
      </c>
      <c r="C6" s="31" t="s">
        <v>1021</v>
      </c>
      <c r="D6" s="31" t="s">
        <v>1026</v>
      </c>
      <c r="E6" s="31" t="s">
        <v>1027</v>
      </c>
      <c r="F6" s="30" t="s">
        <v>1024</v>
      </c>
      <c r="G6" s="32"/>
      <c r="H6" s="32"/>
      <c r="I6" s="33"/>
      <c r="J6" s="32"/>
      <c r="K6" s="34"/>
      <c r="L6" s="34"/>
      <c r="M6" s="34"/>
      <c r="N6" s="34"/>
      <c r="O6" s="34"/>
      <c r="P6" s="34"/>
      <c r="Q6" s="35"/>
      <c r="R6" s="35"/>
      <c r="S6" s="35" t="str">
        <f>IF(OR($J6="",$F6="不适用"),"",IFERROR(INDEX(_怪物模型!$D$2:$D$4501,(INT($J6)-1)*ROWS(_怪物类型!$A$2:$A$10)+MATCH($F6,_怪物类型!$A$2:$A$10,0))*IF($K6="",1,$K6),""))</f>
        <v/>
      </c>
      <c r="T6" s="35" t="str">
        <f>IF(OR($J6="",$F6="不适用"),"",IFERROR(INDEX(_怪物模型!$E$2:$E$4501,(INT($J6)-1)*ROWS(_怪物类型!$A$2:$A$10)+MATCH($F6,_怪物类型!$A$2:$A$10,0))*IF($L6="",1,$L6),""))</f>
        <v/>
      </c>
      <c r="U6" s="35" t="str">
        <f>IF(OR($J6="",$F6="不适用"),"",IFERROR(INDEX(_怪物模型!$F$2:$F$4501,(INT($J6)-1)*ROWS(_怪物类型!$A$2:$A$10)+MATCH($F6,_怪物类型!$A$2:$A$10,0))*IF($M6="",1,$M6),""))</f>
        <v/>
      </c>
      <c r="V6" s="36"/>
      <c r="W6" s="37"/>
      <c r="X6" s="37"/>
      <c r="Y6" s="37"/>
      <c r="Z6" s="38"/>
      <c r="AA6" s="39"/>
      <c r="AB6" s="39"/>
      <c r="AC6" s="39"/>
      <c r="AD6" s="31" t="s">
        <v>1025</v>
      </c>
    </row>
  </sheetData>
  <mergeCells count="3">
    <mergeCell ref="A1:AD1"/>
    <mergeCell ref="A2:AD2"/>
    <mergeCell ref="A3:AD3"/>
  </mergeCells>
  <conditionalFormatting sqref="J5:J6">
    <cfRule type="expression" dxfId="2" priority="1">
      <formula>AND($A5&lt;&gt;"特殊：双方属性对算",$J5="")</formula>
    </cfRule>
  </conditionalFormatting>
  <conditionalFormatting sqref="AA5:AA6">
    <cfRule type="expression" dxfId="0" priority="3">
      <formula>$AA5="适中"</formula>
    </cfRule>
    <cfRule type="expression" dxfId="3" priority="4">
      <formula>$AA5="偏难"</formula>
    </cfRule>
    <cfRule type="expression" dxfId="1" priority="5">
      <formula>$AA5="过难"</formula>
    </cfRule>
    <cfRule type="expression" dxfId="1" priority="6">
      <formula>$AA5="生存不成立"</formula>
    </cfRule>
  </conditionalFormatting>
  <conditionalFormatting sqref="AB5:AB6">
    <cfRule type="expression" dxfId="4" priority="2">
      <formula>$AB5="超范围"</formula>
    </cfRule>
  </conditionalFormatting>
  <conditionalFormatting sqref="AC5:AC6">
    <cfRule type="expression" dxfId="4" priority="7">
      <formula>$AC5="下降"</formula>
    </cfRule>
  </conditionalFormatting>
  <dataValidations count="5">
    <dataValidation type="list" sqref="F5:F6">
      <formula1>_字典!$A$2:$A$11</formula1>
    </dataValidation>
    <dataValidation type="whole" operator="between" allowBlank="1" sqref="H5:H6">
      <formula1>1</formula1>
      <formula2>285</formula2>
    </dataValidation>
    <dataValidation type="whole" operator="between" allowBlank="1" sqref="J5:J6">
      <formula1>1</formula1>
      <formula2>500</formula2>
    </dataValidation>
    <dataValidation type="decimal" operator="between" allowBlank="1" sqref="P5:P6">
      <formula1>0.01</formula1>
      <formula2>3600</formula2>
    </dataValidation>
    <dataValidation type="decimal" operator="between" allowBlank="1" sqref="K5:O6">
      <formula1>0</formula1>
      <formula2>100</formula2>
    </dataValidation>
  </dataValidations>
  <hyperlinks>
    <hyperlink ref="A1" r:id="rId4" display="全玩法难度填写｜PVPVE"/>
  </hyperlinks>
  <pageMargins left="0.7" right="0.7" top="0.75" bottom="0.75" header="0.3" footer="0.3"/>
  <headerFooter/>
  <legacy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0"/>
  <sheetViews>
    <sheetView workbookViewId="0">
      <selection activeCell="A1" sqref="A1"/>
    </sheetView>
  </sheetViews>
  <sheetFormatPr defaultColWidth="9" defaultRowHeight="13.5"/>
  <sheetData>
    <row r="1" ht="15" customHeight="1" spans="1:11">
      <c r="A1" s="25" t="s">
        <v>1028</v>
      </c>
      <c r="B1" s="25" t="s">
        <v>1029</v>
      </c>
      <c r="C1" s="25" t="s">
        <v>1030</v>
      </c>
      <c r="D1" s="25" t="s">
        <v>1031</v>
      </c>
      <c r="E1" s="25" t="s">
        <v>1032</v>
      </c>
      <c r="F1" s="25" t="s">
        <v>1033</v>
      </c>
      <c r="G1" s="25" t="s">
        <v>1034</v>
      </c>
      <c r="H1" s="25" t="s">
        <v>135</v>
      </c>
      <c r="I1" s="25" t="s">
        <v>136</v>
      </c>
      <c r="J1" s="25" t="s">
        <v>1035</v>
      </c>
      <c r="K1" s="25" t="s">
        <v>1036</v>
      </c>
    </row>
    <row r="2" spans="1:11">
      <c r="A2">
        <v>1</v>
      </c>
      <c r="B2">
        <v>1</v>
      </c>
      <c r="C2">
        <v>0</v>
      </c>
      <c r="D2">
        <v>1</v>
      </c>
      <c r="E2">
        <v>1</v>
      </c>
      <c r="F2">
        <v>1500</v>
      </c>
      <c r="G2">
        <v>1000</v>
      </c>
      <c r="H2">
        <v>1535.625</v>
      </c>
      <c r="I2">
        <v>5208.33333333333</v>
      </c>
      <c r="J2">
        <v>35</v>
      </c>
      <c r="K2">
        <v>5</v>
      </c>
    </row>
    <row r="3" spans="1:11">
      <c r="A3">
        <v>2</v>
      </c>
      <c r="B3">
        <v>2</v>
      </c>
      <c r="C3">
        <v>0</v>
      </c>
      <c r="D3">
        <v>2</v>
      </c>
      <c r="E3">
        <v>1</v>
      </c>
      <c r="F3">
        <v>1597.93729098783</v>
      </c>
      <c r="G3">
        <v>1065.29152732522</v>
      </c>
      <c r="H3">
        <v>1635.88830164879</v>
      </c>
      <c r="I3">
        <v>5562.88389458253</v>
      </c>
      <c r="J3">
        <v>35.0134246399219</v>
      </c>
      <c r="K3">
        <v>5</v>
      </c>
    </row>
    <row r="4" spans="1:11">
      <c r="A4">
        <v>3</v>
      </c>
      <c r="B4">
        <v>3</v>
      </c>
      <c r="C4">
        <v>0</v>
      </c>
      <c r="D4">
        <v>3</v>
      </c>
      <c r="E4">
        <v>2</v>
      </c>
      <c r="F4">
        <v>1695.87458197565</v>
      </c>
      <c r="G4">
        <v>1130.58305465044</v>
      </c>
      <c r="H4">
        <v>2170.18950412197</v>
      </c>
      <c r="I4">
        <v>7399.01337371697</v>
      </c>
      <c r="J4">
        <v>35.026983526243</v>
      </c>
      <c r="K4">
        <v>7</v>
      </c>
    </row>
    <row r="5" spans="1:11">
      <c r="A5">
        <v>4</v>
      </c>
      <c r="B5">
        <v>4</v>
      </c>
      <c r="C5">
        <v>0</v>
      </c>
      <c r="D5">
        <v>4</v>
      </c>
      <c r="E5">
        <v>2</v>
      </c>
      <c r="F5">
        <v>1791.61383451839</v>
      </c>
      <c r="G5">
        <v>1194.40922301226</v>
      </c>
      <c r="H5">
        <v>2751.2469946323</v>
      </c>
      <c r="I5">
        <v>9403.88585759718</v>
      </c>
      <c r="J5">
        <v>35.0406780014273</v>
      </c>
      <c r="K5">
        <v>9</v>
      </c>
    </row>
    <row r="6" spans="1:11">
      <c r="A6">
        <v>5</v>
      </c>
      <c r="B6">
        <v>5</v>
      </c>
      <c r="C6">
        <v>1</v>
      </c>
      <c r="D6">
        <v>1</v>
      </c>
      <c r="E6">
        <v>2</v>
      </c>
      <c r="F6">
        <v>1885.91699827298</v>
      </c>
      <c r="G6">
        <v>1257.27799884866</v>
      </c>
      <c r="H6">
        <v>3378.73817221844</v>
      </c>
      <c r="I6">
        <v>11577.4968526717</v>
      </c>
      <c r="J6">
        <v>35.0545094213634</v>
      </c>
      <c r="K6">
        <v>10</v>
      </c>
    </row>
    <row r="7" spans="1:11">
      <c r="A7">
        <v>6</v>
      </c>
      <c r="B7">
        <v>6</v>
      </c>
      <c r="C7">
        <v>1</v>
      </c>
      <c r="D7">
        <v>2</v>
      </c>
      <c r="E7">
        <v>2</v>
      </c>
      <c r="F7">
        <v>1978.80561457126</v>
      </c>
      <c r="G7">
        <v>1319.20374304751</v>
      </c>
      <c r="H7">
        <v>4051.60449583466</v>
      </c>
      <c r="I7">
        <v>13917.1618120045</v>
      </c>
      <c r="J7">
        <v>35.0684791554989</v>
      </c>
      <c r="K7">
        <v>12</v>
      </c>
    </row>
    <row r="8" spans="1:11">
      <c r="A8">
        <v>7</v>
      </c>
      <c r="B8">
        <v>6</v>
      </c>
      <c r="C8">
        <v>1</v>
      </c>
      <c r="D8">
        <v>3</v>
      </c>
      <c r="E8">
        <v>3</v>
      </c>
      <c r="F8">
        <v>2070.30090162506</v>
      </c>
      <c r="G8">
        <v>1380.20060108337</v>
      </c>
      <c r="H8">
        <v>4945.43127875686</v>
      </c>
      <c r="I8">
        <v>17028.3595053211</v>
      </c>
      <c r="J8">
        <v>35.0825885869758</v>
      </c>
      <c r="K8">
        <v>14</v>
      </c>
    </row>
    <row r="9" spans="1:11">
      <c r="A9">
        <v>8</v>
      </c>
      <c r="B9">
        <v>7</v>
      </c>
      <c r="C9">
        <v>1</v>
      </c>
      <c r="D9">
        <v>4</v>
      </c>
      <c r="E9">
        <v>3</v>
      </c>
      <c r="F9">
        <v>2159.74783793994</v>
      </c>
      <c r="G9">
        <v>1439.83189195996</v>
      </c>
      <c r="H9">
        <v>5896.11159757605</v>
      </c>
      <c r="I9">
        <v>20349.4896023023</v>
      </c>
      <c r="J9">
        <v>35.0968391127674</v>
      </c>
      <c r="K9">
        <v>17</v>
      </c>
    </row>
    <row r="10" spans="1:11">
      <c r="A10">
        <v>9</v>
      </c>
      <c r="B10">
        <v>8</v>
      </c>
      <c r="C10">
        <v>1</v>
      </c>
      <c r="D10">
        <v>5</v>
      </c>
      <c r="E10">
        <v>3</v>
      </c>
      <c r="F10">
        <v>2249.19477425483</v>
      </c>
      <c r="G10">
        <v>1499.46318283655</v>
      </c>
      <c r="H10">
        <v>6907.83945043014</v>
      </c>
      <c r="I10">
        <v>23897.1913904747</v>
      </c>
      <c r="J10">
        <v>35.1112321438169</v>
      </c>
      <c r="K10">
        <v>19</v>
      </c>
    </row>
    <row r="11" spans="1:11">
      <c r="A11">
        <v>10</v>
      </c>
      <c r="B11">
        <v>9</v>
      </c>
      <c r="C11">
        <v>1</v>
      </c>
      <c r="D11">
        <v>6</v>
      </c>
      <c r="E11">
        <v>4</v>
      </c>
      <c r="F11">
        <v>2336.63422391338</v>
      </c>
      <c r="G11">
        <v>1557.75614927559</v>
      </c>
      <c r="H11">
        <v>7654.81371754023</v>
      </c>
      <c r="I11">
        <v>26541.83453548</v>
      </c>
      <c r="J11">
        <v>35.125769105177</v>
      </c>
      <c r="K11">
        <v>21</v>
      </c>
    </row>
    <row r="12" spans="1:11">
      <c r="A12">
        <v>11</v>
      </c>
      <c r="B12">
        <v>10</v>
      </c>
      <c r="C12">
        <v>1</v>
      </c>
      <c r="D12">
        <v>7</v>
      </c>
      <c r="E12">
        <v>4</v>
      </c>
      <c r="F12">
        <v>2422.11612289269</v>
      </c>
      <c r="G12">
        <v>1614.74408192846</v>
      </c>
      <c r="H12">
        <v>8430.78069475875</v>
      </c>
      <c r="I12">
        <v>29297.5566282877</v>
      </c>
      <c r="J12">
        <v>35.1404514361506</v>
      </c>
      <c r="K12">
        <v>23</v>
      </c>
    </row>
    <row r="13" spans="1:11">
      <c r="A13">
        <v>12</v>
      </c>
      <c r="B13">
        <v>10</v>
      </c>
      <c r="C13">
        <v>1</v>
      </c>
      <c r="D13">
        <v>8</v>
      </c>
      <c r="E13">
        <v>4</v>
      </c>
      <c r="F13">
        <v>2507.59802187201</v>
      </c>
      <c r="G13">
        <v>1671.73201458134</v>
      </c>
      <c r="H13">
        <v>9241.7525096093</v>
      </c>
      <c r="I13">
        <v>32187.1922088963</v>
      </c>
      <c r="J13">
        <v>35.155280590434</v>
      </c>
      <c r="K13">
        <v>24</v>
      </c>
    </row>
    <row r="14" spans="1:11">
      <c r="A14">
        <v>13</v>
      </c>
      <c r="B14">
        <v>11</v>
      </c>
      <c r="C14">
        <v>2</v>
      </c>
      <c r="D14">
        <v>1</v>
      </c>
      <c r="E14">
        <v>4</v>
      </c>
      <c r="F14">
        <v>2591.1614228163</v>
      </c>
      <c r="G14">
        <v>1727.4409485442</v>
      </c>
      <c r="H14">
        <v>10080.2657251111</v>
      </c>
      <c r="I14">
        <v>35183.7527049831</v>
      </c>
      <c r="J14">
        <v>35.1702580362602</v>
      </c>
      <c r="K14">
        <v>26</v>
      </c>
    </row>
    <row r="15" spans="1:11">
      <c r="A15">
        <v>14</v>
      </c>
      <c r="B15">
        <v>12</v>
      </c>
      <c r="C15">
        <v>2</v>
      </c>
      <c r="D15">
        <v>2</v>
      </c>
      <c r="E15">
        <v>4</v>
      </c>
      <c r="F15">
        <v>2673.47137274642</v>
      </c>
      <c r="G15">
        <v>1782.31424849762</v>
      </c>
      <c r="H15">
        <v>10947.8652713966</v>
      </c>
      <c r="I15">
        <v>38293.4883702837</v>
      </c>
      <c r="J15">
        <v>35.1853852565447</v>
      </c>
      <c r="K15">
        <v>28</v>
      </c>
    </row>
    <row r="16" spans="1:11">
      <c r="A16">
        <v>15</v>
      </c>
      <c r="B16">
        <v>13</v>
      </c>
      <c r="C16">
        <v>2</v>
      </c>
      <c r="D16">
        <v>3</v>
      </c>
      <c r="E16">
        <v>4</v>
      </c>
      <c r="F16">
        <v>2770.75640543898</v>
      </c>
      <c r="G16">
        <v>1847.17093695932</v>
      </c>
      <c r="H16">
        <v>11554.7916589384</v>
      </c>
      <c r="I16">
        <v>40054.7709950847</v>
      </c>
      <c r="J16">
        <v>35.200663749032</v>
      </c>
      <c r="K16">
        <v>29</v>
      </c>
    </row>
    <row r="17" spans="1:11">
      <c r="A17">
        <v>16</v>
      </c>
      <c r="B17">
        <v>13</v>
      </c>
      <c r="C17">
        <v>2</v>
      </c>
      <c r="D17">
        <v>4</v>
      </c>
      <c r="E17">
        <v>4</v>
      </c>
      <c r="F17">
        <v>2985.79353076356</v>
      </c>
      <c r="G17">
        <v>1990.52902050904</v>
      </c>
      <c r="H17">
        <v>12729.4716557661</v>
      </c>
      <c r="I17">
        <v>43361.3035091893</v>
      </c>
      <c r="J17">
        <v>35.2160950264442</v>
      </c>
      <c r="K17">
        <v>31</v>
      </c>
    </row>
    <row r="18" spans="1:11">
      <c r="A18">
        <v>17</v>
      </c>
      <c r="B18">
        <v>13</v>
      </c>
      <c r="C18">
        <v>2</v>
      </c>
      <c r="D18">
        <v>5</v>
      </c>
      <c r="E18">
        <v>4</v>
      </c>
      <c r="F18">
        <v>3202.78504064886</v>
      </c>
      <c r="G18">
        <v>2135.19002709924</v>
      </c>
      <c r="H18">
        <v>13957.0878273227</v>
      </c>
      <c r="I18">
        <v>46731.0163987609</v>
      </c>
      <c r="J18">
        <v>35.2316806166305</v>
      </c>
      <c r="K18">
        <v>33</v>
      </c>
    </row>
    <row r="19" spans="1:11">
      <c r="A19">
        <v>18</v>
      </c>
      <c r="B19">
        <v>14</v>
      </c>
      <c r="C19">
        <v>2</v>
      </c>
      <c r="D19">
        <v>6</v>
      </c>
      <c r="E19">
        <v>4</v>
      </c>
      <c r="F19">
        <v>3421.73093509487</v>
      </c>
      <c r="G19">
        <v>2281.15395672991</v>
      </c>
      <c r="H19">
        <v>15239.1437306135</v>
      </c>
      <c r="I19">
        <v>50164.8230046736</v>
      </c>
      <c r="J19">
        <v>35.2474220627186</v>
      </c>
      <c r="K19">
        <v>35</v>
      </c>
    </row>
    <row r="20" spans="1:11">
      <c r="A20">
        <v>19</v>
      </c>
      <c r="B20">
        <v>14</v>
      </c>
      <c r="C20">
        <v>2</v>
      </c>
      <c r="D20">
        <v>7</v>
      </c>
      <c r="E20">
        <v>4</v>
      </c>
      <c r="F20">
        <v>3642.63121410159</v>
      </c>
      <c r="G20">
        <v>2428.42080940106</v>
      </c>
      <c r="H20">
        <v>16577.1744599968</v>
      </c>
      <c r="I20">
        <v>53663.6446921413</v>
      </c>
      <c r="J20">
        <v>35.2633209232677</v>
      </c>
      <c r="K20">
        <v>37</v>
      </c>
    </row>
    <row r="21" spans="1:11">
      <c r="A21">
        <v>20</v>
      </c>
      <c r="B21">
        <v>15</v>
      </c>
      <c r="C21">
        <v>2</v>
      </c>
      <c r="D21">
        <v>8</v>
      </c>
      <c r="E21">
        <v>5</v>
      </c>
      <c r="F21">
        <v>3865.48587766903</v>
      </c>
      <c r="G21">
        <v>2576.99058511268</v>
      </c>
      <c r="H21">
        <v>18422.0658556409</v>
      </c>
      <c r="I21">
        <v>58659.1211219852</v>
      </c>
      <c r="J21">
        <v>35.2793787724222</v>
      </c>
      <c r="K21">
        <v>40</v>
      </c>
    </row>
    <row r="22" spans="1:11">
      <c r="A22">
        <v>21</v>
      </c>
      <c r="B22">
        <v>15</v>
      </c>
      <c r="C22">
        <v>2</v>
      </c>
      <c r="D22">
        <v>9</v>
      </c>
      <c r="E22">
        <v>5</v>
      </c>
      <c r="F22">
        <v>4072.42560243131</v>
      </c>
      <c r="G22">
        <v>2714.95040162087</v>
      </c>
      <c r="H22">
        <v>20272.2134954798</v>
      </c>
      <c r="I22">
        <v>63598.9013580518</v>
      </c>
      <c r="J22">
        <v>35.2955972000683</v>
      </c>
      <c r="K22">
        <v>43</v>
      </c>
    </row>
    <row r="23" spans="1:11">
      <c r="A23">
        <v>22</v>
      </c>
      <c r="B23">
        <v>15</v>
      </c>
      <c r="C23">
        <v>2</v>
      </c>
      <c r="D23">
        <v>10</v>
      </c>
      <c r="E23">
        <v>5</v>
      </c>
      <c r="F23">
        <v>4281.03213966342</v>
      </c>
      <c r="G23">
        <v>2854.02142644228</v>
      </c>
      <c r="H23">
        <v>22243.9427367402</v>
      </c>
      <c r="I23">
        <v>68767.7036174873</v>
      </c>
      <c r="J23">
        <v>35.3119778119909</v>
      </c>
      <c r="K23">
        <v>45</v>
      </c>
    </row>
    <row r="24" spans="1:11">
      <c r="A24">
        <v>23</v>
      </c>
      <c r="B24">
        <v>16</v>
      </c>
      <c r="C24">
        <v>2</v>
      </c>
      <c r="D24">
        <v>11</v>
      </c>
      <c r="E24">
        <v>5</v>
      </c>
      <c r="F24">
        <v>4491.30548936536</v>
      </c>
      <c r="G24">
        <v>2994.20365957691</v>
      </c>
      <c r="H24">
        <v>24342.4922848202</v>
      </c>
      <c r="I24">
        <v>74170.6710651302</v>
      </c>
      <c r="J24">
        <v>35.3285222300327</v>
      </c>
      <c r="K24">
        <v>48</v>
      </c>
    </row>
    <row r="25" spans="1:11">
      <c r="A25">
        <v>24</v>
      </c>
      <c r="B25">
        <v>16</v>
      </c>
      <c r="C25">
        <v>2</v>
      </c>
      <c r="D25">
        <v>12</v>
      </c>
      <c r="E25">
        <v>5</v>
      </c>
      <c r="F25">
        <v>4703.24565153712</v>
      </c>
      <c r="G25">
        <v>3135.49710102475</v>
      </c>
      <c r="H25">
        <v>26573.2561562461</v>
      </c>
      <c r="I25">
        <v>79813.0282432992</v>
      </c>
      <c r="J25">
        <v>35.3452320922549</v>
      </c>
      <c r="K25">
        <v>50</v>
      </c>
    </row>
    <row r="26" spans="1:11">
      <c r="A26">
        <v>25</v>
      </c>
      <c r="B26">
        <v>17</v>
      </c>
      <c r="C26">
        <v>3</v>
      </c>
      <c r="D26">
        <v>1</v>
      </c>
      <c r="E26">
        <v>5</v>
      </c>
      <c r="F26">
        <v>4816.45759838054</v>
      </c>
      <c r="G26">
        <v>3210.9717322537</v>
      </c>
      <c r="H26">
        <v>28151.9107154301</v>
      </c>
      <c r="I26">
        <v>83890.0209961095</v>
      </c>
      <c r="J26">
        <v>35.3621090530993</v>
      </c>
      <c r="K26">
        <v>52</v>
      </c>
    </row>
    <row r="27" spans="1:11">
      <c r="A27">
        <v>26</v>
      </c>
      <c r="B27">
        <v>17</v>
      </c>
      <c r="C27">
        <v>3</v>
      </c>
      <c r="D27">
        <v>2</v>
      </c>
      <c r="E27">
        <v>5</v>
      </c>
      <c r="F27">
        <v>4927.08073527648</v>
      </c>
      <c r="G27">
        <v>3284.72049018432</v>
      </c>
      <c r="H27">
        <v>29761.1521947349</v>
      </c>
      <c r="I27">
        <v>88019.0522964827</v>
      </c>
      <c r="J27">
        <v>35.3791547835521</v>
      </c>
      <c r="K27">
        <v>54</v>
      </c>
    </row>
    <row r="28" spans="1:11">
      <c r="A28">
        <v>27</v>
      </c>
      <c r="B28">
        <v>17</v>
      </c>
      <c r="C28">
        <v>3</v>
      </c>
      <c r="D28">
        <v>3</v>
      </c>
      <c r="E28">
        <v>5</v>
      </c>
      <c r="F28">
        <v>5038.28613890109</v>
      </c>
      <c r="G28">
        <v>3358.85742593406</v>
      </c>
      <c r="H28">
        <v>31434.3368316531</v>
      </c>
      <c r="I28">
        <v>92272.4866090822</v>
      </c>
      <c r="J28">
        <v>35.3963709713095</v>
      </c>
      <c r="K28">
        <v>55</v>
      </c>
    </row>
    <row r="29" spans="1:11">
      <c r="A29">
        <v>28</v>
      </c>
      <c r="B29">
        <v>18</v>
      </c>
      <c r="C29">
        <v>3</v>
      </c>
      <c r="D29">
        <v>4</v>
      </c>
      <c r="E29">
        <v>5</v>
      </c>
      <c r="F29">
        <v>5150.07380925438</v>
      </c>
      <c r="G29">
        <v>3433.38253950292</v>
      </c>
      <c r="H29">
        <v>33173.1132173505</v>
      </c>
      <c r="I29">
        <v>96652.1731893591</v>
      </c>
      <c r="J29">
        <v>35.4137593209445</v>
      </c>
      <c r="K29">
        <v>57</v>
      </c>
    </row>
    <row r="30" spans="1:11">
      <c r="A30">
        <v>29</v>
      </c>
      <c r="B30">
        <v>18</v>
      </c>
      <c r="C30">
        <v>3</v>
      </c>
      <c r="D30">
        <v>5</v>
      </c>
      <c r="E30">
        <v>5</v>
      </c>
      <c r="F30">
        <v>5262.44374633635</v>
      </c>
      <c r="G30">
        <v>3508.2958308909</v>
      </c>
      <c r="H30">
        <v>34979.1578961386</v>
      </c>
      <c r="I30">
        <v>101159.979251687</v>
      </c>
      <c r="J30">
        <v>35.4313215540758</v>
      </c>
      <c r="K30">
        <v>59</v>
      </c>
    </row>
    <row r="31" spans="1:11">
      <c r="A31">
        <v>30</v>
      </c>
      <c r="B31">
        <v>19</v>
      </c>
      <c r="C31">
        <v>3</v>
      </c>
      <c r="D31">
        <v>6</v>
      </c>
      <c r="E31">
        <v>5</v>
      </c>
      <c r="F31">
        <v>5372.60765547397</v>
      </c>
      <c r="G31">
        <v>3581.73843698265</v>
      </c>
      <c r="H31">
        <v>36095.8982350441</v>
      </c>
      <c r="I31">
        <v>103648.571416605</v>
      </c>
      <c r="J31">
        <v>35.4490594095384</v>
      </c>
      <c r="K31">
        <v>60</v>
      </c>
    </row>
    <row r="32" spans="1:11">
      <c r="A32">
        <v>31</v>
      </c>
      <c r="B32">
        <v>19</v>
      </c>
      <c r="C32">
        <v>3</v>
      </c>
      <c r="D32">
        <v>7</v>
      </c>
      <c r="E32">
        <v>5</v>
      </c>
      <c r="F32">
        <v>5579.60320629262</v>
      </c>
      <c r="G32">
        <v>3719.73547086175</v>
      </c>
      <c r="H32">
        <v>38109.7223997486</v>
      </c>
      <c r="I32">
        <v>108222.241635925</v>
      </c>
      <c r="J32">
        <v>35.4669746435557</v>
      </c>
      <c r="K32">
        <v>62</v>
      </c>
    </row>
    <row r="33" spans="1:11">
      <c r="A33">
        <v>32</v>
      </c>
      <c r="B33">
        <v>19</v>
      </c>
      <c r="C33">
        <v>3</v>
      </c>
      <c r="D33">
        <v>8</v>
      </c>
      <c r="E33">
        <v>5</v>
      </c>
      <c r="F33">
        <v>5787.91956333222</v>
      </c>
      <c r="G33">
        <v>3858.61304222148</v>
      </c>
      <c r="H33">
        <v>40188.015975026</v>
      </c>
      <c r="I33">
        <v>112891.038669981</v>
      </c>
      <c r="J33">
        <v>35.4850690299131</v>
      </c>
      <c r="K33">
        <v>63</v>
      </c>
    </row>
    <row r="34" spans="1:11">
      <c r="A34">
        <v>33</v>
      </c>
      <c r="B34">
        <v>20</v>
      </c>
      <c r="C34">
        <v>3</v>
      </c>
      <c r="D34">
        <v>9</v>
      </c>
      <c r="E34">
        <v>5</v>
      </c>
      <c r="F34">
        <v>5997.55672659277</v>
      </c>
      <c r="G34">
        <v>3998.37115106184</v>
      </c>
      <c r="H34">
        <v>42332.3252975087</v>
      </c>
      <c r="I34">
        <v>117656.323591464</v>
      </c>
      <c r="J34">
        <v>35.5033443601341</v>
      </c>
      <c r="K34">
        <v>65</v>
      </c>
    </row>
    <row r="35" spans="1:11">
      <c r="A35">
        <v>34</v>
      </c>
      <c r="B35">
        <v>20</v>
      </c>
      <c r="C35">
        <v>3</v>
      </c>
      <c r="D35">
        <v>10</v>
      </c>
      <c r="E35">
        <v>5</v>
      </c>
      <c r="F35">
        <v>6208.51469607426</v>
      </c>
      <c r="G35">
        <v>4139.00979738284</v>
      </c>
      <c r="H35">
        <v>44544.2269978621</v>
      </c>
      <c r="I35">
        <v>122519.471284752</v>
      </c>
      <c r="J35">
        <v>35.5218024436573</v>
      </c>
      <c r="K35">
        <v>67</v>
      </c>
    </row>
    <row r="36" spans="1:11">
      <c r="A36">
        <v>35</v>
      </c>
      <c r="B36">
        <v>20</v>
      </c>
      <c r="C36">
        <v>3</v>
      </c>
      <c r="D36">
        <v>11</v>
      </c>
      <c r="E36">
        <v>5</v>
      </c>
      <c r="F36">
        <v>6428.33995496727</v>
      </c>
      <c r="G36">
        <v>4285.55996997818</v>
      </c>
      <c r="H36">
        <v>46881.9910589673</v>
      </c>
      <c r="I36">
        <v>127632.800244011</v>
      </c>
      <c r="J36">
        <v>35.5404451080158</v>
      </c>
      <c r="K36">
        <v>68</v>
      </c>
    </row>
    <row r="37" spans="1:11">
      <c r="A37">
        <v>36</v>
      </c>
      <c r="B37">
        <v>21</v>
      </c>
      <c r="C37">
        <v>3</v>
      </c>
      <c r="D37">
        <v>12</v>
      </c>
      <c r="E37">
        <v>5</v>
      </c>
      <c r="F37">
        <v>6649.46819470304</v>
      </c>
      <c r="G37">
        <v>4432.9787964687</v>
      </c>
      <c r="H37">
        <v>49292.692507259</v>
      </c>
      <c r="I37">
        <v>132853.171023986</v>
      </c>
      <c r="J37">
        <v>35.5592741990178</v>
      </c>
      <c r="K37">
        <v>70</v>
      </c>
    </row>
    <row r="38" spans="1:11">
      <c r="A38">
        <v>37</v>
      </c>
      <c r="B38">
        <v>21</v>
      </c>
      <c r="C38">
        <v>3</v>
      </c>
      <c r="D38">
        <v>13</v>
      </c>
      <c r="E38">
        <v>5</v>
      </c>
      <c r="F38">
        <v>6871.89941528157</v>
      </c>
      <c r="G38">
        <v>4581.26627685438</v>
      </c>
      <c r="H38">
        <v>51778.075027361</v>
      </c>
      <c r="I38">
        <v>138182.080970152</v>
      </c>
      <c r="J38">
        <v>35.5782915809298</v>
      </c>
      <c r="K38">
        <v>72</v>
      </c>
    </row>
    <row r="39" spans="1:11">
      <c r="A39">
        <v>38</v>
      </c>
      <c r="B39">
        <v>21</v>
      </c>
      <c r="C39">
        <v>3</v>
      </c>
      <c r="D39">
        <v>14</v>
      </c>
      <c r="E39">
        <v>5</v>
      </c>
      <c r="F39">
        <v>7095.63361670285</v>
      </c>
      <c r="G39">
        <v>4730.42241113523</v>
      </c>
      <c r="H39">
        <v>54339.9167049591</v>
      </c>
      <c r="I39">
        <v>143621.04196543</v>
      </c>
      <c r="J39">
        <v>35.597499136661</v>
      </c>
      <c r="K39">
        <v>74</v>
      </c>
    </row>
    <row r="40" spans="1:11">
      <c r="A40">
        <v>39</v>
      </c>
      <c r="B40">
        <v>22</v>
      </c>
      <c r="C40">
        <v>3</v>
      </c>
      <c r="D40">
        <v>15</v>
      </c>
      <c r="E40">
        <v>5</v>
      </c>
      <c r="F40">
        <v>7320.67079896689</v>
      </c>
      <c r="G40">
        <v>4880.44719931126</v>
      </c>
      <c r="H40">
        <v>56980.0305564188</v>
      </c>
      <c r="I40">
        <v>149171.580490756</v>
      </c>
      <c r="J40">
        <v>35.6168987679495</v>
      </c>
      <c r="K40">
        <v>75</v>
      </c>
    </row>
    <row r="41" spans="1:11">
      <c r="A41">
        <v>40</v>
      </c>
      <c r="B41">
        <v>22</v>
      </c>
      <c r="C41">
        <v>4</v>
      </c>
      <c r="D41">
        <v>1</v>
      </c>
      <c r="E41">
        <v>5</v>
      </c>
      <c r="F41">
        <v>7549.60418155508</v>
      </c>
      <c r="G41">
        <v>5033.06945437006</v>
      </c>
      <c r="H41">
        <v>59707.7034555283</v>
      </c>
      <c r="I41">
        <v>154857.631643349</v>
      </c>
      <c r="J41">
        <v>35.6364923955508</v>
      </c>
      <c r="K41">
        <v>77</v>
      </c>
    </row>
    <row r="42" spans="1:11">
      <c r="A42">
        <v>41</v>
      </c>
      <c r="B42">
        <v>22</v>
      </c>
      <c r="C42">
        <v>4</v>
      </c>
      <c r="D42">
        <v>2</v>
      </c>
      <c r="E42">
        <v>5</v>
      </c>
      <c r="F42">
        <v>7835.10058538876</v>
      </c>
      <c r="G42">
        <v>5223.40039025917</v>
      </c>
      <c r="H42">
        <v>63108.2459551658</v>
      </c>
      <c r="I42">
        <v>161940.831805921</v>
      </c>
      <c r="J42">
        <v>35.6562819594282</v>
      </c>
      <c r="K42">
        <v>79</v>
      </c>
    </row>
    <row r="43" spans="1:11">
      <c r="A43">
        <v>42</v>
      </c>
      <c r="B43">
        <v>23</v>
      </c>
      <c r="C43">
        <v>4</v>
      </c>
      <c r="D43">
        <v>3</v>
      </c>
      <c r="E43">
        <v>5</v>
      </c>
      <c r="F43">
        <v>8122.03810302249</v>
      </c>
      <c r="G43">
        <v>5414.69206868166</v>
      </c>
      <c r="H43">
        <v>66623.8615756816</v>
      </c>
      <c r="I43">
        <v>169193.906792731</v>
      </c>
      <c r="J43">
        <v>35.6762694189444</v>
      </c>
      <c r="K43">
        <v>81</v>
      </c>
    </row>
    <row r="44" spans="1:11">
      <c r="A44">
        <v>43</v>
      </c>
      <c r="B44">
        <v>23</v>
      </c>
      <c r="C44">
        <v>4</v>
      </c>
      <c r="D44">
        <v>4</v>
      </c>
      <c r="E44">
        <v>5</v>
      </c>
      <c r="F44">
        <v>8410.41673445627</v>
      </c>
      <c r="G44">
        <v>5606.94448963752</v>
      </c>
      <c r="H44">
        <v>70257.6309570927</v>
      </c>
      <c r="I44">
        <v>176619.321141999</v>
      </c>
      <c r="J44">
        <v>35.6964567530557</v>
      </c>
      <c r="K44">
        <v>83</v>
      </c>
    </row>
    <row r="45" spans="1:11">
      <c r="A45">
        <v>44</v>
      </c>
      <c r="B45">
        <v>23</v>
      </c>
      <c r="C45">
        <v>4</v>
      </c>
      <c r="D45">
        <v>5</v>
      </c>
      <c r="E45">
        <v>5</v>
      </c>
      <c r="F45">
        <v>8700.23647969011</v>
      </c>
      <c r="G45">
        <v>5800.15765312674</v>
      </c>
      <c r="H45">
        <v>74012.703804625</v>
      </c>
      <c r="I45">
        <v>184219.561156841</v>
      </c>
      <c r="J45">
        <v>35.7168459605081</v>
      </c>
      <c r="K45">
        <v>85</v>
      </c>
    </row>
    <row r="46" spans="1:11">
      <c r="A46">
        <v>45</v>
      </c>
      <c r="B46">
        <v>24</v>
      </c>
      <c r="C46">
        <v>4</v>
      </c>
      <c r="D46">
        <v>6</v>
      </c>
      <c r="E46">
        <v>5</v>
      </c>
      <c r="F46">
        <v>8991.49733872401</v>
      </c>
      <c r="G46">
        <v>5994.33155914934</v>
      </c>
      <c r="H46">
        <v>77892.3000393442</v>
      </c>
      <c r="I46">
        <v>191997.134968003</v>
      </c>
      <c r="J46">
        <v>35.7374390600351</v>
      </c>
      <c r="K46">
        <v>87</v>
      </c>
    </row>
    <row r="47" spans="1:11">
      <c r="A47">
        <v>46</v>
      </c>
      <c r="B47">
        <v>24</v>
      </c>
      <c r="C47">
        <v>4</v>
      </c>
      <c r="D47">
        <v>7</v>
      </c>
      <c r="E47">
        <v>5</v>
      </c>
      <c r="F47">
        <v>9284.19931155797</v>
      </c>
      <c r="G47">
        <v>6189.46620770531</v>
      </c>
      <c r="H47">
        <v>81899.7109607037</v>
      </c>
      <c r="I47">
        <v>199954.572596594</v>
      </c>
      <c r="J47">
        <v>35.7582380905573</v>
      </c>
      <c r="K47">
        <v>89</v>
      </c>
    </row>
    <row r="48" spans="1:11">
      <c r="A48">
        <v>47</v>
      </c>
      <c r="B48">
        <v>24</v>
      </c>
      <c r="C48">
        <v>4</v>
      </c>
      <c r="D48">
        <v>8</v>
      </c>
      <c r="E48">
        <v>5</v>
      </c>
      <c r="F48">
        <v>9578.34239819198</v>
      </c>
      <c r="G48">
        <v>6385.56159879465</v>
      </c>
      <c r="H48">
        <v>86038.300421064</v>
      </c>
      <c r="I48">
        <v>208094.426016822</v>
      </c>
      <c r="J48">
        <v>35.7792451113847</v>
      </c>
      <c r="K48">
        <v>91</v>
      </c>
    </row>
    <row r="49" spans="1:11">
      <c r="A49">
        <v>48</v>
      </c>
      <c r="B49">
        <v>25</v>
      </c>
      <c r="C49">
        <v>4</v>
      </c>
      <c r="D49">
        <v>9</v>
      </c>
      <c r="E49">
        <v>5</v>
      </c>
      <c r="F49">
        <v>9873.92659862605</v>
      </c>
      <c r="G49">
        <v>6582.61773241737</v>
      </c>
      <c r="H49">
        <v>90311.5060122421</v>
      </c>
      <c r="I49">
        <v>216419.269218726</v>
      </c>
      <c r="J49">
        <v>35.8004622024204</v>
      </c>
      <c r="K49">
        <v>93</v>
      </c>
    </row>
    <row r="50" spans="1:11">
      <c r="A50">
        <v>49</v>
      </c>
      <c r="B50">
        <v>25</v>
      </c>
      <c r="C50">
        <v>4</v>
      </c>
      <c r="D50">
        <v>10</v>
      </c>
      <c r="E50">
        <v>5</v>
      </c>
      <c r="F50">
        <v>10170.9519128602</v>
      </c>
      <c r="G50">
        <v>6780.63460857345</v>
      </c>
      <c r="H50">
        <v>94722.8402641455</v>
      </c>
      <c r="I50">
        <v>224931.698270911</v>
      </c>
      <c r="J50">
        <v>35.8218914643665</v>
      </c>
      <c r="K50">
        <v>95</v>
      </c>
    </row>
    <row r="51" spans="1:11">
      <c r="A51">
        <v>50</v>
      </c>
      <c r="B51">
        <v>25</v>
      </c>
      <c r="C51">
        <v>4</v>
      </c>
      <c r="D51">
        <v>11</v>
      </c>
      <c r="E51">
        <v>5</v>
      </c>
      <c r="F51">
        <v>10469.4183408944</v>
      </c>
      <c r="G51">
        <v>6979.61222726291</v>
      </c>
      <c r="H51">
        <v>99275.8918555477</v>
      </c>
      <c r="I51">
        <v>233634.331383281</v>
      </c>
      <c r="J51">
        <v>35.843535018932</v>
      </c>
      <c r="K51">
        <v>96</v>
      </c>
    </row>
    <row r="52" spans="1:11">
      <c r="A52">
        <v>51</v>
      </c>
      <c r="B52">
        <v>26</v>
      </c>
      <c r="C52">
        <v>4</v>
      </c>
      <c r="D52">
        <v>12</v>
      </c>
      <c r="E52">
        <v>5</v>
      </c>
      <c r="F52">
        <v>10769.3258827286</v>
      </c>
      <c r="G52">
        <v>7179.55058848573</v>
      </c>
      <c r="H52">
        <v>103974.326837061</v>
      </c>
      <c r="I52">
        <v>242529.808969776</v>
      </c>
      <c r="J52">
        <v>35.8653950090432</v>
      </c>
      <c r="K52">
        <v>98</v>
      </c>
    </row>
    <row r="53" spans="1:11">
      <c r="A53">
        <v>52</v>
      </c>
      <c r="B53">
        <v>26</v>
      </c>
      <c r="C53">
        <v>4</v>
      </c>
      <c r="D53">
        <v>13</v>
      </c>
      <c r="E53">
        <v>5</v>
      </c>
      <c r="F53">
        <v>11070.6745383629</v>
      </c>
      <c r="G53">
        <v>7380.44969224193</v>
      </c>
      <c r="H53">
        <v>108821.889866361</v>
      </c>
      <c r="I53">
        <v>251620.793711101</v>
      </c>
      <c r="J53">
        <v>35.8874735990555</v>
      </c>
      <c r="K53">
        <v>100</v>
      </c>
    </row>
    <row r="54" spans="1:11">
      <c r="A54">
        <v>53</v>
      </c>
      <c r="B54">
        <v>26</v>
      </c>
      <c r="C54">
        <v>4</v>
      </c>
      <c r="D54">
        <v>14</v>
      </c>
      <c r="E54">
        <v>5</v>
      </c>
      <c r="F54">
        <v>11373.4643077972</v>
      </c>
      <c r="G54">
        <v>7582.3095385315</v>
      </c>
      <c r="H54">
        <v>113822.405455727</v>
      </c>
      <c r="I54">
        <v>260909.970617466</v>
      </c>
      <c r="J54">
        <v>35.909772974968</v>
      </c>
      <c r="K54">
        <v>102</v>
      </c>
    </row>
    <row r="55" spans="1:11">
      <c r="A55">
        <v>54</v>
      </c>
      <c r="B55">
        <v>27</v>
      </c>
      <c r="C55">
        <v>4</v>
      </c>
      <c r="D55">
        <v>15</v>
      </c>
      <c r="E55">
        <v>5</v>
      </c>
      <c r="F55">
        <v>11677.6951910317</v>
      </c>
      <c r="G55">
        <v>7785.13012735443</v>
      </c>
      <c r="H55">
        <v>118979.779231941</v>
      </c>
      <c r="I55">
        <v>270400.047091314</v>
      </c>
      <c r="J55">
        <v>35.9322953446395</v>
      </c>
      <c r="K55">
        <v>104</v>
      </c>
    </row>
    <row r="56" spans="1:11">
      <c r="A56">
        <v>55</v>
      </c>
      <c r="B56">
        <v>27</v>
      </c>
      <c r="C56">
        <v>5</v>
      </c>
      <c r="D56">
        <v>1</v>
      </c>
      <c r="E56">
        <v>5</v>
      </c>
      <c r="F56">
        <v>11941.4755965497</v>
      </c>
      <c r="G56">
        <v>7960.98373103312</v>
      </c>
      <c r="H56">
        <v>123546.244245202</v>
      </c>
      <c r="I56">
        <v>278746.593810699</v>
      </c>
      <c r="J56">
        <v>35.9550429380078</v>
      </c>
      <c r="K56">
        <v>106</v>
      </c>
    </row>
    <row r="57" spans="1:11">
      <c r="A57">
        <v>56</v>
      </c>
      <c r="B57">
        <v>27</v>
      </c>
      <c r="C57">
        <v>5</v>
      </c>
      <c r="D57">
        <v>2</v>
      </c>
      <c r="E57">
        <v>5</v>
      </c>
      <c r="F57">
        <v>12182.3942320607</v>
      </c>
      <c r="G57">
        <v>8121.59615470715</v>
      </c>
      <c r="H57">
        <v>127797.09981723</v>
      </c>
      <c r="I57">
        <v>286466.971429899</v>
      </c>
      <c r="J57">
        <v>35.9780180073097</v>
      </c>
      <c r="K57">
        <v>107</v>
      </c>
    </row>
    <row r="58" spans="1:11">
      <c r="A58">
        <v>57</v>
      </c>
      <c r="B58">
        <v>28</v>
      </c>
      <c r="C58">
        <v>5</v>
      </c>
      <c r="D58">
        <v>3</v>
      </c>
      <c r="E58">
        <v>5</v>
      </c>
      <c r="F58">
        <v>12424.236828172</v>
      </c>
      <c r="G58">
        <v>8282.82455211466</v>
      </c>
      <c r="H58">
        <v>132150.182793862</v>
      </c>
      <c r="I58">
        <v>294315.434812568</v>
      </c>
      <c r="J58">
        <v>36.0012228273047</v>
      </c>
      <c r="K58">
        <v>109</v>
      </c>
    </row>
    <row r="59" spans="1:11">
      <c r="A59">
        <v>58</v>
      </c>
      <c r="B59">
        <v>28</v>
      </c>
      <c r="C59">
        <v>5</v>
      </c>
      <c r="D59">
        <v>4</v>
      </c>
      <c r="E59">
        <v>5</v>
      </c>
      <c r="F59">
        <v>12667.0033848835</v>
      </c>
      <c r="G59">
        <v>8444.66892325563</v>
      </c>
      <c r="H59">
        <v>136607.494103308</v>
      </c>
      <c r="I59">
        <v>302293.344300543</v>
      </c>
      <c r="J59">
        <v>36.0246596954996</v>
      </c>
      <c r="K59">
        <v>110</v>
      </c>
    </row>
    <row r="60" spans="1:11">
      <c r="A60">
        <v>59</v>
      </c>
      <c r="B60">
        <v>28</v>
      </c>
      <c r="C60">
        <v>5</v>
      </c>
      <c r="D60">
        <v>5</v>
      </c>
      <c r="E60">
        <v>5</v>
      </c>
      <c r="F60">
        <v>12910.6939021951</v>
      </c>
      <c r="G60">
        <v>8607.12926813008</v>
      </c>
      <c r="H60">
        <v>141171.066951545</v>
      </c>
      <c r="I60">
        <v>310402.069130767</v>
      </c>
      <c r="J60">
        <v>36.0483309323765</v>
      </c>
      <c r="K60">
        <v>112</v>
      </c>
    </row>
    <row r="61" spans="1:11">
      <c r="A61">
        <v>60</v>
      </c>
      <c r="B61">
        <v>29</v>
      </c>
      <c r="C61">
        <v>5</v>
      </c>
      <c r="D61">
        <v>6</v>
      </c>
      <c r="E61">
        <v>5</v>
      </c>
      <c r="F61">
        <v>13155.308380107</v>
      </c>
      <c r="G61">
        <v>8770.20558673798</v>
      </c>
      <c r="H61">
        <v>145842.967208347</v>
      </c>
      <c r="I61">
        <v>318642.987455275</v>
      </c>
      <c r="J61">
        <v>36.0722388816221</v>
      </c>
      <c r="K61">
        <v>113</v>
      </c>
    </row>
    <row r="62" spans="1:11">
      <c r="A62">
        <v>61</v>
      </c>
      <c r="B62">
        <v>29</v>
      </c>
      <c r="C62">
        <v>5</v>
      </c>
      <c r="D62">
        <v>7</v>
      </c>
      <c r="E62">
        <v>5</v>
      </c>
      <c r="F62">
        <v>13400.846818619</v>
      </c>
      <c r="G62">
        <v>8933.89787907936</v>
      </c>
      <c r="H62">
        <v>150625.293796219</v>
      </c>
      <c r="I62">
        <v>327017.486361194</v>
      </c>
      <c r="J62">
        <v>36.0963859103602</v>
      </c>
      <c r="K62">
        <v>114</v>
      </c>
    </row>
    <row r="63" spans="1:11">
      <c r="A63">
        <v>62</v>
      </c>
      <c r="B63">
        <v>29</v>
      </c>
      <c r="C63">
        <v>5</v>
      </c>
      <c r="D63">
        <v>8</v>
      </c>
      <c r="E63">
        <v>5</v>
      </c>
      <c r="F63">
        <v>13647.3092177313</v>
      </c>
      <c r="G63">
        <v>9098.20614515421</v>
      </c>
      <c r="H63">
        <v>155520.17908224</v>
      </c>
      <c r="I63">
        <v>335526.961890732</v>
      </c>
      <c r="J63">
        <v>36.1207744093856</v>
      </c>
      <c r="K63">
        <v>116</v>
      </c>
    </row>
    <row r="64" spans="1:11">
      <c r="A64">
        <v>63</v>
      </c>
      <c r="B64">
        <v>29</v>
      </c>
      <c r="C64">
        <v>5</v>
      </c>
      <c r="D64">
        <v>9</v>
      </c>
      <c r="E64">
        <v>5</v>
      </c>
      <c r="F64">
        <v>13894.6955774438</v>
      </c>
      <c r="G64">
        <v>9263.13038496252</v>
      </c>
      <c r="H64">
        <v>160529.789272844</v>
      </c>
      <c r="I64">
        <v>344172.819061175</v>
      </c>
      <c r="J64">
        <v>36.1454067934014</v>
      </c>
      <c r="K64">
        <v>117</v>
      </c>
    </row>
    <row r="65" spans="1:11">
      <c r="A65">
        <v>64</v>
      </c>
      <c r="B65">
        <v>30</v>
      </c>
      <c r="C65">
        <v>5</v>
      </c>
      <c r="D65">
        <v>10</v>
      </c>
      <c r="E65">
        <v>5</v>
      </c>
      <c r="F65">
        <v>14143.0058977565</v>
      </c>
      <c r="G65">
        <v>9428.67059850431</v>
      </c>
      <c r="H65">
        <v>165656.324811522</v>
      </c>
      <c r="I65">
        <v>352956.471884879</v>
      </c>
      <c r="J65">
        <v>36.1702855012573</v>
      </c>
      <c r="K65">
        <v>119</v>
      </c>
    </row>
    <row r="66" spans="1:11">
      <c r="A66">
        <v>65</v>
      </c>
      <c r="B66">
        <v>30</v>
      </c>
      <c r="C66">
        <v>5</v>
      </c>
      <c r="D66">
        <v>11</v>
      </c>
      <c r="E66">
        <v>5</v>
      </c>
      <c r="F66">
        <v>14484.7108708138</v>
      </c>
      <c r="G66">
        <v>9656.47391387586</v>
      </c>
      <c r="H66">
        <v>171927.518056297</v>
      </c>
      <c r="I66">
        <v>364957.353601822</v>
      </c>
      <c r="J66">
        <v>36.1954129961917</v>
      </c>
      <c r="K66">
        <v>121</v>
      </c>
    </row>
    <row r="67" spans="1:11">
      <c r="A67">
        <v>66</v>
      </c>
      <c r="B67">
        <v>30</v>
      </c>
      <c r="C67">
        <v>5</v>
      </c>
      <c r="D67">
        <v>12</v>
      </c>
      <c r="E67">
        <v>5</v>
      </c>
      <c r="F67">
        <v>14827.2464100907</v>
      </c>
      <c r="G67">
        <v>9884.83094006046</v>
      </c>
      <c r="H67">
        <v>178344.228129454</v>
      </c>
      <c r="I67">
        <v>377173.040240432</v>
      </c>
      <c r="J67">
        <v>36.2207917660755</v>
      </c>
      <c r="K67">
        <v>122</v>
      </c>
    </row>
    <row r="68" spans="1:11">
      <c r="A68">
        <v>67</v>
      </c>
      <c r="B68">
        <v>30</v>
      </c>
      <c r="C68">
        <v>5</v>
      </c>
      <c r="D68">
        <v>13</v>
      </c>
      <c r="E68">
        <v>5</v>
      </c>
      <c r="F68">
        <v>15170.6125155872</v>
      </c>
      <c r="G68">
        <v>10113.7416770581</v>
      </c>
      <c r="H68">
        <v>184909.132903604</v>
      </c>
      <c r="I68">
        <v>389605.676229176</v>
      </c>
      <c r="J68">
        <v>36.2464243236581</v>
      </c>
      <c r="K68">
        <v>124</v>
      </c>
    </row>
    <row r="69" spans="1:11">
      <c r="A69">
        <v>68</v>
      </c>
      <c r="B69">
        <v>31</v>
      </c>
      <c r="C69">
        <v>5</v>
      </c>
      <c r="D69">
        <v>14</v>
      </c>
      <c r="E69">
        <v>5</v>
      </c>
      <c r="F69">
        <v>15514.8091873032</v>
      </c>
      <c r="G69">
        <v>10343.2061248688</v>
      </c>
      <c r="H69">
        <v>191624.950037364</v>
      </c>
      <c r="I69">
        <v>402257.4157323</v>
      </c>
      <c r="J69">
        <v>36.2723132068165</v>
      </c>
      <c r="K69">
        <v>126</v>
      </c>
    </row>
    <row r="70" spans="1:11">
      <c r="A70">
        <v>69</v>
      </c>
      <c r="B70">
        <v>31</v>
      </c>
      <c r="C70">
        <v>5</v>
      </c>
      <c r="D70">
        <v>15</v>
      </c>
      <c r="E70">
        <v>5</v>
      </c>
      <c r="F70">
        <v>15859.8364252389</v>
      </c>
      <c r="G70">
        <v>10573.2242834926</v>
      </c>
      <c r="H70">
        <v>198494.437394498</v>
      </c>
      <c r="I70">
        <v>415130.422661991</v>
      </c>
      <c r="J70">
        <v>36.2984609788066</v>
      </c>
      <c r="K70">
        <v>127</v>
      </c>
    </row>
    <row r="71" spans="1:11">
      <c r="A71">
        <v>70</v>
      </c>
      <c r="B71">
        <v>31</v>
      </c>
      <c r="C71">
        <v>6</v>
      </c>
      <c r="D71">
        <v>1</v>
      </c>
      <c r="E71">
        <v>5</v>
      </c>
      <c r="F71">
        <v>16185.932617058</v>
      </c>
      <c r="G71">
        <v>10790.6217447053</v>
      </c>
      <c r="H71">
        <v>205109.400628112</v>
      </c>
      <c r="I71">
        <v>427468.367251895</v>
      </c>
      <c r="J71">
        <v>36.3248702285165</v>
      </c>
      <c r="K71">
        <v>129</v>
      </c>
    </row>
    <row r="72" spans="1:11">
      <c r="A72">
        <v>71</v>
      </c>
      <c r="B72">
        <v>32</v>
      </c>
      <c r="C72">
        <v>6</v>
      </c>
      <c r="D72">
        <v>2</v>
      </c>
      <c r="E72">
        <v>5</v>
      </c>
      <c r="F72">
        <v>16469.2628012316</v>
      </c>
      <c r="G72">
        <v>10979.5085341544</v>
      </c>
      <c r="H72">
        <v>210946.374313077</v>
      </c>
      <c r="I72">
        <v>438316.654491512</v>
      </c>
      <c r="J72">
        <v>36.3515435707235</v>
      </c>
      <c r="K72">
        <v>130</v>
      </c>
    </row>
    <row r="73" spans="1:11">
      <c r="A73">
        <v>72</v>
      </c>
      <c r="B73">
        <v>32</v>
      </c>
      <c r="C73">
        <v>6</v>
      </c>
      <c r="D73">
        <v>3</v>
      </c>
      <c r="E73">
        <v>5</v>
      </c>
      <c r="F73">
        <v>16753.1688190113</v>
      </c>
      <c r="G73">
        <v>11168.7792126742</v>
      </c>
      <c r="H73">
        <v>216890.590855432</v>
      </c>
      <c r="I73">
        <v>449316.591842609</v>
      </c>
      <c r="J73">
        <v>36.3784836463527</v>
      </c>
      <c r="K73">
        <v>132</v>
      </c>
    </row>
    <row r="74" spans="1:11">
      <c r="A74">
        <v>73</v>
      </c>
      <c r="B74">
        <v>32</v>
      </c>
      <c r="C74">
        <v>6</v>
      </c>
      <c r="D74">
        <v>4</v>
      </c>
      <c r="E74">
        <v>5</v>
      </c>
      <c r="F74">
        <v>17037.6506703973</v>
      </c>
      <c r="G74">
        <v>11358.4337802648</v>
      </c>
      <c r="H74">
        <v>222943.62405799</v>
      </c>
      <c r="I74">
        <v>460469.387865687</v>
      </c>
      <c r="J74">
        <v>36.4056931227381</v>
      </c>
      <c r="K74">
        <v>133</v>
      </c>
    </row>
    <row r="75" spans="1:11">
      <c r="A75">
        <v>74</v>
      </c>
      <c r="B75">
        <v>32</v>
      </c>
      <c r="C75">
        <v>6</v>
      </c>
      <c r="D75">
        <v>5</v>
      </c>
      <c r="E75">
        <v>5</v>
      </c>
      <c r="F75">
        <v>17322.7083553894</v>
      </c>
      <c r="G75">
        <v>11548.4722369263</v>
      </c>
      <c r="H75">
        <v>229107.066317105</v>
      </c>
      <c r="I75">
        <v>471776.255639066</v>
      </c>
      <c r="J75">
        <v>36.4331746938873</v>
      </c>
      <c r="K75">
        <v>135</v>
      </c>
    </row>
    <row r="76" spans="1:11">
      <c r="A76">
        <v>75</v>
      </c>
      <c r="B76">
        <v>33</v>
      </c>
      <c r="C76">
        <v>6</v>
      </c>
      <c r="D76">
        <v>6</v>
      </c>
      <c r="E76">
        <v>5</v>
      </c>
      <c r="F76">
        <v>17608.3418739877</v>
      </c>
      <c r="G76">
        <v>11738.8945826584</v>
      </c>
      <c r="H76">
        <v>235382.528779146</v>
      </c>
      <c r="I76">
        <v>483238.412763624</v>
      </c>
      <c r="J76">
        <v>36.460931080748</v>
      </c>
      <c r="K76">
        <v>136</v>
      </c>
    </row>
    <row r="77" spans="1:11">
      <c r="A77">
        <v>76</v>
      </c>
      <c r="B77">
        <v>33</v>
      </c>
      <c r="C77">
        <v>6</v>
      </c>
      <c r="D77">
        <v>7</v>
      </c>
      <c r="E77">
        <v>5</v>
      </c>
      <c r="F77">
        <v>17894.5512261921</v>
      </c>
      <c r="G77">
        <v>11929.7008174614</v>
      </c>
      <c r="H77">
        <v>241771.641497773</v>
      </c>
      <c r="I77">
        <v>494857.08136754</v>
      </c>
      <c r="J77">
        <v>36.4889650314774</v>
      </c>
      <c r="K77">
        <v>137</v>
      </c>
    </row>
    <row r="78" spans="1:11">
      <c r="A78">
        <v>77</v>
      </c>
      <c r="B78">
        <v>33</v>
      </c>
      <c r="C78">
        <v>6</v>
      </c>
      <c r="D78">
        <v>8</v>
      </c>
      <c r="E78">
        <v>5</v>
      </c>
      <c r="F78">
        <v>18181.3364120028</v>
      </c>
      <c r="G78">
        <v>12120.8909413352</v>
      </c>
      <c r="H78">
        <v>248276.053592022</v>
      </c>
      <c r="I78">
        <v>506633.48811103</v>
      </c>
      <c r="J78">
        <v>36.517279321714</v>
      </c>
      <c r="K78">
        <v>139</v>
      </c>
    </row>
    <row r="79" spans="1:11">
      <c r="A79">
        <v>78</v>
      </c>
      <c r="B79">
        <v>33</v>
      </c>
      <c r="C79">
        <v>6</v>
      </c>
      <c r="D79">
        <v>9</v>
      </c>
      <c r="E79">
        <v>5</v>
      </c>
      <c r="F79">
        <v>18468.6974314196</v>
      </c>
      <c r="G79">
        <v>12312.4649542798</v>
      </c>
      <c r="H79">
        <v>254897.433405208</v>
      </c>
      <c r="I79">
        <v>518568.864191088</v>
      </c>
      <c r="J79">
        <v>36.545876754853</v>
      </c>
      <c r="K79">
        <v>140</v>
      </c>
    </row>
    <row r="80" spans="1:11">
      <c r="A80">
        <v>79</v>
      </c>
      <c r="B80">
        <v>33</v>
      </c>
      <c r="C80">
        <v>6</v>
      </c>
      <c r="D80">
        <v>10</v>
      </c>
      <c r="E80">
        <v>5</v>
      </c>
      <c r="F80">
        <v>18756.6342844426</v>
      </c>
      <c r="G80">
        <v>12504.4228562951</v>
      </c>
      <c r="H80">
        <v>261637.468664634</v>
      </c>
      <c r="I80">
        <v>530664.445346229</v>
      </c>
      <c r="J80">
        <v>36.5747601623234</v>
      </c>
      <c r="K80">
        <v>141</v>
      </c>
    </row>
    <row r="81" spans="1:11">
      <c r="A81">
        <v>80</v>
      </c>
      <c r="B81">
        <v>34</v>
      </c>
      <c r="C81">
        <v>6</v>
      </c>
      <c r="D81">
        <v>11</v>
      </c>
      <c r="E81">
        <v>5</v>
      </c>
      <c r="F81">
        <v>19045.1469710718</v>
      </c>
      <c r="G81">
        <v>12696.7646473812</v>
      </c>
      <c r="H81">
        <v>268497.866642121</v>
      </c>
      <c r="I81">
        <v>542921.471861221</v>
      </c>
      <c r="J81">
        <v>36.6039324038685</v>
      </c>
      <c r="K81">
        <v>143</v>
      </c>
    </row>
    <row r="82" spans="1:11">
      <c r="A82">
        <v>81</v>
      </c>
      <c r="B82">
        <v>34</v>
      </c>
      <c r="C82">
        <v>6</v>
      </c>
      <c r="D82">
        <v>12</v>
      </c>
      <c r="E82">
        <v>5</v>
      </c>
      <c r="F82">
        <v>19334.2354913072</v>
      </c>
      <c r="G82">
        <v>12889.4903275381</v>
      </c>
      <c r="H82">
        <v>275480.354315355</v>
      </c>
      <c r="I82">
        <v>555341.188571833</v>
      </c>
      <c r="J82">
        <v>36.6333963678291</v>
      </c>
      <c r="K82">
        <v>144</v>
      </c>
    </row>
    <row r="83" spans="1:11">
      <c r="A83">
        <v>82</v>
      </c>
      <c r="B83">
        <v>34</v>
      </c>
      <c r="C83">
        <v>6</v>
      </c>
      <c r="D83">
        <v>13</v>
      </c>
      <c r="E83">
        <v>5</v>
      </c>
      <c r="F83">
        <v>19623.8998451488</v>
      </c>
      <c r="G83">
        <v>13082.5998967658</v>
      </c>
      <c r="H83">
        <v>282586.67853005</v>
      </c>
      <c r="I83">
        <v>567924.844869571</v>
      </c>
      <c r="J83">
        <v>36.6631549714293</v>
      </c>
      <c r="K83">
        <v>146</v>
      </c>
    </row>
    <row r="84" spans="1:11">
      <c r="A84">
        <v>83</v>
      </c>
      <c r="B84">
        <v>34</v>
      </c>
      <c r="C84">
        <v>6</v>
      </c>
      <c r="D84">
        <v>14</v>
      </c>
      <c r="E84">
        <v>5</v>
      </c>
      <c r="F84">
        <v>19914.1400325965</v>
      </c>
      <c r="G84">
        <v>13276.0933550643</v>
      </c>
      <c r="H84">
        <v>289818.606162935</v>
      </c>
      <c r="I84">
        <v>580673.694706417</v>
      </c>
      <c r="J84">
        <v>36.6932111610654</v>
      </c>
      <c r="K84">
        <v>147</v>
      </c>
    </row>
    <row r="85" spans="1:11">
      <c r="A85">
        <v>84</v>
      </c>
      <c r="B85">
        <v>34</v>
      </c>
      <c r="C85">
        <v>6</v>
      </c>
      <c r="D85">
        <v>15</v>
      </c>
      <c r="E85">
        <v>5</v>
      </c>
      <c r="F85">
        <v>20204.9560536504</v>
      </c>
      <c r="G85">
        <v>13469.9707024336</v>
      </c>
      <c r="H85">
        <v>297177.924285564</v>
      </c>
      <c r="I85">
        <v>593588.996599568</v>
      </c>
      <c r="J85">
        <v>36.7235679125979</v>
      </c>
      <c r="K85">
        <v>148</v>
      </c>
    </row>
    <row r="86" spans="1:11">
      <c r="A86">
        <v>85</v>
      </c>
      <c r="B86">
        <v>35</v>
      </c>
      <c r="C86">
        <v>7</v>
      </c>
      <c r="D86">
        <v>1</v>
      </c>
      <c r="E86">
        <v>5</v>
      </c>
      <c r="F86">
        <v>20456.1446803752</v>
      </c>
      <c r="G86">
        <v>13637.4297869168</v>
      </c>
      <c r="H86">
        <v>303608.455403675</v>
      </c>
      <c r="I86">
        <v>604842.67487879</v>
      </c>
      <c r="J86">
        <v>36.7542282316458</v>
      </c>
      <c r="K86">
        <v>149</v>
      </c>
    </row>
    <row r="87" spans="1:11">
      <c r="A87">
        <v>86</v>
      </c>
      <c r="B87">
        <v>35</v>
      </c>
      <c r="C87">
        <v>7</v>
      </c>
      <c r="D87">
        <v>2</v>
      </c>
      <c r="E87">
        <v>5</v>
      </c>
      <c r="F87">
        <v>20674.444735015</v>
      </c>
      <c r="G87">
        <v>13782.9631566767</v>
      </c>
      <c r="H87">
        <v>309251.070113964</v>
      </c>
      <c r="I87">
        <v>614695.104720324</v>
      </c>
      <c r="J87">
        <v>36.7851951538841</v>
      </c>
      <c r="K87">
        <v>150</v>
      </c>
    </row>
    <row r="88" spans="1:11">
      <c r="A88">
        <v>87</v>
      </c>
      <c r="B88">
        <v>35</v>
      </c>
      <c r="C88">
        <v>7</v>
      </c>
      <c r="D88">
        <v>3</v>
      </c>
      <c r="E88">
        <v>5</v>
      </c>
      <c r="F88">
        <v>20893.0838145575</v>
      </c>
      <c r="G88">
        <v>13928.7225430384</v>
      </c>
      <c r="H88">
        <v>314966.783031065</v>
      </c>
      <c r="I88">
        <v>624642.209425444</v>
      </c>
      <c r="J88">
        <v>36.8164717453448</v>
      </c>
      <c r="K88">
        <v>151</v>
      </c>
    </row>
    <row r="89" spans="1:11">
      <c r="A89">
        <v>88</v>
      </c>
      <c r="B89">
        <v>35</v>
      </c>
      <c r="C89">
        <v>7</v>
      </c>
      <c r="D89">
        <v>4</v>
      </c>
      <c r="E89">
        <v>5</v>
      </c>
      <c r="F89">
        <v>21112.0619190027</v>
      </c>
      <c r="G89">
        <v>14074.7079460018</v>
      </c>
      <c r="H89">
        <v>320756.358565467</v>
      </c>
      <c r="I89">
        <v>634684.526130003</v>
      </c>
      <c r="J89">
        <v>36.8480611027201</v>
      </c>
      <c r="K89">
        <v>152</v>
      </c>
    </row>
    <row r="90" spans="1:11">
      <c r="A90">
        <v>89</v>
      </c>
      <c r="B90">
        <v>35</v>
      </c>
      <c r="C90">
        <v>7</v>
      </c>
      <c r="D90">
        <v>5</v>
      </c>
      <c r="E90">
        <v>5</v>
      </c>
      <c r="F90">
        <v>21331.3790483506</v>
      </c>
      <c r="G90">
        <v>14220.919365567</v>
      </c>
      <c r="H90">
        <v>326620.567530564</v>
      </c>
      <c r="I90">
        <v>644822.593466224</v>
      </c>
      <c r="J90">
        <v>36.8799663536692</v>
      </c>
      <c r="K90">
        <v>153</v>
      </c>
    </row>
    <row r="91" spans="1:11">
      <c r="A91">
        <v>90</v>
      </c>
      <c r="B91">
        <v>36</v>
      </c>
      <c r="C91">
        <v>7</v>
      </c>
      <c r="D91">
        <v>6</v>
      </c>
      <c r="E91">
        <v>5</v>
      </c>
      <c r="F91">
        <v>21551.0352026011</v>
      </c>
      <c r="G91">
        <v>14367.3568017341</v>
      </c>
      <c r="H91">
        <v>332560.187181101</v>
      </c>
      <c r="I91">
        <v>655056.951563923</v>
      </c>
      <c r="J91">
        <v>36.9121906571278</v>
      </c>
      <c r="K91">
        <v>154</v>
      </c>
    </row>
    <row r="92" spans="1:11">
      <c r="A92">
        <v>91</v>
      </c>
      <c r="B92">
        <v>36</v>
      </c>
      <c r="C92">
        <v>7</v>
      </c>
      <c r="D92">
        <v>7</v>
      </c>
      <c r="E92">
        <v>5</v>
      </c>
      <c r="F92">
        <v>21771.0303817543</v>
      </c>
      <c r="G92">
        <v>14514.0202545028</v>
      </c>
      <c r="H92">
        <v>338576.001251768</v>
      </c>
      <c r="I92">
        <v>665388.142051713</v>
      </c>
      <c r="J92">
        <v>36.9447372036209</v>
      </c>
      <c r="K92">
        <v>156</v>
      </c>
    </row>
    <row r="93" spans="1:11">
      <c r="A93">
        <v>92</v>
      </c>
      <c r="B93">
        <v>36</v>
      </c>
      <c r="C93">
        <v>7</v>
      </c>
      <c r="D93">
        <v>8</v>
      </c>
      <c r="E93">
        <v>5</v>
      </c>
      <c r="F93">
        <v>21991.3645858101</v>
      </c>
      <c r="G93">
        <v>14660.9097238734</v>
      </c>
      <c r="H93">
        <v>344668.799995937</v>
      </c>
      <c r="I93">
        <v>675816.708058224</v>
      </c>
      <c r="J93">
        <v>36.977609215579</v>
      </c>
      <c r="K93">
        <v>157</v>
      </c>
    </row>
    <row r="94" spans="1:11">
      <c r="A94">
        <v>93</v>
      </c>
      <c r="B94">
        <v>36</v>
      </c>
      <c r="C94">
        <v>7</v>
      </c>
      <c r="D94">
        <v>9</v>
      </c>
      <c r="E94">
        <v>5</v>
      </c>
      <c r="F94">
        <v>22212.0378147687</v>
      </c>
      <c r="G94">
        <v>14808.0252098458</v>
      </c>
      <c r="H94">
        <v>350839.380224539</v>
      </c>
      <c r="I94">
        <v>686343.194213315</v>
      </c>
      <c r="J94">
        <v>37.0108099476567</v>
      </c>
      <c r="K94">
        <v>158</v>
      </c>
    </row>
    <row r="95" spans="1:11">
      <c r="A95">
        <v>94</v>
      </c>
      <c r="B95">
        <v>36</v>
      </c>
      <c r="C95">
        <v>7</v>
      </c>
      <c r="D95">
        <v>10</v>
      </c>
      <c r="E95">
        <v>5</v>
      </c>
      <c r="F95">
        <v>22433.0500686299</v>
      </c>
      <c r="G95">
        <v>14955.3667124199</v>
      </c>
      <c r="H95">
        <v>357088.545345091</v>
      </c>
      <c r="I95">
        <v>696968.146649284</v>
      </c>
      <c r="J95">
        <v>37.0443426870551</v>
      </c>
      <c r="K95">
        <v>159</v>
      </c>
    </row>
    <row r="96" spans="1:11">
      <c r="A96">
        <v>95</v>
      </c>
      <c r="B96">
        <v>37</v>
      </c>
      <c r="C96">
        <v>7</v>
      </c>
      <c r="D96">
        <v>11</v>
      </c>
      <c r="E96">
        <v>5</v>
      </c>
      <c r="F96">
        <v>22654.4013473938</v>
      </c>
      <c r="G96">
        <v>15102.9342315958</v>
      </c>
      <c r="H96">
        <v>363417.105400859</v>
      </c>
      <c r="I96">
        <v>707692.113002087</v>
      </c>
      <c r="J96">
        <v>37.0782107538475</v>
      </c>
      <c r="K96">
        <v>160</v>
      </c>
    </row>
    <row r="97" spans="1:11">
      <c r="A97">
        <v>96</v>
      </c>
      <c r="B97">
        <v>37</v>
      </c>
      <c r="C97">
        <v>7</v>
      </c>
      <c r="D97">
        <v>12</v>
      </c>
      <c r="E97">
        <v>5</v>
      </c>
      <c r="F97">
        <v>22876.0916510603</v>
      </c>
      <c r="G97">
        <v>15250.7277673735</v>
      </c>
      <c r="H97">
        <v>369825.877110177</v>
      </c>
      <c r="I97">
        <v>718515.642412547</v>
      </c>
      <c r="J97">
        <v>37.1124175013079</v>
      </c>
      <c r="K97">
        <v>161</v>
      </c>
    </row>
    <row r="98" spans="1:11">
      <c r="A98">
        <v>97</v>
      </c>
      <c r="B98">
        <v>37</v>
      </c>
      <c r="C98">
        <v>7</v>
      </c>
      <c r="D98">
        <v>13</v>
      </c>
      <c r="E98">
        <v>5</v>
      </c>
      <c r="F98">
        <v>23098.1209796295</v>
      </c>
      <c r="G98">
        <v>15398.747319753</v>
      </c>
      <c r="H98">
        <v>376315.683905898</v>
      </c>
      <c r="I98">
        <v>729439.285527569</v>
      </c>
      <c r="J98">
        <v>37.1469663162428</v>
      </c>
      <c r="K98">
        <v>162</v>
      </c>
    </row>
    <row r="99" spans="1:11">
      <c r="A99">
        <v>98</v>
      </c>
      <c r="B99">
        <v>37</v>
      </c>
      <c r="C99">
        <v>7</v>
      </c>
      <c r="D99">
        <v>14</v>
      </c>
      <c r="E99">
        <v>5</v>
      </c>
      <c r="F99">
        <v>23320.4893331014</v>
      </c>
      <c r="G99">
        <v>15546.9928887343</v>
      </c>
      <c r="H99">
        <v>382887.355974998</v>
      </c>
      <c r="I99">
        <v>740463.594501353</v>
      </c>
      <c r="J99">
        <v>37.1818606193271</v>
      </c>
      <c r="K99">
        <v>163</v>
      </c>
    </row>
    <row r="100" spans="1:11">
      <c r="A100">
        <v>99</v>
      </c>
      <c r="B100">
        <v>37</v>
      </c>
      <c r="C100">
        <v>7</v>
      </c>
      <c r="D100">
        <v>15</v>
      </c>
      <c r="E100">
        <v>5</v>
      </c>
      <c r="F100">
        <v>23543.196711476</v>
      </c>
      <c r="G100">
        <v>15695.4644743173</v>
      </c>
      <c r="H100">
        <v>389541.730298325</v>
      </c>
      <c r="I100">
        <v>751589.12299661</v>
      </c>
      <c r="J100">
        <v>37.2171038654422</v>
      </c>
      <c r="K100">
        <v>164</v>
      </c>
    </row>
    <row r="101" spans="1:11">
      <c r="A101">
        <v>100</v>
      </c>
      <c r="B101">
        <v>38</v>
      </c>
      <c r="C101">
        <v>8</v>
      </c>
      <c r="D101">
        <v>1</v>
      </c>
      <c r="E101">
        <v>5</v>
      </c>
      <c r="F101">
        <v>23735.6146168678</v>
      </c>
      <c r="G101">
        <v>15823.7430779119</v>
      </c>
      <c r="H101">
        <v>395331.076252464</v>
      </c>
      <c r="I101">
        <v>761253.295545268</v>
      </c>
      <c r="J101">
        <v>37.2526995440185</v>
      </c>
      <c r="K101">
        <v>164</v>
      </c>
    </row>
    <row r="102" spans="1:11">
      <c r="A102">
        <v>101</v>
      </c>
      <c r="B102">
        <v>38</v>
      </c>
      <c r="C102">
        <v>8</v>
      </c>
      <c r="D102">
        <v>2</v>
      </c>
      <c r="E102">
        <v>5</v>
      </c>
      <c r="F102">
        <v>24067.2483730615</v>
      </c>
      <c r="G102">
        <v>16044.8322487077</v>
      </c>
      <c r="H102">
        <v>405743.55804063</v>
      </c>
      <c r="I102">
        <v>776696.17263262</v>
      </c>
      <c r="J102">
        <v>37.2886511793806</v>
      </c>
      <c r="K102">
        <v>166</v>
      </c>
    </row>
    <row r="103" spans="1:11">
      <c r="A103">
        <v>102</v>
      </c>
      <c r="B103">
        <v>38</v>
      </c>
      <c r="C103">
        <v>8</v>
      </c>
      <c r="D103">
        <v>3</v>
      </c>
      <c r="E103">
        <v>5</v>
      </c>
      <c r="F103">
        <v>24399.4903232651</v>
      </c>
      <c r="G103">
        <v>16266.3268821767</v>
      </c>
      <c r="H103">
        <v>416356.082201349</v>
      </c>
      <c r="I103">
        <v>792319.104933243</v>
      </c>
      <c r="J103">
        <v>37.3249623310963</v>
      </c>
      <c r="K103">
        <v>167</v>
      </c>
    </row>
    <row r="104" spans="1:11">
      <c r="A104">
        <v>103</v>
      </c>
      <c r="B104">
        <v>38</v>
      </c>
      <c r="C104">
        <v>8</v>
      </c>
      <c r="D104">
        <v>4</v>
      </c>
      <c r="E104">
        <v>5</v>
      </c>
      <c r="F104">
        <v>24732.3404674785</v>
      </c>
      <c r="G104">
        <v>16488.226978319</v>
      </c>
      <c r="H104">
        <v>427171.772189702</v>
      </c>
      <c r="I104">
        <v>808123.253655679</v>
      </c>
      <c r="J104">
        <v>37.3616365943291</v>
      </c>
      <c r="K104">
        <v>169</v>
      </c>
    </row>
    <row r="105" spans="1:11">
      <c r="A105">
        <v>104</v>
      </c>
      <c r="B105">
        <v>38</v>
      </c>
      <c r="C105">
        <v>8</v>
      </c>
      <c r="D105">
        <v>5</v>
      </c>
      <c r="E105">
        <v>5</v>
      </c>
      <c r="F105">
        <v>25065.7988057019</v>
      </c>
      <c r="G105">
        <v>16710.5325371346</v>
      </c>
      <c r="H105">
        <v>438193.789707759</v>
      </c>
      <c r="I105">
        <v>824109.783432818</v>
      </c>
      <c r="J105">
        <v>37.3986776001942</v>
      </c>
      <c r="K105">
        <v>170</v>
      </c>
    </row>
    <row r="106" spans="1:11">
      <c r="A106">
        <v>105</v>
      </c>
      <c r="B106">
        <v>39</v>
      </c>
      <c r="C106">
        <v>8</v>
      </c>
      <c r="D106">
        <v>6</v>
      </c>
      <c r="E106">
        <v>5</v>
      </c>
      <c r="F106">
        <v>25399.8653379351</v>
      </c>
      <c r="G106">
        <v>16933.2435586234</v>
      </c>
      <c r="H106">
        <v>449425.335023812</v>
      </c>
      <c r="I106">
        <v>840279.862324229</v>
      </c>
      <c r="J106">
        <v>37.4360890161181</v>
      </c>
      <c r="K106">
        <v>172</v>
      </c>
    </row>
    <row r="107" spans="1:11">
      <c r="A107">
        <v>106</v>
      </c>
      <c r="C107">
        <v>8</v>
      </c>
      <c r="D107">
        <v>7</v>
      </c>
      <c r="E107">
        <v>5</v>
      </c>
      <c r="F107">
        <v>25734.5400641782</v>
      </c>
      <c r="G107">
        <v>17156.3600427854</v>
      </c>
      <c r="H107">
        <v>460869.647293257</v>
      </c>
      <c r="I107">
        <v>856634.661818488</v>
      </c>
      <c r="J107">
        <v>37.4738745462011</v>
      </c>
      <c r="K107">
        <v>174</v>
      </c>
    </row>
    <row r="108" spans="1:11">
      <c r="A108">
        <v>107</v>
      </c>
      <c r="C108">
        <v>8</v>
      </c>
      <c r="D108">
        <v>8</v>
      </c>
      <c r="E108">
        <v>5</v>
      </c>
      <c r="F108">
        <v>26069.8229844311</v>
      </c>
      <c r="G108">
        <v>17379.8819896207</v>
      </c>
      <c r="H108">
        <v>472530.004881104</v>
      </c>
      <c r="I108">
        <v>873175.356835511</v>
      </c>
      <c r="J108">
        <v>37.512037931585</v>
      </c>
      <c r="K108">
        <v>175</v>
      </c>
    </row>
    <row r="109" spans="1:11">
      <c r="A109">
        <v>108</v>
      </c>
      <c r="C109">
        <v>8</v>
      </c>
      <c r="D109">
        <v>9</v>
      </c>
      <c r="E109">
        <v>5</v>
      </c>
      <c r="F109">
        <v>26405.714098694</v>
      </c>
      <c r="G109">
        <v>17603.8093991293</v>
      </c>
      <c r="H109">
        <v>484409.725686147</v>
      </c>
      <c r="I109">
        <v>889903.12572888</v>
      </c>
      <c r="J109">
        <v>37.5505829508227</v>
      </c>
      <c r="K109">
        <v>177</v>
      </c>
    </row>
    <row r="110" spans="1:11">
      <c r="A110">
        <v>109</v>
      </c>
      <c r="C110">
        <v>8</v>
      </c>
      <c r="D110">
        <v>10</v>
      </c>
      <c r="E110">
        <v>5</v>
      </c>
      <c r="F110">
        <v>26742.2134069667</v>
      </c>
      <c r="G110">
        <v>17828.1422713111</v>
      </c>
      <c r="H110">
        <v>496512.167466769</v>
      </c>
      <c r="I110">
        <v>906819.150288173</v>
      </c>
      <c r="J110">
        <v>37.5895134202528</v>
      </c>
      <c r="K110">
        <v>178</v>
      </c>
    </row>
    <row r="111" spans="1:11">
      <c r="A111">
        <v>110</v>
      </c>
      <c r="C111">
        <v>8</v>
      </c>
      <c r="D111">
        <v>11</v>
      </c>
      <c r="E111">
        <v>5</v>
      </c>
      <c r="F111">
        <v>27079.3209092493</v>
      </c>
      <c r="G111">
        <v>18052.8806061662</v>
      </c>
      <c r="H111">
        <v>508840.728168413</v>
      </c>
      <c r="I111">
        <v>923924.615741295</v>
      </c>
      <c r="J111">
        <v>37.6288331943772</v>
      </c>
      <c r="K111">
        <v>180</v>
      </c>
    </row>
    <row r="112" spans="1:11">
      <c r="A112">
        <v>111</v>
      </c>
      <c r="C112">
        <v>8</v>
      </c>
      <c r="D112">
        <v>12</v>
      </c>
      <c r="E112">
        <v>5</v>
      </c>
      <c r="F112">
        <v>27417.0366055418</v>
      </c>
      <c r="G112">
        <v>18278.0244036945</v>
      </c>
      <c r="H112">
        <v>521398.846252701</v>
      </c>
      <c r="I112">
        <v>941220.710756804</v>
      </c>
      <c r="J112">
        <v>37.6685461662428</v>
      </c>
      <c r="K112">
        <v>181</v>
      </c>
    </row>
    <row r="113" spans="1:11">
      <c r="A113">
        <v>112</v>
      </c>
      <c r="C113">
        <v>8</v>
      </c>
      <c r="D113">
        <v>13</v>
      </c>
      <c r="E113">
        <v>5</v>
      </c>
      <c r="F113">
        <v>27755.3604958441</v>
      </c>
      <c r="G113">
        <v>18503.5736638961</v>
      </c>
      <c r="H113">
        <v>534190.001028219</v>
      </c>
      <c r="I113">
        <v>958708.627446248</v>
      </c>
      <c r="J113">
        <v>37.7086562678271</v>
      </c>
      <c r="K113">
        <v>183</v>
      </c>
    </row>
    <row r="114" spans="1:11">
      <c r="A114">
        <v>113</v>
      </c>
      <c r="C114">
        <v>8</v>
      </c>
      <c r="D114">
        <v>14</v>
      </c>
      <c r="E114">
        <v>5</v>
      </c>
      <c r="F114">
        <v>28094.2925801564</v>
      </c>
      <c r="G114">
        <v>18729.5283867709</v>
      </c>
      <c r="H114">
        <v>547217.712982964</v>
      </c>
      <c r="I114">
        <v>976389.561366485</v>
      </c>
      <c r="J114">
        <v>37.7491674704273</v>
      </c>
      <c r="K114">
        <v>184</v>
      </c>
    </row>
    <row r="115" spans="1:11">
      <c r="A115">
        <v>114</v>
      </c>
      <c r="C115">
        <v>8</v>
      </c>
      <c r="D115">
        <v>15</v>
      </c>
      <c r="E115">
        <v>5</v>
      </c>
      <c r="F115">
        <v>28433.8328584785</v>
      </c>
      <c r="G115">
        <v>18955.888572319</v>
      </c>
      <c r="H115">
        <v>560485.544118465</v>
      </c>
      <c r="I115">
        <v>994264.71152202</v>
      </c>
      <c r="J115">
        <v>37.7900837850534</v>
      </c>
      <c r="K115">
        <v>186</v>
      </c>
    </row>
    <row r="116" spans="1:11">
      <c r="A116">
        <v>115</v>
      </c>
      <c r="C116">
        <v>9</v>
      </c>
      <c r="D116">
        <v>1</v>
      </c>
      <c r="E116">
        <v>5</v>
      </c>
      <c r="F116">
        <v>28740.4179184727</v>
      </c>
      <c r="G116">
        <v>19160.2786123152</v>
      </c>
      <c r="H116">
        <v>572645.187392917</v>
      </c>
      <c r="I116">
        <v>1010558.92461012</v>
      </c>
      <c r="J116">
        <v>37.8314092628258</v>
      </c>
      <c r="K116">
        <v>187</v>
      </c>
    </row>
    <row r="117" spans="1:11">
      <c r="A117">
        <v>116</v>
      </c>
      <c r="C117">
        <v>9</v>
      </c>
      <c r="D117">
        <v>2</v>
      </c>
      <c r="E117">
        <v>5</v>
      </c>
      <c r="F117">
        <v>29019.142988657</v>
      </c>
      <c r="G117">
        <v>19346.0953257713</v>
      </c>
      <c r="H117">
        <v>583850.116220235</v>
      </c>
      <c r="I117">
        <v>1025502.4129998</v>
      </c>
      <c r="J117">
        <v>37.8731479953759</v>
      </c>
      <c r="K117">
        <v>188</v>
      </c>
    </row>
    <row r="118" spans="1:11">
      <c r="A118">
        <v>117</v>
      </c>
      <c r="C118">
        <v>9</v>
      </c>
      <c r="D118">
        <v>3</v>
      </c>
      <c r="E118">
        <v>5</v>
      </c>
      <c r="F118">
        <v>29298.3027137419</v>
      </c>
      <c r="G118">
        <v>19532.2018091613</v>
      </c>
      <c r="H118">
        <v>595222.457060331</v>
      </c>
      <c r="I118">
        <v>1040579.63637491</v>
      </c>
      <c r="J118">
        <v>37.9153041152516</v>
      </c>
      <c r="K118">
        <v>189</v>
      </c>
    </row>
    <row r="119" spans="1:11">
      <c r="A119">
        <v>118</v>
      </c>
      <c r="C119">
        <v>9</v>
      </c>
      <c r="D119">
        <v>4</v>
      </c>
      <c r="E119">
        <v>5</v>
      </c>
      <c r="F119">
        <v>29577.8970937274</v>
      </c>
      <c r="G119">
        <v>19718.5980624849</v>
      </c>
      <c r="H119">
        <v>606764.251379888</v>
      </c>
      <c r="I119">
        <v>1055791.28503891</v>
      </c>
      <c r="J119">
        <v>37.957881796326</v>
      </c>
      <c r="K119">
        <v>191</v>
      </c>
    </row>
    <row r="120" spans="1:11">
      <c r="A120">
        <v>119</v>
      </c>
      <c r="C120">
        <v>9</v>
      </c>
      <c r="D120">
        <v>5</v>
      </c>
      <c r="E120">
        <v>5</v>
      </c>
      <c r="F120">
        <v>29857.9261286135</v>
      </c>
      <c r="G120">
        <v>19905.2840857423</v>
      </c>
      <c r="H120">
        <v>618477.560118961</v>
      </c>
      <c r="I120">
        <v>1071138.0509984</v>
      </c>
      <c r="J120">
        <v>38.0008852542111</v>
      </c>
      <c r="K120">
        <v>192</v>
      </c>
    </row>
    <row r="121" spans="1:11">
      <c r="A121">
        <v>120</v>
      </c>
      <c r="C121">
        <v>9</v>
      </c>
      <c r="D121">
        <v>6</v>
      </c>
      <c r="E121">
        <v>5</v>
      </c>
      <c r="F121">
        <v>30138.3898184002</v>
      </c>
      <c r="G121">
        <v>20092.2598789335</v>
      </c>
      <c r="H121">
        <v>630364.463819801</v>
      </c>
      <c r="I121">
        <v>1086620.62796408</v>
      </c>
      <c r="J121">
        <v>38.0443187466751</v>
      </c>
      <c r="K121">
        <v>193</v>
      </c>
    </row>
    <row r="122" spans="1:11">
      <c r="A122">
        <v>121</v>
      </c>
      <c r="C122">
        <v>9</v>
      </c>
      <c r="D122">
        <v>7</v>
      </c>
      <c r="E122">
        <v>5</v>
      </c>
      <c r="F122">
        <v>30419.2881630876</v>
      </c>
      <c r="G122">
        <v>20279.5254420584</v>
      </c>
      <c r="H122">
        <v>642427.062756206</v>
      </c>
      <c r="I122">
        <v>1102239.71135184</v>
      </c>
      <c r="J122">
        <v>38.0881865740637</v>
      </c>
      <c r="K122">
        <v>194</v>
      </c>
    </row>
    <row r="123" spans="1:11">
      <c r="A123">
        <v>122</v>
      </c>
      <c r="C123">
        <v>9</v>
      </c>
      <c r="D123">
        <v>8</v>
      </c>
      <c r="E123">
        <v>5</v>
      </c>
      <c r="F123">
        <v>30700.6211626755</v>
      </c>
      <c r="G123">
        <v>20467.080775117</v>
      </c>
      <c r="H123">
        <v>654667.477063403</v>
      </c>
      <c r="I123">
        <v>1117995.99828374</v>
      </c>
      <c r="J123">
        <v>38.1324930797262</v>
      </c>
      <c r="K123">
        <v>196</v>
      </c>
    </row>
    <row r="124" spans="1:11">
      <c r="A124">
        <v>123</v>
      </c>
      <c r="C124">
        <v>9</v>
      </c>
      <c r="D124">
        <v>9</v>
      </c>
      <c r="E124">
        <v>5</v>
      </c>
      <c r="F124">
        <v>30982.3888171641</v>
      </c>
      <c r="G124">
        <v>20654.9258781094</v>
      </c>
      <c r="H124">
        <v>667087.846868461</v>
      </c>
      <c r="I124">
        <v>1133890.18758906</v>
      </c>
      <c r="J124">
        <v>38.1772426504453</v>
      </c>
      <c r="K124">
        <v>197</v>
      </c>
    </row>
    <row r="125" spans="1:11">
      <c r="A125">
        <v>124</v>
      </c>
      <c r="C125">
        <v>9</v>
      </c>
      <c r="D125">
        <v>10</v>
      </c>
      <c r="E125">
        <v>5</v>
      </c>
      <c r="F125">
        <v>31264.5911265532</v>
      </c>
      <c r="G125">
        <v>20843.0607510355</v>
      </c>
      <c r="H125">
        <v>679690.332421241</v>
      </c>
      <c r="I125">
        <v>1149922.97980537</v>
      </c>
      <c r="J125">
        <v>38.2224397168716</v>
      </c>
      <c r="K125">
        <v>198</v>
      </c>
    </row>
    <row r="126" spans="1:11">
      <c r="A126">
        <v>125</v>
      </c>
      <c r="C126">
        <v>9</v>
      </c>
      <c r="D126">
        <v>11</v>
      </c>
      <c r="E126">
        <v>5</v>
      </c>
      <c r="F126">
        <v>31547.228090843</v>
      </c>
      <c r="G126">
        <v>21031.4853938953</v>
      </c>
      <c r="H126">
        <v>692477.114225873</v>
      </c>
      <c r="I126">
        <v>1166095.07717948</v>
      </c>
      <c r="J126">
        <v>38.2680887539622</v>
      </c>
      <c r="K126">
        <v>199</v>
      </c>
    </row>
    <row r="127" spans="1:11">
      <c r="A127">
        <v>126</v>
      </c>
      <c r="C127">
        <v>9</v>
      </c>
      <c r="D127">
        <v>12</v>
      </c>
      <c r="E127">
        <v>5</v>
      </c>
      <c r="F127">
        <v>31830.2997100334</v>
      </c>
      <c r="G127">
        <v>21220.1998066889</v>
      </c>
      <c r="H127">
        <v>705450.39317277</v>
      </c>
      <c r="I127">
        <v>1182407.18366855</v>
      </c>
      <c r="J127">
        <v>38.3141942814237</v>
      </c>
      <c r="K127">
        <v>201</v>
      </c>
    </row>
    <row r="128" spans="1:11">
      <c r="A128">
        <v>127</v>
      </c>
      <c r="C128">
        <v>9</v>
      </c>
      <c r="D128">
        <v>13</v>
      </c>
      <c r="E128">
        <v>5</v>
      </c>
      <c r="F128">
        <v>32113.8059841244</v>
      </c>
      <c r="G128">
        <v>21409.2039894163</v>
      </c>
      <c r="H128">
        <v>718612.39067118</v>
      </c>
      <c r="I128">
        <v>1198860.00494108</v>
      </c>
      <c r="J128">
        <v>38.3607608641598</v>
      </c>
      <c r="K128">
        <v>202</v>
      </c>
    </row>
    <row r="129" spans="1:11">
      <c r="A129">
        <v>128</v>
      </c>
      <c r="C129">
        <v>9</v>
      </c>
      <c r="D129">
        <v>14</v>
      </c>
      <c r="E129">
        <v>5</v>
      </c>
      <c r="F129">
        <v>32397.746913116</v>
      </c>
      <c r="G129">
        <v>21598.4979420773</v>
      </c>
      <c r="H129">
        <v>731965.348782274</v>
      </c>
      <c r="I129">
        <v>1215454.24837794</v>
      </c>
      <c r="J129">
        <v>38.4077931127233</v>
      </c>
      <c r="K129">
        <v>203</v>
      </c>
    </row>
    <row r="130" spans="1:11">
      <c r="A130">
        <v>129</v>
      </c>
      <c r="C130">
        <v>9</v>
      </c>
      <c r="D130">
        <v>15</v>
      </c>
      <c r="E130">
        <v>5</v>
      </c>
      <c r="F130">
        <v>32682.1224970083</v>
      </c>
      <c r="G130">
        <v>21788.0816646722</v>
      </c>
      <c r="H130">
        <v>745511.530352768</v>
      </c>
      <c r="I130">
        <v>1232190.62307342</v>
      </c>
      <c r="J130">
        <v>38.4552956837724</v>
      </c>
      <c r="K130">
        <v>204</v>
      </c>
    </row>
    <row r="131" spans="1:11">
      <c r="A131">
        <v>130</v>
      </c>
      <c r="C131">
        <v>10</v>
      </c>
      <c r="D131">
        <v>1</v>
      </c>
      <c r="E131">
        <v>5</v>
      </c>
      <c r="F131">
        <v>32940.6217869384</v>
      </c>
      <c r="G131">
        <v>21960.4145246256</v>
      </c>
      <c r="H131">
        <v>757968.357025353</v>
      </c>
      <c r="I131">
        <v>1247521.37459489</v>
      </c>
      <c r="J131">
        <v>38.503273280532</v>
      </c>
      <c r="K131">
        <v>205</v>
      </c>
    </row>
    <row r="132" spans="1:11">
      <c r="A132">
        <v>131</v>
      </c>
      <c r="C132">
        <v>10</v>
      </c>
      <c r="D132">
        <v>2</v>
      </c>
      <c r="E132">
        <v>5</v>
      </c>
      <c r="F132">
        <v>33177.2551883882</v>
      </c>
      <c r="G132">
        <v>22118.1701255922</v>
      </c>
      <c r="H132">
        <v>769493.660291692</v>
      </c>
      <c r="I132">
        <v>1261656.44907191</v>
      </c>
      <c r="J132">
        <v>38.5517306532592</v>
      </c>
      <c r="K132">
        <v>206</v>
      </c>
    </row>
    <row r="133" spans="1:11">
      <c r="A133">
        <v>132</v>
      </c>
      <c r="C133">
        <v>10</v>
      </c>
      <c r="D133">
        <v>3</v>
      </c>
      <c r="E133">
        <v>5</v>
      </c>
      <c r="F133">
        <v>33414.2062027351</v>
      </c>
      <c r="G133">
        <v>22276.1374684901</v>
      </c>
      <c r="H133">
        <v>781156.424338479</v>
      </c>
      <c r="I133">
        <v>1275891.98519872</v>
      </c>
      <c r="J133">
        <v>38.6006725997136</v>
      </c>
      <c r="K133">
        <v>207</v>
      </c>
    </row>
    <row r="134" spans="1:11">
      <c r="A134">
        <v>133</v>
      </c>
      <c r="C134">
        <v>10</v>
      </c>
      <c r="D134">
        <v>4</v>
      </c>
      <c r="E134">
        <v>5</v>
      </c>
      <c r="F134">
        <v>33651.4748299792</v>
      </c>
      <c r="G134">
        <v>22434.3165533194</v>
      </c>
      <c r="H134">
        <v>792957.991118367</v>
      </c>
      <c r="I134">
        <v>1290228.40844806</v>
      </c>
      <c r="J134">
        <v>38.6501039656326</v>
      </c>
      <c r="K134">
        <v>209</v>
      </c>
    </row>
    <row r="135" spans="1:11">
      <c r="A135">
        <v>134</v>
      </c>
      <c r="C135">
        <v>10</v>
      </c>
      <c r="D135">
        <v>5</v>
      </c>
      <c r="E135">
        <v>5</v>
      </c>
      <c r="F135">
        <v>33889.0610701203</v>
      </c>
      <c r="G135">
        <v>22592.7073800802</v>
      </c>
      <c r="H135">
        <v>804899.71283569</v>
      </c>
      <c r="I135">
        <v>1304666.14518556</v>
      </c>
      <c r="J135">
        <v>38.7000296452108</v>
      </c>
      <c r="K135">
        <v>210</v>
      </c>
    </row>
    <row r="136" spans="1:11">
      <c r="A136">
        <v>135</v>
      </c>
      <c r="C136">
        <v>10</v>
      </c>
      <c r="D136">
        <v>6</v>
      </c>
      <c r="E136">
        <v>5</v>
      </c>
      <c r="F136">
        <v>34126.9649231585</v>
      </c>
      <c r="G136">
        <v>22751.3099487723</v>
      </c>
      <c r="H136">
        <v>816982.952001487</v>
      </c>
      <c r="I136">
        <v>1319205.62267016</v>
      </c>
      <c r="J136">
        <v>38.7504545815848</v>
      </c>
      <c r="K136">
        <v>211</v>
      </c>
    </row>
    <row r="137" spans="1:11">
      <c r="A137">
        <v>136</v>
      </c>
      <c r="C137">
        <v>10</v>
      </c>
      <c r="D137">
        <v>7</v>
      </c>
      <c r="E137">
        <v>5</v>
      </c>
      <c r="F137">
        <v>34365.1863890938</v>
      </c>
      <c r="G137">
        <v>22910.1242593959</v>
      </c>
      <c r="H137">
        <v>829209.081488704</v>
      </c>
      <c r="I137">
        <v>1333847.26905468</v>
      </c>
      <c r="J137">
        <v>38.8013837673225</v>
      </c>
      <c r="K137">
        <v>212</v>
      </c>
    </row>
    <row r="138" spans="1:11">
      <c r="A138">
        <v>137</v>
      </c>
      <c r="C138">
        <v>10</v>
      </c>
      <c r="D138">
        <v>8</v>
      </c>
      <c r="E138">
        <v>5</v>
      </c>
      <c r="F138">
        <v>34603.7254679262</v>
      </c>
      <c r="G138">
        <v>23069.1503119508</v>
      </c>
      <c r="H138">
        <v>841579.484587582</v>
      </c>
      <c r="I138">
        <v>1348591.51338622</v>
      </c>
      <c r="J138">
        <v>38.8528222449176</v>
      </c>
      <c r="K138">
        <v>213</v>
      </c>
    </row>
    <row r="139" spans="1:11">
      <c r="A139">
        <v>138</v>
      </c>
      <c r="C139">
        <v>10</v>
      </c>
      <c r="D139">
        <v>9</v>
      </c>
      <c r="E139">
        <v>5</v>
      </c>
      <c r="F139">
        <v>34842.5821596558</v>
      </c>
      <c r="G139">
        <v>23228.3881064372</v>
      </c>
      <c r="H139">
        <v>854095.555061231</v>
      </c>
      <c r="I139">
        <v>1363438.7856067</v>
      </c>
      <c r="J139">
        <v>38.9047751072887</v>
      </c>
      <c r="K139">
        <v>214</v>
      </c>
    </row>
    <row r="140" spans="1:11">
      <c r="A140">
        <v>139</v>
      </c>
      <c r="C140">
        <v>10</v>
      </c>
      <c r="D140">
        <v>10</v>
      </c>
      <c r="E140">
        <v>5</v>
      </c>
      <c r="F140">
        <v>35081.7564642824</v>
      </c>
      <c r="G140">
        <v>23387.8376428549</v>
      </c>
      <c r="H140">
        <v>866758.697201397</v>
      </c>
      <c r="I140">
        <v>1378389.51655333</v>
      </c>
      <c r="J140">
        <v>38.9572474982834</v>
      </c>
      <c r="K140">
        <v>215</v>
      </c>
    </row>
    <row r="141" spans="1:11">
      <c r="A141">
        <v>140</v>
      </c>
      <c r="C141">
        <v>10</v>
      </c>
      <c r="D141">
        <v>11</v>
      </c>
      <c r="E141">
        <v>5</v>
      </c>
      <c r="F141">
        <v>35321.2483818061</v>
      </c>
      <c r="G141">
        <v>23547.4989212041</v>
      </c>
      <c r="H141">
        <v>879570.325884402</v>
      </c>
      <c r="I141">
        <v>1393444.13795912</v>
      </c>
      <c r="J141">
        <v>39.0102446131881</v>
      </c>
      <c r="K141">
        <v>216</v>
      </c>
    </row>
    <row r="142" spans="1:11">
      <c r="A142">
        <v>141</v>
      </c>
      <c r="C142">
        <v>10</v>
      </c>
      <c r="D142">
        <v>12</v>
      </c>
      <c r="E142">
        <v>5</v>
      </c>
      <c r="F142">
        <v>35561.0579122269</v>
      </c>
      <c r="G142">
        <v>23707.3719414846</v>
      </c>
      <c r="H142">
        <v>892531.866627276</v>
      </c>
      <c r="I142">
        <v>1408603.08245331</v>
      </c>
      <c r="J142">
        <v>39.0637716992419</v>
      </c>
      <c r="K142">
        <v>217</v>
      </c>
    </row>
    <row r="143" spans="1:11">
      <c r="A143">
        <v>142</v>
      </c>
      <c r="C143">
        <v>10</v>
      </c>
      <c r="D143">
        <v>13</v>
      </c>
      <c r="E143">
        <v>5</v>
      </c>
      <c r="F143">
        <v>35801.1850555449</v>
      </c>
      <c r="G143">
        <v>23867.4567036966</v>
      </c>
      <c r="H143">
        <v>905644.755644088</v>
      </c>
      <c r="I143">
        <v>1423866.78356194</v>
      </c>
      <c r="J143">
        <v>39.1178340561562</v>
      </c>
      <c r="K143">
        <v>218</v>
      </c>
    </row>
    <row r="144" spans="1:11">
      <c r="A144">
        <v>143</v>
      </c>
      <c r="C144">
        <v>10</v>
      </c>
      <c r="D144">
        <v>14</v>
      </c>
      <c r="E144">
        <v>5</v>
      </c>
      <c r="F144">
        <v>36041.6298117599</v>
      </c>
      <c r="G144">
        <v>24027.7532078399</v>
      </c>
      <c r="H144">
        <v>918910.439902437</v>
      </c>
      <c r="I144">
        <v>1439235.67570825</v>
      </c>
      <c r="J144">
        <v>39.1724370366396</v>
      </c>
      <c r="K144">
        <v>219</v>
      </c>
    </row>
    <row r="145" spans="1:11">
      <c r="A145">
        <v>144</v>
      </c>
      <c r="C145">
        <v>10</v>
      </c>
      <c r="D145">
        <v>15</v>
      </c>
      <c r="E145">
        <v>5</v>
      </c>
      <c r="F145">
        <v>36282.392180872</v>
      </c>
      <c r="G145">
        <v>24188.2614539147</v>
      </c>
      <c r="H145">
        <v>932330.377180163</v>
      </c>
      <c r="I145">
        <v>1454710.19421322</v>
      </c>
      <c r="J145">
        <v>39.2275860469279</v>
      </c>
      <c r="K145">
        <v>220</v>
      </c>
    </row>
    <row r="146" spans="1:11">
      <c r="A146">
        <v>145</v>
      </c>
      <c r="C146">
        <v>11</v>
      </c>
      <c r="D146">
        <v>1</v>
      </c>
      <c r="E146">
        <v>5</v>
      </c>
      <c r="F146">
        <v>36502.9017574792</v>
      </c>
      <c r="G146">
        <v>24335.2678383195</v>
      </c>
      <c r="H146">
        <v>944736.740100976</v>
      </c>
      <c r="I146">
        <v>1468975.82144667</v>
      </c>
      <c r="J146">
        <v>39.283286547319</v>
      </c>
      <c r="K146">
        <v>221</v>
      </c>
    </row>
    <row r="147" spans="1:11">
      <c r="A147">
        <v>146</v>
      </c>
      <c r="C147">
        <v>11</v>
      </c>
      <c r="D147">
        <v>2</v>
      </c>
      <c r="E147">
        <v>5</v>
      </c>
      <c r="F147">
        <v>36706.3036658168</v>
      </c>
      <c r="G147">
        <v>24470.8691105446</v>
      </c>
      <c r="H147">
        <v>956281.237189549</v>
      </c>
      <c r="I147">
        <v>1482216.44272426</v>
      </c>
      <c r="J147">
        <v>39.3395440527141</v>
      </c>
      <c r="K147">
        <v>222</v>
      </c>
    </row>
    <row r="148" spans="1:11">
      <c r="A148">
        <v>147</v>
      </c>
      <c r="C148">
        <v>11</v>
      </c>
      <c r="D148">
        <v>3</v>
      </c>
      <c r="E148">
        <v>5</v>
      </c>
      <c r="F148">
        <v>36909.9434644092</v>
      </c>
      <c r="G148">
        <v>24606.6289762728</v>
      </c>
      <c r="H148">
        <v>967938.34373787</v>
      </c>
      <c r="I148">
        <v>1495533.98106693</v>
      </c>
      <c r="J148">
        <v>39.3963641331631</v>
      </c>
      <c r="K148">
        <v>223</v>
      </c>
    </row>
    <row r="149" spans="1:11">
      <c r="A149">
        <v>148</v>
      </c>
      <c r="C149">
        <v>11</v>
      </c>
      <c r="D149">
        <v>4</v>
      </c>
      <c r="E149">
        <v>5</v>
      </c>
      <c r="F149">
        <v>37113.8211532564</v>
      </c>
      <c r="G149">
        <v>24742.5474355043</v>
      </c>
      <c r="H149">
        <v>979708.960954924</v>
      </c>
      <c r="I149">
        <v>1508928.7098391</v>
      </c>
      <c r="J149">
        <v>39.4537524144166</v>
      </c>
      <c r="K149">
        <v>224</v>
      </c>
    </row>
    <row r="150" spans="1:11">
      <c r="A150">
        <v>149</v>
      </c>
      <c r="C150">
        <v>11</v>
      </c>
      <c r="D150">
        <v>5</v>
      </c>
      <c r="E150">
        <v>5</v>
      </c>
      <c r="F150">
        <v>37317.9367323583</v>
      </c>
      <c r="G150">
        <v>24878.6244882389</v>
      </c>
      <c r="H150">
        <v>991593.995702325</v>
      </c>
      <c r="I150">
        <v>1522400.90290121</v>
      </c>
      <c r="J150">
        <v>39.5117145784826</v>
      </c>
      <c r="K150">
        <v>225</v>
      </c>
    </row>
    <row r="151" spans="1:11">
      <c r="A151">
        <v>150</v>
      </c>
      <c r="C151">
        <v>11</v>
      </c>
      <c r="D151">
        <v>6</v>
      </c>
      <c r="E151">
        <v>5</v>
      </c>
      <c r="F151">
        <v>37522.290201715</v>
      </c>
      <c r="G151">
        <v>25014.8601344766</v>
      </c>
      <c r="H151">
        <v>1003594.36051948</v>
      </c>
      <c r="I151">
        <v>1535950.83460991</v>
      </c>
      <c r="J151">
        <v>39.5702563641893</v>
      </c>
      <c r="K151">
        <v>226</v>
      </c>
    </row>
    <row r="152" spans="1:11">
      <c r="A152">
        <v>151</v>
      </c>
      <c r="C152">
        <v>11</v>
      </c>
      <c r="D152">
        <v>7</v>
      </c>
      <c r="E152">
        <v>5</v>
      </c>
      <c r="F152">
        <v>37726.8815613264</v>
      </c>
      <c r="G152">
        <v>25151.2543742176</v>
      </c>
      <c r="H152">
        <v>1015710.9736488</v>
      </c>
      <c r="I152">
        <v>1549578.77981835</v>
      </c>
      <c r="J152">
        <v>39.6293835677531</v>
      </c>
      <c r="K152">
        <v>227</v>
      </c>
    </row>
    <row r="153" spans="1:11">
      <c r="A153">
        <v>152</v>
      </c>
      <c r="C153">
        <v>11</v>
      </c>
      <c r="D153">
        <v>8</v>
      </c>
      <c r="E153">
        <v>5</v>
      </c>
      <c r="F153">
        <v>37931.7108111926</v>
      </c>
      <c r="G153">
        <v>25287.8072074617</v>
      </c>
      <c r="H153">
        <v>1027944.75906103</v>
      </c>
      <c r="I153">
        <v>1563285.0138764</v>
      </c>
      <c r="J153">
        <v>39.6891020433525</v>
      </c>
      <c r="K153">
        <v>227</v>
      </c>
    </row>
    <row r="154" spans="1:11">
      <c r="A154">
        <v>153</v>
      </c>
      <c r="C154">
        <v>11</v>
      </c>
      <c r="D154">
        <v>9</v>
      </c>
      <c r="E154">
        <v>5</v>
      </c>
      <c r="F154">
        <v>38136.7779513135</v>
      </c>
      <c r="G154">
        <v>25424.518634209</v>
      </c>
      <c r="H154">
        <v>1040296.64648059</v>
      </c>
      <c r="I154">
        <v>1577069.8126309</v>
      </c>
      <c r="J154">
        <v>39.7494177037079</v>
      </c>
      <c r="K154">
        <v>228</v>
      </c>
    </row>
    <row r="155" spans="1:11">
      <c r="A155">
        <v>154</v>
      </c>
      <c r="C155">
        <v>11</v>
      </c>
      <c r="D155">
        <v>10</v>
      </c>
      <c r="E155">
        <v>5</v>
      </c>
      <c r="F155">
        <v>38342.0829816892</v>
      </c>
      <c r="G155">
        <v>25561.3886544594</v>
      </c>
      <c r="H155">
        <v>1052767.57141103</v>
      </c>
      <c r="I155">
        <v>1590933.45242592</v>
      </c>
      <c r="J155">
        <v>39.8103365206668</v>
      </c>
      <c r="K155">
        <v>229</v>
      </c>
    </row>
    <row r="156" spans="1:11">
      <c r="A156">
        <v>155</v>
      </c>
      <c r="C156">
        <v>11</v>
      </c>
      <c r="D156">
        <v>11</v>
      </c>
      <c r="E156">
        <v>5</v>
      </c>
      <c r="F156">
        <v>38547.6259023196</v>
      </c>
      <c r="G156">
        <v>25698.4172682131</v>
      </c>
      <c r="H156">
        <v>1065358.47516053</v>
      </c>
      <c r="I156">
        <v>1604876.210103</v>
      </c>
      <c r="J156">
        <v>39.8718645257953</v>
      </c>
      <c r="K156">
        <v>230</v>
      </c>
    </row>
    <row r="157" spans="1:11">
      <c r="A157">
        <v>156</v>
      </c>
      <c r="C157">
        <v>11</v>
      </c>
      <c r="D157">
        <v>12</v>
      </c>
      <c r="E157">
        <v>5</v>
      </c>
      <c r="F157">
        <v>38753.4067132048</v>
      </c>
      <c r="G157">
        <v>25835.6044754699</v>
      </c>
      <c r="H157">
        <v>1078070.3048675</v>
      </c>
      <c r="I157">
        <v>1618898.36300139</v>
      </c>
      <c r="J157">
        <v>39.9340078109752</v>
      </c>
      <c r="K157">
        <v>231</v>
      </c>
    </row>
    <row r="158" spans="1:11">
      <c r="A158">
        <v>157</v>
      </c>
      <c r="C158">
        <v>11</v>
      </c>
      <c r="D158">
        <v>13</v>
      </c>
      <c r="E158">
        <v>5</v>
      </c>
      <c r="F158">
        <v>38959.4254143447</v>
      </c>
      <c r="G158">
        <v>25972.9502762298</v>
      </c>
      <c r="H158">
        <v>1090904.01352621</v>
      </c>
      <c r="I158">
        <v>1633000.1889583</v>
      </c>
      <c r="J158">
        <v>39.9967725290068</v>
      </c>
      <c r="K158">
        <v>232</v>
      </c>
    </row>
    <row r="159" spans="1:11">
      <c r="A159">
        <v>158</v>
      </c>
      <c r="C159">
        <v>11</v>
      </c>
      <c r="D159">
        <v>14</v>
      </c>
      <c r="E159">
        <v>5</v>
      </c>
      <c r="F159">
        <v>39165.6820057394</v>
      </c>
      <c r="G159">
        <v>26110.454670493</v>
      </c>
      <c r="H159">
        <v>1103860.56001256</v>
      </c>
      <c r="I159">
        <v>1647181.96630916</v>
      </c>
      <c r="J159">
        <v>40.0601648942187</v>
      </c>
      <c r="K159">
        <v>233</v>
      </c>
    </row>
    <row r="160" spans="1:11">
      <c r="A160">
        <v>159</v>
      </c>
      <c r="C160">
        <v>11</v>
      </c>
      <c r="D160">
        <v>15</v>
      </c>
      <c r="E160">
        <v>5</v>
      </c>
      <c r="F160">
        <v>39372.1764873889</v>
      </c>
      <c r="G160">
        <v>26248.1176582593</v>
      </c>
      <c r="H160">
        <v>1116940.9091098</v>
      </c>
      <c r="I160">
        <v>1661443.97388784</v>
      </c>
      <c r="J160">
        <v>40.1241911830828</v>
      </c>
      <c r="K160">
        <v>234</v>
      </c>
    </row>
    <row r="161" spans="1:11">
      <c r="A161">
        <v>160</v>
      </c>
      <c r="C161">
        <v>12</v>
      </c>
      <c r="D161">
        <v>1</v>
      </c>
      <c r="E161">
        <v>5</v>
      </c>
      <c r="F161">
        <v>39562.8601773199</v>
      </c>
      <c r="G161">
        <v>26375.2401182132</v>
      </c>
      <c r="H161">
        <v>1129115.08125373</v>
      </c>
      <c r="I161">
        <v>1674690.4784511</v>
      </c>
      <c r="J161">
        <v>40.1888577348355</v>
      </c>
      <c r="K161">
        <v>235</v>
      </c>
    </row>
    <row r="162" spans="1:11">
      <c r="A162">
        <v>161</v>
      </c>
      <c r="C162">
        <v>12</v>
      </c>
      <c r="D162">
        <v>2</v>
      </c>
      <c r="E162">
        <v>5</v>
      </c>
      <c r="F162">
        <v>39740.192442493</v>
      </c>
      <c r="G162">
        <v>26493.4616283286</v>
      </c>
      <c r="H162">
        <v>1140522.16986367</v>
      </c>
      <c r="I162">
        <v>1687078.1380113</v>
      </c>
      <c r="J162">
        <v>40.2541709521057</v>
      </c>
      <c r="K162">
        <v>236</v>
      </c>
    </row>
    <row r="163" spans="1:11">
      <c r="A163">
        <v>162</v>
      </c>
      <c r="C163">
        <v>12</v>
      </c>
      <c r="D163">
        <v>3</v>
      </c>
      <c r="E163">
        <v>5</v>
      </c>
      <c r="F163">
        <v>39917.7076967437</v>
      </c>
      <c r="G163">
        <v>26611.8051311624</v>
      </c>
      <c r="H163">
        <v>1152022.39224362</v>
      </c>
      <c r="I163">
        <v>1699526.14481934</v>
      </c>
      <c r="J163">
        <v>40.3201373015486</v>
      </c>
      <c r="K163">
        <v>236</v>
      </c>
    </row>
    <row r="164" spans="1:11">
      <c r="A164">
        <v>163</v>
      </c>
      <c r="C164">
        <v>12</v>
      </c>
      <c r="D164">
        <v>4</v>
      </c>
      <c r="E164">
        <v>5</v>
      </c>
      <c r="F164">
        <v>40095.405940072</v>
      </c>
      <c r="G164">
        <v>26730.2706267147</v>
      </c>
      <c r="H164">
        <v>1163616.37353158</v>
      </c>
      <c r="I164">
        <v>1712034.68265956</v>
      </c>
      <c r="J164">
        <v>40.386763314486</v>
      </c>
      <c r="K164">
        <v>237</v>
      </c>
    </row>
    <row r="165" spans="1:11">
      <c r="A165">
        <v>164</v>
      </c>
      <c r="C165">
        <v>12</v>
      </c>
      <c r="D165">
        <v>5</v>
      </c>
      <c r="E165">
        <v>5</v>
      </c>
      <c r="F165">
        <v>40273.2871724779</v>
      </c>
      <c r="G165">
        <v>26848.8581149853</v>
      </c>
      <c r="H165">
        <v>1175304.74216067</v>
      </c>
      <c r="I165">
        <v>1724603.93560932</v>
      </c>
      <c r="J165">
        <v>40.4540555875527</v>
      </c>
      <c r="K165">
        <v>238</v>
      </c>
    </row>
    <row r="166" spans="1:11">
      <c r="A166">
        <v>165</v>
      </c>
      <c r="C166">
        <v>12</v>
      </c>
      <c r="D166">
        <v>6</v>
      </c>
      <c r="E166">
        <v>5</v>
      </c>
      <c r="F166">
        <v>40451.3513939615</v>
      </c>
      <c r="G166">
        <v>26967.5675959743</v>
      </c>
      <c r="H166">
        <v>1187088.12987151</v>
      </c>
      <c r="I166">
        <v>1737234.08803906</v>
      </c>
      <c r="J166">
        <v>40.5220207833501</v>
      </c>
      <c r="K166">
        <v>239</v>
      </c>
    </row>
    <row r="167" spans="1:11">
      <c r="A167">
        <v>166</v>
      </c>
      <c r="C167">
        <v>12</v>
      </c>
      <c r="D167">
        <v>7</v>
      </c>
      <c r="E167">
        <v>5</v>
      </c>
      <c r="F167">
        <v>40629.5986045227</v>
      </c>
      <c r="G167">
        <v>27086.3990696818</v>
      </c>
      <c r="H167">
        <v>1198967.1717247</v>
      </c>
      <c r="I167">
        <v>1749925.3246125</v>
      </c>
      <c r="J167">
        <v>40.5906656311055</v>
      </c>
      <c r="K167">
        <v>240</v>
      </c>
    </row>
    <row r="168" spans="1:11">
      <c r="A168">
        <v>167</v>
      </c>
      <c r="C168">
        <v>12</v>
      </c>
      <c r="D168">
        <v>8</v>
      </c>
      <c r="E168">
        <v>5</v>
      </c>
      <c r="F168">
        <v>40808.0288041614</v>
      </c>
      <c r="G168">
        <v>27205.3525361076</v>
      </c>
      <c r="H168">
        <v>1210942.50611328</v>
      </c>
      <c r="I168">
        <v>1762677.83028673</v>
      </c>
      <c r="J168">
        <v>40.6599969273384</v>
      </c>
      <c r="K168">
        <v>240</v>
      </c>
    </row>
    <row r="169" spans="1:11">
      <c r="A169">
        <v>168</v>
      </c>
      <c r="C169">
        <v>12</v>
      </c>
      <c r="D169">
        <v>9</v>
      </c>
      <c r="E169">
        <v>5</v>
      </c>
      <c r="F169">
        <v>40986.6419928778</v>
      </c>
      <c r="G169">
        <v>27324.4279952519</v>
      </c>
      <c r="H169">
        <v>1223014.77477528</v>
      </c>
      <c r="I169">
        <v>1775491.79031239</v>
      </c>
      <c r="J169">
        <v>40.7300215365336</v>
      </c>
      <c r="K169">
        <v>241</v>
      </c>
    </row>
    <row r="170" spans="1:11">
      <c r="A170">
        <v>169</v>
      </c>
      <c r="C170">
        <v>12</v>
      </c>
      <c r="D170">
        <v>10</v>
      </c>
      <c r="E170">
        <v>5</v>
      </c>
      <c r="F170">
        <v>41165.4381706718</v>
      </c>
      <c r="G170">
        <v>27443.6254471146</v>
      </c>
      <c r="H170">
        <v>1235184.6228062</v>
      </c>
      <c r="I170">
        <v>1788367.39023376</v>
      </c>
      <c r="J170">
        <v>40.8007463918208</v>
      </c>
      <c r="K170">
        <v>242</v>
      </c>
    </row>
    <row r="171" spans="1:11">
      <c r="A171">
        <v>170</v>
      </c>
      <c r="C171">
        <v>12</v>
      </c>
      <c r="D171">
        <v>11</v>
      </c>
      <c r="E171">
        <v>5</v>
      </c>
      <c r="F171">
        <v>41344.4173375434</v>
      </c>
      <c r="G171">
        <v>27562.9448916956</v>
      </c>
      <c r="H171">
        <v>1247452.69867163</v>
      </c>
      <c r="I171">
        <v>1801304.81588891</v>
      </c>
      <c r="J171">
        <v>40.8721784956609</v>
      </c>
      <c r="K171">
        <v>243</v>
      </c>
    </row>
    <row r="172" spans="1:11">
      <c r="A172">
        <v>171</v>
      </c>
      <c r="C172">
        <v>12</v>
      </c>
      <c r="D172">
        <v>12</v>
      </c>
      <c r="E172">
        <v>5</v>
      </c>
      <c r="F172">
        <v>41523.5794934927</v>
      </c>
      <c r="G172">
        <v>27682.3863289951</v>
      </c>
      <c r="H172">
        <v>1259819.65421983</v>
      </c>
      <c r="I172">
        <v>1814304.25340985</v>
      </c>
      <c r="J172">
        <v>40.9443249205394</v>
      </c>
      <c r="K172">
        <v>244</v>
      </c>
    </row>
    <row r="173" spans="1:11">
      <c r="A173">
        <v>172</v>
      </c>
      <c r="C173">
        <v>12</v>
      </c>
      <c r="D173">
        <v>13</v>
      </c>
      <c r="E173">
        <v>5</v>
      </c>
      <c r="F173">
        <v>41702.9246385195</v>
      </c>
      <c r="G173">
        <v>27801.949759013</v>
      </c>
      <c r="H173">
        <v>1272286.14469434</v>
      </c>
      <c r="I173">
        <v>1827365.88922263</v>
      </c>
      <c r="J173">
        <v>41.0171928096667</v>
      </c>
      <c r="K173">
        <v>245</v>
      </c>
    </row>
    <row r="174" spans="1:11">
      <c r="A174">
        <v>173</v>
      </c>
      <c r="C174">
        <v>12</v>
      </c>
      <c r="D174">
        <v>14</v>
      </c>
      <c r="E174">
        <v>5</v>
      </c>
      <c r="F174">
        <v>41882.452772624</v>
      </c>
      <c r="G174">
        <v>27921.6351817493</v>
      </c>
      <c r="H174">
        <v>1284852.8287467</v>
      </c>
      <c r="I174">
        <v>1840489.9100475</v>
      </c>
      <c r="J174">
        <v>41.0907893776852</v>
      </c>
      <c r="K174">
        <v>245</v>
      </c>
    </row>
    <row r="175" spans="1:11">
      <c r="A175">
        <v>174</v>
      </c>
      <c r="C175">
        <v>12</v>
      </c>
      <c r="D175">
        <v>15</v>
      </c>
      <c r="E175">
        <v>5</v>
      </c>
      <c r="F175">
        <v>42062.1638958061</v>
      </c>
      <c r="G175">
        <v>28041.442597204</v>
      </c>
      <c r="H175">
        <v>1297520.36844906</v>
      </c>
      <c r="I175">
        <v>1853676.50289907</v>
      </c>
      <c r="J175">
        <v>41.1651219113839</v>
      </c>
      <c r="K175">
        <v>246</v>
      </c>
    </row>
    <row r="176" spans="1:11">
      <c r="A176">
        <v>175</v>
      </c>
      <c r="C176">
        <v>13</v>
      </c>
      <c r="D176">
        <v>1</v>
      </c>
      <c r="E176">
        <v>5</v>
      </c>
      <c r="F176">
        <v>42229.5572459456</v>
      </c>
      <c r="G176">
        <v>28153.0381639637</v>
      </c>
      <c r="H176">
        <v>1309401.49905533</v>
      </c>
      <c r="I176">
        <v>1866024.64599777</v>
      </c>
      <c r="J176">
        <v>41.2401977704196</v>
      </c>
      <c r="K176">
        <v>247</v>
      </c>
    </row>
    <row r="177" spans="1:11">
      <c r="A177">
        <v>176</v>
      </c>
      <c r="C177">
        <v>13</v>
      </c>
      <c r="D177">
        <v>2</v>
      </c>
      <c r="E177">
        <v>5</v>
      </c>
      <c r="F177">
        <v>42386.5514896177</v>
      </c>
      <c r="G177">
        <v>28257.7009930785</v>
      </c>
      <c r="H177">
        <v>1320619.49238058</v>
      </c>
      <c r="I177">
        <v>1877665.20238618</v>
      </c>
      <c r="J177">
        <v>41.3160243880457</v>
      </c>
      <c r="K177">
        <v>248</v>
      </c>
    </row>
    <row r="178" spans="1:11">
      <c r="A178">
        <v>177</v>
      </c>
      <c r="C178">
        <v>13</v>
      </c>
      <c r="D178">
        <v>3</v>
      </c>
      <c r="E178">
        <v>5</v>
      </c>
      <c r="F178">
        <v>42543.6904662475</v>
      </c>
      <c r="G178">
        <v>28362.4603108317</v>
      </c>
      <c r="H178">
        <v>1331915.87274714</v>
      </c>
      <c r="I178">
        <v>1889354.44010575</v>
      </c>
      <c r="J178">
        <v>41.392609271848</v>
      </c>
      <c r="K178">
        <v>248</v>
      </c>
    </row>
    <row r="179" spans="1:11">
      <c r="A179">
        <v>178</v>
      </c>
      <c r="C179">
        <v>13</v>
      </c>
      <c r="D179">
        <v>4</v>
      </c>
      <c r="E179">
        <v>5</v>
      </c>
      <c r="F179">
        <v>42700.9741758349</v>
      </c>
      <c r="G179">
        <v>28467.3161172232</v>
      </c>
      <c r="H179">
        <v>1343291.09127087</v>
      </c>
      <c r="I179">
        <v>1901092.48870919</v>
      </c>
      <c r="J179">
        <v>41.4699600044884</v>
      </c>
      <c r="K179">
        <v>249</v>
      </c>
    </row>
    <row r="180" spans="1:11">
      <c r="A180">
        <v>179</v>
      </c>
      <c r="C180">
        <v>13</v>
      </c>
      <c r="D180">
        <v>5</v>
      </c>
      <c r="E180">
        <v>5</v>
      </c>
      <c r="F180">
        <v>42858.4026183798</v>
      </c>
      <c r="G180">
        <v>28572.2684122532</v>
      </c>
      <c r="H180">
        <v>1354745.60111033</v>
      </c>
      <c r="I180">
        <v>1912879.47793354</v>
      </c>
      <c r="J180">
        <v>41.5480842444551</v>
      </c>
      <c r="K180">
        <v>250</v>
      </c>
    </row>
    <row r="181" spans="1:11">
      <c r="A181">
        <v>180</v>
      </c>
      <c r="C181">
        <v>13</v>
      </c>
      <c r="D181">
        <v>6</v>
      </c>
      <c r="E181">
        <v>5</v>
      </c>
      <c r="F181">
        <v>43015.9757938824</v>
      </c>
      <c r="G181">
        <v>28677.3171959216</v>
      </c>
      <c r="H181">
        <v>1366279.85747347</v>
      </c>
      <c r="I181">
        <v>1924715.5377002</v>
      </c>
      <c r="J181">
        <v>41.6269897268215</v>
      </c>
      <c r="K181">
        <v>251</v>
      </c>
    </row>
    <row r="182" spans="1:11">
      <c r="A182">
        <v>181</v>
      </c>
      <c r="C182">
        <v>13</v>
      </c>
      <c r="D182">
        <v>7</v>
      </c>
      <c r="E182">
        <v>5</v>
      </c>
      <c r="F182">
        <v>43173.6937023426</v>
      </c>
      <c r="G182">
        <v>28782.4624682284</v>
      </c>
      <c r="H182">
        <v>1377894.31762429</v>
      </c>
      <c r="I182">
        <v>1936600.79811508</v>
      </c>
      <c r="J182">
        <v>41.7066842640116</v>
      </c>
      <c r="K182">
        <v>251</v>
      </c>
    </row>
    <row r="183" spans="1:11">
      <c r="A183">
        <v>182</v>
      </c>
      <c r="C183">
        <v>13</v>
      </c>
      <c r="D183">
        <v>8</v>
      </c>
      <c r="E183">
        <v>5</v>
      </c>
      <c r="F183">
        <v>43331.5563437603</v>
      </c>
      <c r="G183">
        <v>28887.7042291736</v>
      </c>
      <c r="H183">
        <v>1389589.4408895</v>
      </c>
      <c r="I183">
        <v>1948535.3894686</v>
      </c>
      <c r="J183">
        <v>41.7871757465736</v>
      </c>
      <c r="K183">
        <v>252</v>
      </c>
    </row>
    <row r="184" spans="1:11">
      <c r="A184">
        <v>183</v>
      </c>
      <c r="C184">
        <v>13</v>
      </c>
      <c r="D184">
        <v>9</v>
      </c>
      <c r="E184">
        <v>5</v>
      </c>
      <c r="F184">
        <v>43489.5637181357</v>
      </c>
      <c r="G184">
        <v>28993.0424787571</v>
      </c>
      <c r="H184">
        <v>1401365.68866524</v>
      </c>
      <c r="I184">
        <v>1960519.44223585</v>
      </c>
      <c r="J184">
        <v>41.8684721439612</v>
      </c>
      <c r="K184">
        <v>253</v>
      </c>
    </row>
    <row r="185" spans="1:11">
      <c r="A185">
        <v>184</v>
      </c>
      <c r="C185">
        <v>13</v>
      </c>
      <c r="D185">
        <v>10</v>
      </c>
      <c r="E185">
        <v>5</v>
      </c>
      <c r="F185">
        <v>43647.7158254687</v>
      </c>
      <c r="G185">
        <v>29098.4772169791</v>
      </c>
      <c r="H185">
        <v>1413223.5244238</v>
      </c>
      <c r="I185">
        <v>1972553.08707659</v>
      </c>
      <c r="J185">
        <v>41.9505815053227</v>
      </c>
      <c r="K185">
        <v>254</v>
      </c>
    </row>
    <row r="186" spans="1:11">
      <c r="A186">
        <v>185</v>
      </c>
      <c r="C186">
        <v>13</v>
      </c>
      <c r="D186">
        <v>11</v>
      </c>
      <c r="E186">
        <v>5</v>
      </c>
      <c r="F186">
        <v>43806.0126657592</v>
      </c>
      <c r="G186">
        <v>29204.0084438395</v>
      </c>
      <c r="H186">
        <v>1425163.41372032</v>
      </c>
      <c r="I186">
        <v>1984636.45483537</v>
      </c>
      <c r="J186">
        <v>42.0335119602978</v>
      </c>
      <c r="K186">
        <v>254</v>
      </c>
    </row>
    <row r="187" spans="1:11">
      <c r="A187">
        <v>186</v>
      </c>
      <c r="C187">
        <v>13</v>
      </c>
      <c r="D187">
        <v>12</v>
      </c>
      <c r="E187">
        <v>5</v>
      </c>
      <c r="F187">
        <v>43964.4542390074</v>
      </c>
      <c r="G187">
        <v>29309.6361593383</v>
      </c>
      <c r="H187">
        <v>1437185.82419955</v>
      </c>
      <c r="I187">
        <v>1996769.67654163</v>
      </c>
      <c r="J187">
        <v>42.1172717198226</v>
      </c>
      <c r="K187">
        <v>255</v>
      </c>
    </row>
    <row r="188" spans="1:11">
      <c r="A188">
        <v>187</v>
      </c>
      <c r="C188">
        <v>13</v>
      </c>
      <c r="D188">
        <v>13</v>
      </c>
      <c r="E188">
        <v>5</v>
      </c>
      <c r="F188">
        <v>44123.0405452132</v>
      </c>
      <c r="G188">
        <v>29415.3603634755</v>
      </c>
      <c r="H188">
        <v>1449291.22560258</v>
      </c>
      <c r="I188">
        <v>2008952.88340971</v>
      </c>
      <c r="J188">
        <v>42.2018690769427</v>
      </c>
      <c r="K188">
        <v>256</v>
      </c>
    </row>
    <row r="189" spans="1:11">
      <c r="A189">
        <v>188</v>
      </c>
      <c r="C189">
        <v>13</v>
      </c>
      <c r="D189">
        <v>14</v>
      </c>
      <c r="E189">
        <v>5</v>
      </c>
      <c r="F189">
        <v>44281.7715843766</v>
      </c>
      <c r="G189">
        <v>29521.181056251</v>
      </c>
      <c r="H189">
        <v>1461480.08977365</v>
      </c>
      <c r="I189">
        <v>2021186.206839</v>
      </c>
      <c r="J189">
        <v>42.287312407634</v>
      </c>
      <c r="K189">
        <v>257</v>
      </c>
    </row>
    <row r="190" spans="1:11">
      <c r="A190">
        <v>189</v>
      </c>
      <c r="C190">
        <v>13</v>
      </c>
      <c r="D190">
        <v>15</v>
      </c>
      <c r="E190">
        <v>5</v>
      </c>
      <c r="F190">
        <v>44440.6473564975</v>
      </c>
      <c r="G190">
        <v>29627.098237665</v>
      </c>
      <c r="H190">
        <v>1473752.89066686</v>
      </c>
      <c r="I190">
        <v>2033469.77841399</v>
      </c>
      <c r="J190">
        <v>42.3736101716322</v>
      </c>
      <c r="K190">
        <v>257</v>
      </c>
    </row>
    <row r="191" spans="1:11">
      <c r="A191">
        <v>190</v>
      </c>
      <c r="C191">
        <v>14</v>
      </c>
      <c r="D191">
        <v>1</v>
      </c>
      <c r="E191">
        <v>5</v>
      </c>
      <c r="F191">
        <v>44589.9423974624</v>
      </c>
      <c r="G191">
        <v>29726.628264975</v>
      </c>
      <c r="H191">
        <v>1485358.61627873</v>
      </c>
      <c r="I191">
        <v>2045070.07669524</v>
      </c>
      <c r="J191">
        <v>42.4607709132704</v>
      </c>
      <c r="K191">
        <v>258</v>
      </c>
    </row>
    <row r="192" spans="1:11">
      <c r="A192">
        <v>191</v>
      </c>
      <c r="C192">
        <v>14</v>
      </c>
      <c r="D192">
        <v>2</v>
      </c>
      <c r="E192">
        <v>5</v>
      </c>
      <c r="F192">
        <v>44731.1507991921</v>
      </c>
      <c r="G192">
        <v>29820.7671994614</v>
      </c>
      <c r="H192">
        <v>1496403.83683261</v>
      </c>
      <c r="I192">
        <v>2056094.86709971</v>
      </c>
      <c r="J192">
        <v>42.548803262325</v>
      </c>
      <c r="K192">
        <v>259</v>
      </c>
    </row>
    <row r="193" spans="1:11">
      <c r="A193">
        <v>192</v>
      </c>
      <c r="C193">
        <v>14</v>
      </c>
      <c r="D193">
        <v>3</v>
      </c>
      <c r="E193">
        <v>5</v>
      </c>
      <c r="F193">
        <v>44872.476946103</v>
      </c>
      <c r="G193">
        <v>29914.9846307354</v>
      </c>
      <c r="H193">
        <v>1507516.52441406</v>
      </c>
      <c r="I193">
        <v>2067160.09543407</v>
      </c>
      <c r="J193">
        <v>42.6377159348701</v>
      </c>
      <c r="K193">
        <v>260</v>
      </c>
    </row>
    <row r="194" spans="1:11">
      <c r="A194">
        <v>193</v>
      </c>
      <c r="C194">
        <v>14</v>
      </c>
      <c r="D194">
        <v>4</v>
      </c>
      <c r="E194">
        <v>5</v>
      </c>
      <c r="F194">
        <v>45013.9208381953</v>
      </c>
      <c r="G194">
        <v>30009.2805587969</v>
      </c>
      <c r="H194">
        <v>1518697.01896005</v>
      </c>
      <c r="I194">
        <v>2078265.85746423</v>
      </c>
      <c r="J194">
        <v>42.7275177341407</v>
      </c>
      <c r="K194">
        <v>260</v>
      </c>
    </row>
    <row r="195" spans="1:11">
      <c r="A195">
        <v>194</v>
      </c>
      <c r="C195">
        <v>14</v>
      </c>
      <c r="D195">
        <v>5</v>
      </c>
      <c r="E195">
        <v>5</v>
      </c>
      <c r="F195">
        <v>45155.4824754689</v>
      </c>
      <c r="G195">
        <v>30103.6549836459</v>
      </c>
      <c r="H195">
        <v>1529945.66175761</v>
      </c>
      <c r="I195">
        <v>2089412.24907948</v>
      </c>
      <c r="J195">
        <v>42.818217551404</v>
      </c>
      <c r="K195">
        <v>261</v>
      </c>
    </row>
    <row r="196" spans="1:11">
      <c r="A196">
        <v>195</v>
      </c>
      <c r="C196">
        <v>14</v>
      </c>
      <c r="D196">
        <v>6</v>
      </c>
      <c r="E196">
        <v>5</v>
      </c>
      <c r="F196">
        <v>45297.1618579237</v>
      </c>
      <c r="G196">
        <v>30198.1079052825</v>
      </c>
      <c r="H196">
        <v>1541262.7954477</v>
      </c>
      <c r="I196">
        <v>2100599.36629256</v>
      </c>
      <c r="J196">
        <v>42.9098243668399</v>
      </c>
      <c r="K196">
        <v>262</v>
      </c>
    </row>
    <row r="197" spans="1:11">
      <c r="A197">
        <v>196</v>
      </c>
      <c r="C197">
        <v>14</v>
      </c>
      <c r="D197">
        <v>7</v>
      </c>
      <c r="E197">
        <v>5</v>
      </c>
      <c r="F197">
        <v>45438.9589855599</v>
      </c>
      <c r="G197">
        <v>30292.6393237066</v>
      </c>
      <c r="H197">
        <v>1552648.7640291</v>
      </c>
      <c r="I197">
        <v>2111827.30523971</v>
      </c>
      <c r="J197">
        <v>43.0023472504301</v>
      </c>
      <c r="K197">
        <v>262</v>
      </c>
    </row>
    <row r="198" spans="1:11">
      <c r="A198">
        <v>197</v>
      </c>
      <c r="C198">
        <v>14</v>
      </c>
      <c r="D198">
        <v>8</v>
      </c>
      <c r="E198">
        <v>5</v>
      </c>
      <c r="F198">
        <v>45580.8738583774</v>
      </c>
      <c r="G198">
        <v>30387.2492389183</v>
      </c>
      <c r="H198">
        <v>1564103.91286231</v>
      </c>
      <c r="I198">
        <v>2123096.1621807</v>
      </c>
      <c r="J198">
        <v>43.0957953628563</v>
      </c>
      <c r="K198">
        <v>263</v>
      </c>
    </row>
    <row r="199" spans="1:11">
      <c r="A199">
        <v>198</v>
      </c>
      <c r="C199">
        <v>14</v>
      </c>
      <c r="D199">
        <v>9</v>
      </c>
      <c r="E199">
        <v>5</v>
      </c>
      <c r="F199">
        <v>45722.9064763762</v>
      </c>
      <c r="G199">
        <v>30481.9376509175</v>
      </c>
      <c r="H199">
        <v>1575628.58867343</v>
      </c>
      <c r="I199">
        <v>2134406.03349888</v>
      </c>
      <c r="J199">
        <v>43.1901779564067</v>
      </c>
      <c r="K199">
        <v>264</v>
      </c>
    </row>
    <row r="200" spans="1:11">
      <c r="A200">
        <v>199</v>
      </c>
      <c r="C200">
        <v>14</v>
      </c>
      <c r="D200">
        <v>10</v>
      </c>
      <c r="E200">
        <v>5</v>
      </c>
      <c r="F200">
        <v>45865.0568395563</v>
      </c>
      <c r="G200">
        <v>30576.7045597042</v>
      </c>
      <c r="H200">
        <v>1587223.13955809</v>
      </c>
      <c r="I200">
        <v>2145757.01570127</v>
      </c>
      <c r="J200">
        <v>43.2855043758927</v>
      </c>
      <c r="K200">
        <v>264</v>
      </c>
    </row>
    <row r="201" spans="1:11">
      <c r="A201">
        <v>200</v>
      </c>
      <c r="C201">
        <v>14</v>
      </c>
      <c r="D201">
        <v>11</v>
      </c>
      <c r="E201">
        <v>5</v>
      </c>
      <c r="F201">
        <v>46007.3249479177</v>
      </c>
      <c r="G201">
        <v>30671.5499652785</v>
      </c>
      <c r="H201">
        <v>1598887.91498532</v>
      </c>
      <c r="I201">
        <v>2157149.20541855</v>
      </c>
      <c r="J201">
        <v>43.3817840595735</v>
      </c>
      <c r="K201">
        <v>265</v>
      </c>
    </row>
    <row r="202" spans="1:11">
      <c r="A202">
        <v>201</v>
      </c>
      <c r="C202">
        <v>14</v>
      </c>
      <c r="D202">
        <v>12</v>
      </c>
      <c r="E202">
        <v>5</v>
      </c>
      <c r="F202">
        <v>46149.7108014604</v>
      </c>
      <c r="G202">
        <v>30766.4738676403</v>
      </c>
      <c r="H202">
        <v>1610623.26580153</v>
      </c>
      <c r="I202">
        <v>2168582.69940516</v>
      </c>
      <c r="J202">
        <v>43.4790265400911</v>
      </c>
      <c r="K202">
        <v>266</v>
      </c>
    </row>
    <row r="203" spans="1:11">
      <c r="A203">
        <v>202</v>
      </c>
      <c r="C203">
        <v>14</v>
      </c>
      <c r="D203">
        <v>13</v>
      </c>
      <c r="E203">
        <v>5</v>
      </c>
      <c r="F203">
        <v>46292.2144001844</v>
      </c>
      <c r="G203">
        <v>30861.4762667896</v>
      </c>
      <c r="H203">
        <v>1622429.54423439</v>
      </c>
      <c r="I203">
        <v>2180057.5945393</v>
      </c>
      <c r="J203">
        <v>43.5772414454138</v>
      </c>
      <c r="K203">
        <v>267</v>
      </c>
    </row>
    <row r="204" spans="1:11">
      <c r="A204">
        <v>203</v>
      </c>
      <c r="C204">
        <v>14</v>
      </c>
      <c r="D204">
        <v>14</v>
      </c>
      <c r="E204">
        <v>5</v>
      </c>
      <c r="F204">
        <v>46434.8357440898</v>
      </c>
      <c r="G204">
        <v>30956.5571627265</v>
      </c>
      <c r="H204">
        <v>1634307.10389677</v>
      </c>
      <c r="I204">
        <v>2191573.98782304</v>
      </c>
      <c r="J204">
        <v>43.6764384997899</v>
      </c>
      <c r="K204">
        <v>267</v>
      </c>
    </row>
    <row r="205" spans="1:11">
      <c r="A205">
        <v>204</v>
      </c>
      <c r="C205">
        <v>14</v>
      </c>
      <c r="D205">
        <v>15</v>
      </c>
      <c r="E205">
        <v>5</v>
      </c>
      <c r="F205">
        <v>46577.5748331764</v>
      </c>
      <c r="G205">
        <v>31051.7165554509</v>
      </c>
      <c r="H205">
        <v>1646256.29979071</v>
      </c>
      <c r="I205">
        <v>2203131.97638233</v>
      </c>
      <c r="J205">
        <v>43.7766275247096</v>
      </c>
      <c r="K205">
        <v>268</v>
      </c>
    </row>
    <row r="206" spans="1:11">
      <c r="A206">
        <v>205</v>
      </c>
      <c r="C206">
        <v>15</v>
      </c>
      <c r="D206">
        <v>1</v>
      </c>
      <c r="E206">
        <v>5</v>
      </c>
      <c r="F206">
        <v>46712.8718746922</v>
      </c>
      <c r="G206">
        <v>31141.9145831281</v>
      </c>
      <c r="H206">
        <v>1657649.79878015</v>
      </c>
      <c r="I206">
        <v>2214138.83140036</v>
      </c>
      <c r="J206">
        <v>43.8778184398786</v>
      </c>
      <c r="K206">
        <v>269</v>
      </c>
    </row>
    <row r="207" spans="1:11">
      <c r="A207">
        <v>206</v>
      </c>
      <c r="C207">
        <v>15</v>
      </c>
      <c r="D207">
        <v>2</v>
      </c>
      <c r="E207">
        <v>5</v>
      </c>
      <c r="F207">
        <v>46841.8886745646</v>
      </c>
      <c r="G207">
        <v>31227.9257830431</v>
      </c>
      <c r="H207">
        <v>1668578.05099321</v>
      </c>
      <c r="I207">
        <v>2224682.36762306</v>
      </c>
      <c r="J207">
        <v>43.9800212641992</v>
      </c>
      <c r="K207">
        <v>269</v>
      </c>
    </row>
    <row r="208" spans="1:11">
      <c r="A208">
        <v>207</v>
      </c>
      <c r="C208">
        <v>15</v>
      </c>
      <c r="D208">
        <v>3</v>
      </c>
      <c r="E208">
        <v>5</v>
      </c>
      <c r="F208">
        <v>46971.0039416786</v>
      </c>
      <c r="G208">
        <v>31314.0026277857</v>
      </c>
      <c r="H208">
        <v>1679565.81881905</v>
      </c>
      <c r="I208">
        <v>2235260.48838387</v>
      </c>
      <c r="J208">
        <v>44.0832461167631</v>
      </c>
      <c r="K208">
        <v>270</v>
      </c>
    </row>
    <row r="209" spans="1:11">
      <c r="A209">
        <v>208</v>
      </c>
      <c r="C209">
        <v>15</v>
      </c>
      <c r="D209">
        <v>4</v>
      </c>
      <c r="E209">
        <v>5</v>
      </c>
      <c r="F209">
        <v>47100.2176760343</v>
      </c>
      <c r="G209">
        <v>31400.1451173562</v>
      </c>
      <c r="H209">
        <v>1690613.36997241</v>
      </c>
      <c r="I209">
        <v>2245873.26779447</v>
      </c>
      <c r="J209">
        <v>44.1875032178526</v>
      </c>
      <c r="K209">
        <v>271</v>
      </c>
    </row>
    <row r="210" spans="1:11">
      <c r="A210">
        <v>209</v>
      </c>
      <c r="C210">
        <v>15</v>
      </c>
      <c r="D210">
        <v>5</v>
      </c>
      <c r="E210">
        <v>5</v>
      </c>
      <c r="F210">
        <v>47229.5298776316</v>
      </c>
      <c r="G210">
        <v>31486.3532517544</v>
      </c>
      <c r="H210">
        <v>1701720.97311869</v>
      </c>
      <c r="I210">
        <v>2256520.78005422</v>
      </c>
      <c r="J210">
        <v>44.292802889953</v>
      </c>
      <c r="K210">
        <v>271</v>
      </c>
    </row>
    <row r="211" spans="1:11">
      <c r="A211">
        <v>210</v>
      </c>
      <c r="C211">
        <v>15</v>
      </c>
      <c r="D211">
        <v>6</v>
      </c>
      <c r="E211">
        <v>5</v>
      </c>
      <c r="F211">
        <v>47358.9405464706</v>
      </c>
      <c r="G211">
        <v>31572.6270309804</v>
      </c>
      <c r="H211">
        <v>1712888.89787635</v>
      </c>
      <c r="I211">
        <v>2267203.09945018</v>
      </c>
      <c r="J211">
        <v>44.3991555587744</v>
      </c>
      <c r="K211">
        <v>272</v>
      </c>
    </row>
    <row r="212" spans="1:11">
      <c r="A212">
        <v>211</v>
      </c>
      <c r="C212">
        <v>15</v>
      </c>
      <c r="D212">
        <v>7</v>
      </c>
      <c r="E212">
        <v>5</v>
      </c>
      <c r="F212">
        <v>47488.4496825512</v>
      </c>
      <c r="G212">
        <v>31658.9664550341</v>
      </c>
      <c r="H212">
        <v>1724117.41481938</v>
      </c>
      <c r="I212">
        <v>2277920.30035716</v>
      </c>
      <c r="J212">
        <v>44.506571754284</v>
      </c>
      <c r="K212">
        <v>273</v>
      </c>
    </row>
    <row r="213" spans="1:11">
      <c r="A213">
        <v>212</v>
      </c>
      <c r="C213">
        <v>15</v>
      </c>
      <c r="D213">
        <v>8</v>
      </c>
      <c r="E213">
        <v>5</v>
      </c>
      <c r="F213">
        <v>47618.0572858735</v>
      </c>
      <c r="G213">
        <v>31745.3715239156</v>
      </c>
      <c r="H213">
        <v>1735406.79547979</v>
      </c>
      <c r="I213">
        <v>2288672.45723772</v>
      </c>
      <c r="J213">
        <v>44.6150621117487</v>
      </c>
      <c r="K213">
        <v>273</v>
      </c>
    </row>
    <row r="214" spans="1:11">
      <c r="A214">
        <v>213</v>
      </c>
      <c r="C214">
        <v>15</v>
      </c>
      <c r="D214">
        <v>9</v>
      </c>
      <c r="E214">
        <v>5</v>
      </c>
      <c r="F214">
        <v>47747.7633564374</v>
      </c>
      <c r="G214">
        <v>31831.8422376249</v>
      </c>
      <c r="H214">
        <v>1746757.31235003</v>
      </c>
      <c r="I214">
        <v>2299459.64464222</v>
      </c>
      <c r="J214">
        <v>44.7246373727881</v>
      </c>
      <c r="K214">
        <v>274</v>
      </c>
    </row>
    <row r="215" spans="1:11">
      <c r="A215">
        <v>214</v>
      </c>
      <c r="C215">
        <v>15</v>
      </c>
      <c r="D215">
        <v>10</v>
      </c>
      <c r="E215">
        <v>5</v>
      </c>
      <c r="F215">
        <v>47877.5678942429</v>
      </c>
      <c r="G215">
        <v>31918.3785961619</v>
      </c>
      <c r="H215">
        <v>1758169.23888546</v>
      </c>
      <c r="I215">
        <v>2310281.93720886</v>
      </c>
      <c r="J215">
        <v>44.8353083864378</v>
      </c>
      <c r="K215">
        <v>275</v>
      </c>
    </row>
    <row r="216" spans="1:11">
      <c r="A216">
        <v>215</v>
      </c>
      <c r="C216">
        <v>15</v>
      </c>
      <c r="D216">
        <v>11</v>
      </c>
      <c r="E216">
        <v>5</v>
      </c>
      <c r="F216">
        <v>48007.4708992901</v>
      </c>
      <c r="G216">
        <v>32004.9805995267</v>
      </c>
      <c r="H216">
        <v>1769642.84950686</v>
      </c>
      <c r="I216">
        <v>2321139.40966373</v>
      </c>
      <c r="J216">
        <v>44.9470861102241</v>
      </c>
      <c r="K216">
        <v>275</v>
      </c>
    </row>
    <row r="217" spans="1:11">
      <c r="A217">
        <v>216</v>
      </c>
      <c r="C217">
        <v>15</v>
      </c>
      <c r="D217">
        <v>12</v>
      </c>
      <c r="E217">
        <v>5</v>
      </c>
      <c r="F217">
        <v>48137.472371579</v>
      </c>
      <c r="G217">
        <v>32091.6482477193</v>
      </c>
      <c r="H217">
        <v>1781178.41960286</v>
      </c>
      <c r="I217">
        <v>2332032.1368208</v>
      </c>
      <c r="J217">
        <v>45.0599816112482</v>
      </c>
      <c r="K217">
        <v>276</v>
      </c>
    </row>
    <row r="218" spans="1:11">
      <c r="A218">
        <v>217</v>
      </c>
      <c r="C218">
        <v>15</v>
      </c>
      <c r="D218">
        <v>13</v>
      </c>
      <c r="E218">
        <v>5</v>
      </c>
      <c r="F218">
        <v>48267.5723111094</v>
      </c>
      <c r="G218">
        <v>32178.3815407396</v>
      </c>
      <c r="H218">
        <v>1792776.22553243</v>
      </c>
      <c r="I218">
        <v>2342960.19358197</v>
      </c>
      <c r="J218">
        <v>45.1740060672825</v>
      </c>
      <c r="K218">
        <v>277</v>
      </c>
    </row>
    <row r="219" spans="1:11">
      <c r="A219">
        <v>218</v>
      </c>
      <c r="C219">
        <v>15</v>
      </c>
      <c r="D219">
        <v>14</v>
      </c>
      <c r="E219">
        <v>5</v>
      </c>
      <c r="F219">
        <v>48397.7707178816</v>
      </c>
      <c r="G219">
        <v>32265.1804785877</v>
      </c>
      <c r="H219">
        <v>1804436.54462739</v>
      </c>
      <c r="I219">
        <v>2353923.65493714</v>
      </c>
      <c r="J219">
        <v>45.2891707678772</v>
      </c>
      <c r="K219">
        <v>278</v>
      </c>
    </row>
    <row r="220" spans="1:11">
      <c r="A220">
        <v>219</v>
      </c>
      <c r="C220">
        <v>15</v>
      </c>
      <c r="D220">
        <v>15</v>
      </c>
      <c r="E220">
        <v>5</v>
      </c>
      <c r="F220">
        <v>48528.0675918953</v>
      </c>
      <c r="G220">
        <v>32352.0450612636</v>
      </c>
      <c r="H220">
        <v>1816159.65519485</v>
      </c>
      <c r="I220">
        <v>2364922.59596417</v>
      </c>
      <c r="J220">
        <v>45.4054871154779</v>
      </c>
      <c r="K220">
        <v>278</v>
      </c>
    </row>
    <row r="221" spans="1:11">
      <c r="A221">
        <v>220</v>
      </c>
      <c r="C221">
        <v>16</v>
      </c>
      <c r="D221">
        <v>1</v>
      </c>
      <c r="E221">
        <v>5</v>
      </c>
      <c r="F221">
        <v>48652.5899000999</v>
      </c>
      <c r="G221">
        <v>32435.0599333999</v>
      </c>
      <c r="H221">
        <v>1827426.75878982</v>
      </c>
      <c r="I221">
        <v>2375480.7110152</v>
      </c>
      <c r="J221">
        <v>45.5229666265545</v>
      </c>
      <c r="K221">
        <v>279</v>
      </c>
    </row>
    <row r="222" spans="1:11">
      <c r="A222">
        <v>221</v>
      </c>
      <c r="C222">
        <v>16</v>
      </c>
      <c r="D222">
        <v>2</v>
      </c>
      <c r="E222">
        <v>5</v>
      </c>
      <c r="F222">
        <v>48772.2400821149</v>
      </c>
      <c r="G222">
        <v>32514.8267214099</v>
      </c>
      <c r="H222">
        <v>1838313.57172641</v>
      </c>
      <c r="I222">
        <v>2385668.99803778</v>
      </c>
      <c r="J222">
        <v>45.6416209327419</v>
      </c>
      <c r="K222">
        <v>280</v>
      </c>
    </row>
    <row r="223" spans="1:11">
      <c r="A223">
        <v>222</v>
      </c>
      <c r="C223">
        <v>16</v>
      </c>
      <c r="D223">
        <v>3</v>
      </c>
      <c r="E223">
        <v>5</v>
      </c>
      <c r="F223">
        <v>48891.9747897537</v>
      </c>
      <c r="G223">
        <v>32594.6498598358</v>
      </c>
      <c r="H223">
        <v>1849254.20604753</v>
      </c>
      <c r="I223">
        <v>2395887.69513312</v>
      </c>
      <c r="J223">
        <v>45.7614617819912</v>
      </c>
      <c r="K223">
        <v>280</v>
      </c>
    </row>
    <row r="224" spans="1:11">
      <c r="A224">
        <v>223</v>
      </c>
      <c r="C224">
        <v>16</v>
      </c>
      <c r="D224">
        <v>4</v>
      </c>
      <c r="E224">
        <v>5</v>
      </c>
      <c r="F224">
        <v>49011.7940230165</v>
      </c>
      <c r="G224">
        <v>32674.5293486776</v>
      </c>
      <c r="H224">
        <v>1860248.88176251</v>
      </c>
      <c r="I224">
        <v>2406136.86215929</v>
      </c>
      <c r="J224">
        <v>45.882501039733</v>
      </c>
      <c r="K224">
        <v>281</v>
      </c>
    </row>
    <row r="225" spans="1:11">
      <c r="A225">
        <v>224</v>
      </c>
      <c r="C225">
        <v>16</v>
      </c>
      <c r="D225">
        <v>5</v>
      </c>
      <c r="E225">
        <v>5</v>
      </c>
      <c r="F225">
        <v>49131.697781903</v>
      </c>
      <c r="G225">
        <v>32754.4651879353</v>
      </c>
      <c r="H225">
        <v>1871297.81959147</v>
      </c>
      <c r="I225">
        <v>2416416.55904013</v>
      </c>
      <c r="J225">
        <v>46.0047506900522</v>
      </c>
      <c r="K225">
        <v>281</v>
      </c>
    </row>
    <row r="226" spans="1:11">
      <c r="A226">
        <v>225</v>
      </c>
      <c r="C226">
        <v>16</v>
      </c>
      <c r="D226">
        <v>6</v>
      </c>
      <c r="E226">
        <v>5</v>
      </c>
      <c r="F226">
        <v>49251.6860664134</v>
      </c>
      <c r="G226">
        <v>32834.4573776089</v>
      </c>
      <c r="H226">
        <v>1882401.24096701</v>
      </c>
      <c r="I226">
        <v>2426726.84576534</v>
      </c>
      <c r="J226">
        <v>46.1282228368746</v>
      </c>
      <c r="K226">
        <v>282</v>
      </c>
    </row>
    <row r="227" spans="1:11">
      <c r="A227">
        <v>226</v>
      </c>
      <c r="C227">
        <v>16</v>
      </c>
      <c r="D227">
        <v>7</v>
      </c>
      <c r="E227">
        <v>5</v>
      </c>
      <c r="F227">
        <v>49371.7588765476</v>
      </c>
      <c r="G227">
        <v>32914.5059176984</v>
      </c>
      <c r="H227">
        <v>1893559.36803586</v>
      </c>
      <c r="I227">
        <v>2437067.78239048</v>
      </c>
      <c r="J227">
        <v>46.2529297051652</v>
      </c>
      <c r="K227">
        <v>283</v>
      </c>
    </row>
    <row r="228" spans="1:11">
      <c r="A228">
        <v>227</v>
      </c>
      <c r="C228">
        <v>16</v>
      </c>
      <c r="D228">
        <v>8</v>
      </c>
      <c r="E228">
        <v>5</v>
      </c>
      <c r="F228">
        <v>49491.9162123057</v>
      </c>
      <c r="G228">
        <v>32994.6108082038</v>
      </c>
      <c r="H228">
        <v>1904772.42366058</v>
      </c>
      <c r="I228">
        <v>2447439.42903698</v>
      </c>
      <c r="J228">
        <v>46.3788836421387</v>
      </c>
      <c r="K228">
        <v>283</v>
      </c>
    </row>
    <row r="229" spans="1:11">
      <c r="A229">
        <v>228</v>
      </c>
      <c r="C229">
        <v>16</v>
      </c>
      <c r="D229">
        <v>9</v>
      </c>
      <c r="E229">
        <v>5</v>
      </c>
      <c r="F229">
        <v>49612.1580736877</v>
      </c>
      <c r="G229">
        <v>33074.7720491251</v>
      </c>
      <c r="H229">
        <v>1916040.63142122</v>
      </c>
      <c r="I229">
        <v>2457841.84589219</v>
      </c>
      <c r="J229">
        <v>46.506097118482</v>
      </c>
      <c r="K229">
        <v>284</v>
      </c>
    </row>
    <row r="230" spans="1:11">
      <c r="A230">
        <v>229</v>
      </c>
      <c r="C230">
        <v>16</v>
      </c>
      <c r="D230">
        <v>10</v>
      </c>
      <c r="E230">
        <v>5</v>
      </c>
      <c r="F230">
        <v>49732.4844606935</v>
      </c>
      <c r="G230">
        <v>33154.9896404623</v>
      </c>
      <c r="H230">
        <v>1927364.21561704</v>
      </c>
      <c r="I230">
        <v>2468275.0932094</v>
      </c>
      <c r="J230">
        <v>46.6345827295887</v>
      </c>
      <c r="K230">
        <v>285</v>
      </c>
    </row>
    <row r="231" spans="1:11">
      <c r="A231">
        <v>230</v>
      </c>
      <c r="C231">
        <v>16</v>
      </c>
      <c r="D231">
        <v>11</v>
      </c>
      <c r="E231">
        <v>5</v>
      </c>
      <c r="F231">
        <v>49852.8953733231</v>
      </c>
      <c r="G231">
        <v>33235.2635822154</v>
      </c>
      <c r="H231">
        <v>1938743.40126813</v>
      </c>
      <c r="I231">
        <v>2478739.23130783</v>
      </c>
      <c r="J231">
        <v>46.7643531968064</v>
      </c>
      <c r="K231">
        <v>285</v>
      </c>
    </row>
    <row r="232" spans="1:11">
      <c r="A232">
        <v>231</v>
      </c>
      <c r="C232">
        <v>16</v>
      </c>
      <c r="D232">
        <v>12</v>
      </c>
      <c r="E232">
        <v>5</v>
      </c>
      <c r="F232">
        <v>49973.3908115766</v>
      </c>
      <c r="G232">
        <v>33315.5938743844</v>
      </c>
      <c r="H232">
        <v>1950178.41411716</v>
      </c>
      <c r="I232">
        <v>2489234.3205727</v>
      </c>
      <c r="J232">
        <v>46.8954213686964</v>
      </c>
      <c r="K232">
        <v>286</v>
      </c>
    </row>
    <row r="233" spans="1:11">
      <c r="A233">
        <v>232</v>
      </c>
      <c r="C233">
        <v>16</v>
      </c>
      <c r="D233">
        <v>13</v>
      </c>
      <c r="E233">
        <v>5</v>
      </c>
      <c r="F233">
        <v>50093.9707754539</v>
      </c>
      <c r="G233">
        <v>33395.9805169693</v>
      </c>
      <c r="H233">
        <v>1961669.48063103</v>
      </c>
      <c r="I233">
        <v>2499760.42145523</v>
      </c>
      <c r="J233">
        <v>47.0278002223052</v>
      </c>
      <c r="K233">
        <v>287</v>
      </c>
    </row>
    <row r="234" spans="1:11">
      <c r="A234">
        <v>233</v>
      </c>
      <c r="C234">
        <v>16</v>
      </c>
      <c r="D234">
        <v>14</v>
      </c>
      <c r="E234">
        <v>5</v>
      </c>
      <c r="F234">
        <v>50214.635264955</v>
      </c>
      <c r="G234">
        <v>33476.42350997</v>
      </c>
      <c r="H234">
        <v>1973216.82800258</v>
      </c>
      <c r="I234">
        <v>2510317.59447266</v>
      </c>
      <c r="J234">
        <v>47.1615028644501</v>
      </c>
      <c r="K234">
        <v>288</v>
      </c>
    </row>
    <row r="235" spans="1:11">
      <c r="A235">
        <v>234</v>
      </c>
      <c r="C235">
        <v>16</v>
      </c>
      <c r="D235">
        <v>15</v>
      </c>
      <c r="E235">
        <v>5</v>
      </c>
      <c r="F235">
        <v>50335.38428008</v>
      </c>
      <c r="G235">
        <v>33556.9228533867</v>
      </c>
      <c r="H235">
        <v>1984820.68415226</v>
      </c>
      <c r="I235">
        <v>2520905.90020828</v>
      </c>
      <c r="J235">
        <v>47.2965425330165</v>
      </c>
      <c r="K235">
        <v>288</v>
      </c>
    </row>
    <row r="236" spans="1:11">
      <c r="A236">
        <v>235</v>
      </c>
      <c r="C236">
        <v>17</v>
      </c>
      <c r="D236">
        <v>1</v>
      </c>
      <c r="E236">
        <v>5</v>
      </c>
      <c r="F236">
        <v>50451.6566347404</v>
      </c>
      <c r="G236">
        <v>33634.4377564936</v>
      </c>
      <c r="H236">
        <v>1996055.27130674</v>
      </c>
      <c r="I236">
        <v>2531144.1730032</v>
      </c>
      <c r="J236">
        <v>47.4329325982685</v>
      </c>
      <c r="K236">
        <v>289</v>
      </c>
    </row>
    <row r="237" spans="1:11">
      <c r="A237">
        <v>236</v>
      </c>
      <c r="C237">
        <v>17</v>
      </c>
      <c r="D237">
        <v>2</v>
      </c>
      <c r="E237">
        <v>5</v>
      </c>
      <c r="F237">
        <v>50564.1527501929</v>
      </c>
      <c r="G237">
        <v>33709.4351667952</v>
      </c>
      <c r="H237">
        <v>2006983.31497726</v>
      </c>
      <c r="I237">
        <v>2541089.47735712</v>
      </c>
      <c r="J237">
        <v>47.5706865641731</v>
      </c>
      <c r="K237">
        <v>290</v>
      </c>
    </row>
    <row r="238" spans="1:11">
      <c r="A238">
        <v>237</v>
      </c>
      <c r="C238">
        <v>17</v>
      </c>
      <c r="D238">
        <v>3</v>
      </c>
      <c r="E238">
        <v>5</v>
      </c>
      <c r="F238">
        <v>50676.7231884388</v>
      </c>
      <c r="G238">
        <v>33784.4821256259</v>
      </c>
      <c r="H238">
        <v>2017961.19053141</v>
      </c>
      <c r="I238">
        <v>2551062.20789098</v>
      </c>
      <c r="J238">
        <v>47.7098180697367</v>
      </c>
      <c r="K238">
        <v>290</v>
      </c>
    </row>
    <row r="239" spans="1:11">
      <c r="A239">
        <v>238</v>
      </c>
      <c r="C239">
        <v>17</v>
      </c>
      <c r="D239">
        <v>4</v>
      </c>
      <c r="E239">
        <v>5</v>
      </c>
      <c r="F239">
        <v>50789.3679494783</v>
      </c>
      <c r="G239">
        <v>33859.5786329855</v>
      </c>
      <c r="H239">
        <v>2028989.08602258</v>
      </c>
      <c r="I239">
        <v>2561062.41485282</v>
      </c>
      <c r="J239">
        <v>47.8503408903559</v>
      </c>
      <c r="K239">
        <v>291</v>
      </c>
    </row>
    <row r="240" spans="1:11">
      <c r="A240">
        <v>239</v>
      </c>
      <c r="C240">
        <v>17</v>
      </c>
      <c r="D240">
        <v>5</v>
      </c>
      <c r="E240">
        <v>5</v>
      </c>
      <c r="F240">
        <v>50902.0870333113</v>
      </c>
      <c r="G240">
        <v>33934.7246888742</v>
      </c>
      <c r="H240">
        <v>2040067.19006558</v>
      </c>
      <c r="I240">
        <v>2571090.14854254</v>
      </c>
      <c r="J240">
        <v>47.9922689391813</v>
      </c>
      <c r="K240">
        <v>291</v>
      </c>
    </row>
    <row r="241" spans="1:11">
      <c r="A241">
        <v>240</v>
      </c>
      <c r="C241">
        <v>17</v>
      </c>
      <c r="D241">
        <v>6</v>
      </c>
      <c r="E241">
        <v>5</v>
      </c>
      <c r="F241">
        <v>51014.8804399377</v>
      </c>
      <c r="G241">
        <v>34009.9202932918</v>
      </c>
      <c r="H241">
        <v>2051195.6918378</v>
      </c>
      <c r="I241">
        <v>2581145.459312</v>
      </c>
      <c r="J241">
        <v>48.135616268495</v>
      </c>
      <c r="K241">
        <v>292</v>
      </c>
    </row>
    <row r="242" spans="1:11">
      <c r="A242">
        <v>241</v>
      </c>
      <c r="C242">
        <v>17</v>
      </c>
      <c r="D242">
        <v>7</v>
      </c>
      <c r="E242">
        <v>5</v>
      </c>
      <c r="F242">
        <v>51127.7481693577</v>
      </c>
      <c r="G242">
        <v>34085.1654462384</v>
      </c>
      <c r="H242">
        <v>2062374.78108053</v>
      </c>
      <c r="I242">
        <v>2591228.397565</v>
      </c>
      <c r="J242">
        <v>48.2803970711018</v>
      </c>
      <c r="K242">
        <v>293</v>
      </c>
    </row>
    <row r="243" spans="1:11">
      <c r="A243">
        <v>242</v>
      </c>
      <c r="C243">
        <v>17</v>
      </c>
      <c r="D243">
        <v>8</v>
      </c>
      <c r="E243">
        <v>5</v>
      </c>
      <c r="F243">
        <v>51240.6902215711</v>
      </c>
      <c r="G243">
        <v>34160.4601477141</v>
      </c>
      <c r="H243">
        <v>2073604.64810008</v>
      </c>
      <c r="I243">
        <v>2601339.0137573</v>
      </c>
      <c r="J243">
        <v>48.4266256817347</v>
      </c>
      <c r="K243">
        <v>293</v>
      </c>
    </row>
    <row r="244" spans="1:11">
      <c r="A244">
        <v>243</v>
      </c>
      <c r="C244">
        <v>17</v>
      </c>
      <c r="D244">
        <v>9</v>
      </c>
      <c r="E244">
        <v>5</v>
      </c>
      <c r="F244">
        <v>51353.706596578</v>
      </c>
      <c r="G244">
        <v>34235.8043977187</v>
      </c>
      <c r="H244">
        <v>2084885.48376909</v>
      </c>
      <c r="I244">
        <v>2611477.35839663</v>
      </c>
      <c r="J244">
        <v>48.5743165784739</v>
      </c>
      <c r="K244">
        <v>294</v>
      </c>
    </row>
    <row r="245" spans="1:11">
      <c r="A245">
        <v>244</v>
      </c>
      <c r="C245">
        <v>17</v>
      </c>
      <c r="D245">
        <v>10</v>
      </c>
      <c r="E245">
        <v>5</v>
      </c>
      <c r="F245">
        <v>51466.7972943784</v>
      </c>
      <c r="G245">
        <v>34311.1981962523</v>
      </c>
      <c r="H245">
        <v>2096217.47952773</v>
      </c>
      <c r="I245">
        <v>2621643.48204274</v>
      </c>
      <c r="J245">
        <v>48.7234843841805</v>
      </c>
      <c r="K245">
        <v>295</v>
      </c>
    </row>
    <row r="246" spans="1:11">
      <c r="A246">
        <v>245</v>
      </c>
      <c r="C246">
        <v>17</v>
      </c>
      <c r="D246">
        <v>11</v>
      </c>
      <c r="E246">
        <v>5</v>
      </c>
      <c r="F246">
        <v>51579.9623149723</v>
      </c>
      <c r="G246">
        <v>34386.6415433149</v>
      </c>
      <c r="H246">
        <v>2107600.82738491</v>
      </c>
      <c r="I246">
        <v>2631837.4353074</v>
      </c>
      <c r="J246">
        <v>48.8741438679442</v>
      </c>
      <c r="K246">
        <v>295</v>
      </c>
    </row>
    <row r="247" spans="1:11">
      <c r="A247">
        <v>246</v>
      </c>
      <c r="C247">
        <v>17</v>
      </c>
      <c r="D247">
        <v>12</v>
      </c>
      <c r="E247">
        <v>5</v>
      </c>
      <c r="F247">
        <v>51693.2016583598</v>
      </c>
      <c r="G247">
        <v>34462.1344389065</v>
      </c>
      <c r="H247">
        <v>2119035.71991954</v>
      </c>
      <c r="I247">
        <v>2642059.2688544</v>
      </c>
      <c r="J247">
        <v>49.0263099465455</v>
      </c>
      <c r="K247">
        <v>296</v>
      </c>
    </row>
    <row r="248" spans="1:11">
      <c r="A248">
        <v>247</v>
      </c>
      <c r="C248">
        <v>17</v>
      </c>
      <c r="D248">
        <v>13</v>
      </c>
      <c r="E248">
        <v>5</v>
      </c>
      <c r="F248">
        <v>51806.5153245407</v>
      </c>
      <c r="G248">
        <v>34537.6768830271</v>
      </c>
      <c r="H248">
        <v>2130522.35028177</v>
      </c>
      <c r="I248">
        <v>2652309.03339959</v>
      </c>
      <c r="J248">
        <v>49.1799976859328</v>
      </c>
      <c r="K248">
        <v>297</v>
      </c>
    </row>
    <row r="249" spans="1:11">
      <c r="A249">
        <v>248</v>
      </c>
      <c r="C249">
        <v>17</v>
      </c>
      <c r="D249">
        <v>14</v>
      </c>
      <c r="E249">
        <v>5</v>
      </c>
      <c r="F249">
        <v>51919.9033135151</v>
      </c>
      <c r="G249">
        <v>34613.2688756767</v>
      </c>
      <c r="H249">
        <v>2142060.91219421</v>
      </c>
      <c r="I249">
        <v>2662586.77971091</v>
      </c>
      <c r="J249">
        <v>49.335222302714</v>
      </c>
      <c r="K249">
        <v>298</v>
      </c>
    </row>
    <row r="250" spans="1:11">
      <c r="A250">
        <v>249</v>
      </c>
      <c r="C250">
        <v>17</v>
      </c>
      <c r="D250">
        <v>15</v>
      </c>
      <c r="E250">
        <v>5</v>
      </c>
      <c r="F250">
        <v>52033.3656252829</v>
      </c>
      <c r="G250">
        <v>34688.9104168553</v>
      </c>
      <c r="H250">
        <v>2153651.59995315</v>
      </c>
      <c r="I250">
        <v>2672892.55860836</v>
      </c>
      <c r="J250">
        <v>49.491999165663</v>
      </c>
      <c r="K250">
        <v>298</v>
      </c>
    </row>
    <row r="251" spans="1:11">
      <c r="A251">
        <v>250</v>
      </c>
      <c r="C251">
        <v>18</v>
      </c>
      <c r="D251">
        <v>1</v>
      </c>
      <c r="E251">
        <v>5</v>
      </c>
      <c r="F251">
        <v>52143.3602361355</v>
      </c>
      <c r="G251">
        <v>34762.2401574237</v>
      </c>
      <c r="H251">
        <v>2164947.01594006</v>
      </c>
      <c r="I251">
        <v>2682922.27977204</v>
      </c>
      <c r="J251">
        <v>49.6503437972415</v>
      </c>
      <c r="K251">
        <v>299</v>
      </c>
    </row>
    <row r="252" spans="1:11">
      <c r="A252">
        <v>251</v>
      </c>
      <c r="C252">
        <v>18</v>
      </c>
      <c r="D252">
        <v>2</v>
      </c>
      <c r="E252">
        <v>5</v>
      </c>
      <c r="F252">
        <v>52250.4304815663</v>
      </c>
      <c r="G252">
        <v>34833.6203210442</v>
      </c>
      <c r="H252">
        <v>2175998.7140497</v>
      </c>
      <c r="I252">
        <v>2692721.60592807</v>
      </c>
      <c r="J252">
        <v>49.8102718751358</v>
      </c>
      <c r="K252">
        <v>300</v>
      </c>
    </row>
    <row r="253" spans="1:11">
      <c r="A253">
        <v>252</v>
      </c>
      <c r="C253">
        <v>18</v>
      </c>
      <c r="D253">
        <v>3</v>
      </c>
      <c r="E253">
        <v>5</v>
      </c>
      <c r="F253">
        <v>52357.5674994267</v>
      </c>
      <c r="G253">
        <v>34905.0449996178</v>
      </c>
      <c r="H253">
        <v>2187097.54412049</v>
      </c>
      <c r="I253">
        <v>2702546.22836956</v>
      </c>
      <c r="J253">
        <v>49.9717992338091</v>
      </c>
      <c r="K253">
        <v>300</v>
      </c>
    </row>
    <row r="254" spans="1:11">
      <c r="A254">
        <v>253</v>
      </c>
      <c r="C254">
        <v>18</v>
      </c>
      <c r="D254">
        <v>4</v>
      </c>
      <c r="E254">
        <v>5</v>
      </c>
      <c r="F254">
        <v>52464.7712897167</v>
      </c>
      <c r="G254">
        <v>34976.5141931444</v>
      </c>
      <c r="H254">
        <v>2198243.67261002</v>
      </c>
      <c r="I254">
        <v>2712396.19073116</v>
      </c>
      <c r="J254">
        <v>50.134941866069</v>
      </c>
      <c r="K254">
        <v>301</v>
      </c>
    </row>
    <row r="255" spans="1:11">
      <c r="A255">
        <v>254</v>
      </c>
      <c r="C255">
        <v>18</v>
      </c>
      <c r="D255">
        <v>5</v>
      </c>
      <c r="E255">
        <v>5</v>
      </c>
      <c r="F255">
        <v>52572.0418524363</v>
      </c>
      <c r="G255">
        <v>35048.0279016242</v>
      </c>
      <c r="H255">
        <v>2209437.26644121</v>
      </c>
      <c r="I255">
        <v>2722271.5366903</v>
      </c>
      <c r="J255">
        <v>50.2997159246516</v>
      </c>
      <c r="K255">
        <v>302</v>
      </c>
    </row>
    <row r="256" spans="1:11">
      <c r="A256">
        <v>255</v>
      </c>
      <c r="C256">
        <v>18</v>
      </c>
      <c r="D256">
        <v>6</v>
      </c>
      <c r="E256">
        <v>5</v>
      </c>
      <c r="F256">
        <v>52679.3791875856</v>
      </c>
      <c r="G256">
        <v>35119.586125057</v>
      </c>
      <c r="H256">
        <v>2220678.49300333</v>
      </c>
      <c r="I256">
        <v>2732172.30996716</v>
      </c>
      <c r="J256">
        <v>50.46613772382</v>
      </c>
      <c r="K256">
        <v>302</v>
      </c>
    </row>
    <row r="257" spans="1:11">
      <c r="A257">
        <v>256</v>
      </c>
      <c r="C257">
        <v>18</v>
      </c>
      <c r="D257">
        <v>7</v>
      </c>
      <c r="E257">
        <v>5</v>
      </c>
      <c r="F257">
        <v>52786.7832951645</v>
      </c>
      <c r="G257">
        <v>35191.188863443</v>
      </c>
      <c r="H257">
        <v>2231967.5201529</v>
      </c>
      <c r="I257">
        <v>2742098.55432471</v>
      </c>
      <c r="J257">
        <v>50.63422374098</v>
      </c>
      <c r="K257">
        <v>303</v>
      </c>
    </row>
    <row r="258" spans="1:11">
      <c r="A258">
        <v>257</v>
      </c>
      <c r="C258">
        <v>18</v>
      </c>
      <c r="D258">
        <v>8</v>
      </c>
      <c r="E258">
        <v>5</v>
      </c>
      <c r="F258">
        <v>52894.254175173</v>
      </c>
      <c r="G258">
        <v>35262.836116782</v>
      </c>
      <c r="H258">
        <v>2243304.51621467</v>
      </c>
      <c r="I258">
        <v>2752050.31356875</v>
      </c>
      <c r="J258">
        <v>50.8039906183117</v>
      </c>
      <c r="K258">
        <v>304</v>
      </c>
    </row>
    <row r="259" spans="1:11">
      <c r="A259">
        <v>258</v>
      </c>
      <c r="C259">
        <v>18</v>
      </c>
      <c r="D259">
        <v>9</v>
      </c>
      <c r="E259">
        <v>5</v>
      </c>
      <c r="F259">
        <v>53001.7918276112</v>
      </c>
      <c r="G259">
        <v>35334.5278850741</v>
      </c>
      <c r="H259">
        <v>2254689.64998256</v>
      </c>
      <c r="I259">
        <v>2762027.63154784</v>
      </c>
      <c r="J259">
        <v>50.9754551644167</v>
      </c>
      <c r="K259">
        <v>304</v>
      </c>
    </row>
    <row r="260" spans="1:11">
      <c r="A260">
        <v>259</v>
      </c>
      <c r="C260">
        <v>18</v>
      </c>
      <c r="D260">
        <v>10</v>
      </c>
      <c r="E260">
        <v>5</v>
      </c>
      <c r="F260">
        <v>53109.396252479</v>
      </c>
      <c r="G260">
        <v>35406.2641683193</v>
      </c>
      <c r="H260">
        <v>2266123.09072064</v>
      </c>
      <c r="I260">
        <v>2772030.55215342</v>
      </c>
      <c r="J260">
        <v>51.1486343559827</v>
      </c>
      <c r="K260">
        <v>305</v>
      </c>
    </row>
    <row r="261" spans="1:11">
      <c r="A261">
        <v>260</v>
      </c>
      <c r="C261">
        <v>18</v>
      </c>
      <c r="D261">
        <v>11</v>
      </c>
      <c r="E261">
        <v>5</v>
      </c>
      <c r="F261">
        <v>53217.0674497764</v>
      </c>
      <c r="G261">
        <v>35478.0449665176</v>
      </c>
      <c r="H261">
        <v>2277605.00816405</v>
      </c>
      <c r="I261">
        <v>2782059.11931975</v>
      </c>
      <c r="J261">
        <v>51.3235453394644</v>
      </c>
      <c r="K261">
        <v>306</v>
      </c>
    </row>
    <row r="262" spans="1:11">
      <c r="A262">
        <v>261</v>
      </c>
      <c r="C262">
        <v>18</v>
      </c>
      <c r="D262">
        <v>12</v>
      </c>
      <c r="E262">
        <v>5</v>
      </c>
      <c r="F262">
        <v>53324.8054195034</v>
      </c>
      <c r="G262">
        <v>35549.870279669</v>
      </c>
      <c r="H262">
        <v>2289135.57251998</v>
      </c>
      <c r="I262">
        <v>2792113.37702394</v>
      </c>
      <c r="J262">
        <v>51.5002054327809</v>
      </c>
      <c r="K262">
        <v>306</v>
      </c>
    </row>
    <row r="263" spans="1:11">
      <c r="A263">
        <v>262</v>
      </c>
      <c r="C263">
        <v>18</v>
      </c>
      <c r="D263">
        <v>13</v>
      </c>
      <c r="E263">
        <v>5</v>
      </c>
      <c r="F263">
        <v>53432.6101616601</v>
      </c>
      <c r="G263">
        <v>35621.7401077734</v>
      </c>
      <c r="H263">
        <v>2300714.95446865</v>
      </c>
      <c r="I263">
        <v>2802193.369286</v>
      </c>
      <c r="J263">
        <v>51.6786321270306</v>
      </c>
      <c r="K263">
        <v>307</v>
      </c>
    </row>
    <row r="264" spans="1:11">
      <c r="A264">
        <v>263</v>
      </c>
      <c r="C264">
        <v>18</v>
      </c>
      <c r="D264">
        <v>14</v>
      </c>
      <c r="E264">
        <v>5</v>
      </c>
      <c r="F264">
        <v>53540.4816762464</v>
      </c>
      <c r="G264">
        <v>35693.654450831</v>
      </c>
      <c r="H264">
        <v>2312343.32516421</v>
      </c>
      <c r="I264">
        <v>2812299.14016879</v>
      </c>
      <c r="J264">
        <v>51.8588430882228</v>
      </c>
      <c r="K264">
        <v>308</v>
      </c>
    </row>
    <row r="265" spans="1:11">
      <c r="A265">
        <v>264</v>
      </c>
      <c r="C265">
        <v>18</v>
      </c>
      <c r="D265">
        <v>15</v>
      </c>
      <c r="E265">
        <v>5</v>
      </c>
      <c r="F265">
        <v>53648.4199632624</v>
      </c>
      <c r="G265">
        <v>35765.6133088416</v>
      </c>
      <c r="H265">
        <v>2324020.85623578</v>
      </c>
      <c r="I265">
        <v>2822430.73377811</v>
      </c>
      <c r="J265">
        <v>52.0408561590269</v>
      </c>
      <c r="K265">
        <v>308</v>
      </c>
    </row>
    <row r="266" spans="1:11">
      <c r="A266">
        <v>265</v>
      </c>
      <c r="C266">
        <v>19</v>
      </c>
      <c r="D266">
        <v>1</v>
      </c>
      <c r="E266">
        <v>5</v>
      </c>
      <c r="F266">
        <v>53753.6741704127</v>
      </c>
      <c r="G266">
        <v>35835.7827802752</v>
      </c>
      <c r="H266">
        <v>2335465.37458556</v>
      </c>
      <c r="I266">
        <v>2832346.09955202</v>
      </c>
      <c r="J266">
        <v>52.224689360539</v>
      </c>
      <c r="K266">
        <v>309</v>
      </c>
    </row>
    <row r="267" spans="1:11">
      <c r="A267">
        <v>266</v>
      </c>
      <c r="C267">
        <v>19</v>
      </c>
      <c r="D267">
        <v>2</v>
      </c>
      <c r="E267">
        <v>5</v>
      </c>
      <c r="F267">
        <v>53856.6656461533</v>
      </c>
      <c r="G267">
        <v>35904.4437641022</v>
      </c>
      <c r="H267">
        <v>2346718.99723995</v>
      </c>
      <c r="I267">
        <v>2842081.65517013</v>
      </c>
      <c r="J267">
        <v>52.4103608940663</v>
      </c>
      <c r="K267">
        <v>310</v>
      </c>
    </row>
    <row r="268" spans="1:11">
      <c r="A268">
        <v>267</v>
      </c>
      <c r="C268">
        <v>19</v>
      </c>
      <c r="D268">
        <v>3</v>
      </c>
      <c r="E268">
        <v>5</v>
      </c>
      <c r="F268">
        <v>53959.718249371</v>
      </c>
      <c r="G268">
        <v>35973.1454995807</v>
      </c>
      <c r="H268">
        <v>2358018.03420821</v>
      </c>
      <c r="I268">
        <v>2851840.99737294</v>
      </c>
      <c r="J268">
        <v>52.5978891429288</v>
      </c>
      <c r="K268">
        <v>310</v>
      </c>
    </row>
    <row r="269" spans="1:11">
      <c r="A269">
        <v>268</v>
      </c>
      <c r="C269">
        <v>19</v>
      </c>
      <c r="D269">
        <v>4</v>
      </c>
      <c r="E269">
        <v>5</v>
      </c>
      <c r="F269">
        <v>54062.8319800657</v>
      </c>
      <c r="G269">
        <v>36041.8879867105</v>
      </c>
      <c r="H269">
        <v>2369362.6373402</v>
      </c>
      <c r="I269">
        <v>2861624.16516861</v>
      </c>
      <c r="J269">
        <v>52.78729267428</v>
      </c>
      <c r="K269">
        <v>311</v>
      </c>
    </row>
    <row r="270" spans="1:11">
      <c r="A270">
        <v>269</v>
      </c>
      <c r="C270">
        <v>19</v>
      </c>
      <c r="D270">
        <v>5</v>
      </c>
      <c r="E270">
        <v>5</v>
      </c>
      <c r="F270">
        <v>54166.0068382375</v>
      </c>
      <c r="G270">
        <v>36110.6712254916</v>
      </c>
      <c r="H270">
        <v>2380752.95888789</v>
      </c>
      <c r="I270">
        <v>2871431.19760187</v>
      </c>
      <c r="J270">
        <v>52.9785902409446</v>
      </c>
      <c r="K270">
        <v>312</v>
      </c>
    </row>
    <row r="271" spans="1:11">
      <c r="A271">
        <v>270</v>
      </c>
      <c r="C271">
        <v>19</v>
      </c>
      <c r="D271">
        <v>6</v>
      </c>
      <c r="E271">
        <v>5</v>
      </c>
      <c r="F271">
        <v>54269.2428238863</v>
      </c>
      <c r="G271">
        <v>36179.4952159242</v>
      </c>
      <c r="H271">
        <v>2392189.15150611</v>
      </c>
      <c r="I271">
        <v>2881262.13375399</v>
      </c>
      <c r="J271">
        <v>53.1718007832759</v>
      </c>
      <c r="K271">
        <v>312</v>
      </c>
    </row>
    <row r="272" spans="1:11">
      <c r="A272">
        <v>271</v>
      </c>
      <c r="C272">
        <v>19</v>
      </c>
      <c r="D272">
        <v>7</v>
      </c>
      <c r="E272">
        <v>5</v>
      </c>
      <c r="F272">
        <v>54372.5399370121</v>
      </c>
      <c r="G272">
        <v>36248.3599580081</v>
      </c>
      <c r="H272">
        <v>2403671.36825338</v>
      </c>
      <c r="I272">
        <v>2891117.01274283</v>
      </c>
      <c r="J272">
        <v>53.3669434310306</v>
      </c>
      <c r="K272">
        <v>313</v>
      </c>
    </row>
    <row r="273" spans="1:11">
      <c r="A273">
        <v>272</v>
      </c>
      <c r="C273">
        <v>19</v>
      </c>
      <c r="D273">
        <v>8</v>
      </c>
      <c r="E273">
        <v>5</v>
      </c>
      <c r="F273">
        <v>54475.898177615</v>
      </c>
      <c r="G273">
        <v>36317.2654517434</v>
      </c>
      <c r="H273">
        <v>2415199.76259264</v>
      </c>
      <c r="I273">
        <v>2900995.87372283</v>
      </c>
      <c r="J273">
        <v>53.5640375052627</v>
      </c>
      <c r="K273">
        <v>314</v>
      </c>
    </row>
    <row r="274" spans="1:11">
      <c r="A274">
        <v>273</v>
      </c>
      <c r="C274">
        <v>19</v>
      </c>
      <c r="D274">
        <v>9</v>
      </c>
      <c r="E274">
        <v>5</v>
      </c>
      <c r="F274">
        <v>54579.317545695</v>
      </c>
      <c r="G274">
        <v>36386.21169713</v>
      </c>
      <c r="H274">
        <v>2426774.48839207</v>
      </c>
      <c r="I274">
        <v>2910898.75588501</v>
      </c>
      <c r="J274">
        <v>53.7631025202372</v>
      </c>
      <c r="K274">
        <v>314</v>
      </c>
    </row>
    <row r="275" spans="1:11">
      <c r="A275">
        <v>274</v>
      </c>
      <c r="C275">
        <v>19</v>
      </c>
      <c r="D275">
        <v>10</v>
      </c>
      <c r="E275">
        <v>5</v>
      </c>
      <c r="F275">
        <v>54682.798041252</v>
      </c>
      <c r="G275">
        <v>36455.198694168</v>
      </c>
      <c r="H275">
        <v>2438395.69992584</v>
      </c>
      <c r="I275">
        <v>2920825.69845703</v>
      </c>
      <c r="J275">
        <v>53.9641581853615</v>
      </c>
      <c r="K275">
        <v>315</v>
      </c>
    </row>
    <row r="276" spans="1:11">
      <c r="A276">
        <v>275</v>
      </c>
      <c r="C276">
        <v>19</v>
      </c>
      <c r="D276">
        <v>11</v>
      </c>
      <c r="E276">
        <v>5</v>
      </c>
      <c r="F276">
        <v>54786.339664286</v>
      </c>
      <c r="G276">
        <v>36524.2264428573</v>
      </c>
      <c r="H276">
        <v>2450063.55187492</v>
      </c>
      <c r="I276">
        <v>2930776.74070315</v>
      </c>
      <c r="J276">
        <v>54.167224407137</v>
      </c>
      <c r="K276">
        <v>316</v>
      </c>
    </row>
    <row r="277" spans="1:11">
      <c r="A277">
        <v>276</v>
      </c>
      <c r="C277">
        <v>19</v>
      </c>
      <c r="D277">
        <v>12</v>
      </c>
      <c r="E277">
        <v>5</v>
      </c>
      <c r="F277">
        <v>54889.9424147971</v>
      </c>
      <c r="G277">
        <v>36593.2949431981</v>
      </c>
      <c r="H277">
        <v>2461778.19932786</v>
      </c>
      <c r="I277">
        <v>2940751.92192427</v>
      </c>
      <c r="J277">
        <v>54.3723212911302</v>
      </c>
      <c r="K277">
        <v>317</v>
      </c>
    </row>
    <row r="278" spans="1:11">
      <c r="A278">
        <v>277</v>
      </c>
      <c r="C278">
        <v>19</v>
      </c>
      <c r="D278">
        <v>13</v>
      </c>
      <c r="E278">
        <v>5</v>
      </c>
      <c r="F278">
        <v>54993.6062927852</v>
      </c>
      <c r="G278">
        <v>36662.4041951902</v>
      </c>
      <c r="H278">
        <v>2473539.79778156</v>
      </c>
      <c r="I278">
        <v>2950751.28145794</v>
      </c>
      <c r="J278">
        <v>54.5794691439634</v>
      </c>
      <c r="K278">
        <v>317</v>
      </c>
    </row>
    <row r="279" spans="1:11">
      <c r="A279">
        <v>278</v>
      </c>
      <c r="C279">
        <v>19</v>
      </c>
      <c r="D279">
        <v>14</v>
      </c>
      <c r="E279">
        <v>5</v>
      </c>
      <c r="F279">
        <v>55097.3312982504</v>
      </c>
      <c r="G279">
        <v>36731.5541988336</v>
      </c>
      <c r="H279">
        <v>2485348.50314207</v>
      </c>
      <c r="I279">
        <v>2960774.85867836</v>
      </c>
      <c r="J279">
        <v>54.7886884753249</v>
      </c>
      <c r="K279">
        <v>318</v>
      </c>
    </row>
    <row r="280" spans="1:11">
      <c r="A280">
        <v>279</v>
      </c>
      <c r="B280">
        <v>0</v>
      </c>
      <c r="C280">
        <v>19</v>
      </c>
      <c r="D280">
        <v>15</v>
      </c>
      <c r="E280">
        <v>5</v>
      </c>
      <c r="F280">
        <v>55201.1174311927</v>
      </c>
      <c r="G280">
        <v>36800.7449541284</v>
      </c>
      <c r="H280">
        <v>2497204.47172539</v>
      </c>
      <c r="I280">
        <v>2970822.69299639</v>
      </c>
      <c r="J280">
        <v>55</v>
      </c>
      <c r="K280">
        <v>319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501"/>
  <sheetViews>
    <sheetView workbookViewId="0">
      <selection activeCell="A1" sqref="A1"/>
    </sheetView>
  </sheetViews>
  <sheetFormatPr defaultColWidth="9" defaultRowHeight="13.5" outlineLevelCol="5"/>
  <sheetData>
    <row r="1" ht="15" customHeight="1" spans="1:6">
      <c r="A1" s="25" t="s">
        <v>1037</v>
      </c>
      <c r="B1" s="25" t="s">
        <v>128</v>
      </c>
      <c r="C1" s="25" t="s">
        <v>124</v>
      </c>
      <c r="D1" s="25" t="s">
        <v>1038</v>
      </c>
      <c r="E1" s="25" t="s">
        <v>1039</v>
      </c>
      <c r="F1" s="25" t="s">
        <v>1040</v>
      </c>
    </row>
    <row r="2" spans="1:6">
      <c r="A2" t="s">
        <v>1041</v>
      </c>
      <c r="B2">
        <v>1</v>
      </c>
      <c r="C2" t="s">
        <v>154</v>
      </c>
      <c r="D2">
        <v>99</v>
      </c>
      <c r="E2">
        <v>44</v>
      </c>
      <c r="F2">
        <v>74</v>
      </c>
    </row>
    <row r="3" spans="1:6">
      <c r="A3" t="s">
        <v>1042</v>
      </c>
      <c r="B3">
        <v>1</v>
      </c>
      <c r="C3" t="s">
        <v>1043</v>
      </c>
      <c r="D3">
        <v>297</v>
      </c>
      <c r="E3">
        <v>44</v>
      </c>
      <c r="F3">
        <v>74</v>
      </c>
    </row>
    <row r="4" spans="1:6">
      <c r="A4" t="s">
        <v>1044</v>
      </c>
      <c r="B4">
        <v>1</v>
      </c>
      <c r="C4" t="s">
        <v>1045</v>
      </c>
      <c r="D4">
        <v>179</v>
      </c>
      <c r="E4">
        <v>44</v>
      </c>
      <c r="F4">
        <v>74</v>
      </c>
    </row>
    <row r="5" spans="1:6">
      <c r="A5" t="s">
        <v>1046</v>
      </c>
      <c r="B5">
        <v>1</v>
      </c>
      <c r="C5" t="s">
        <v>1047</v>
      </c>
      <c r="D5">
        <v>50</v>
      </c>
      <c r="E5">
        <v>44</v>
      </c>
      <c r="F5">
        <v>74</v>
      </c>
    </row>
    <row r="6" spans="1:6">
      <c r="A6" t="s">
        <v>1048</v>
      </c>
      <c r="B6">
        <v>1</v>
      </c>
      <c r="C6" t="s">
        <v>1049</v>
      </c>
      <c r="D6">
        <v>15</v>
      </c>
      <c r="E6">
        <v>44</v>
      </c>
      <c r="F6">
        <v>74</v>
      </c>
    </row>
    <row r="7" spans="1:6">
      <c r="A7" t="s">
        <v>1050</v>
      </c>
      <c r="B7">
        <v>1</v>
      </c>
      <c r="C7" t="s">
        <v>745</v>
      </c>
      <c r="D7">
        <v>396</v>
      </c>
      <c r="E7">
        <v>44</v>
      </c>
      <c r="F7">
        <v>74</v>
      </c>
    </row>
    <row r="8" spans="1:6">
      <c r="A8" t="s">
        <v>1051</v>
      </c>
      <c r="B8">
        <v>1</v>
      </c>
      <c r="C8" t="s">
        <v>1052</v>
      </c>
      <c r="D8">
        <v>891</v>
      </c>
      <c r="E8">
        <v>44</v>
      </c>
      <c r="F8">
        <v>74</v>
      </c>
    </row>
    <row r="9" spans="1:6">
      <c r="A9" t="s">
        <v>1053</v>
      </c>
      <c r="B9">
        <v>1</v>
      </c>
      <c r="C9" t="s">
        <v>164</v>
      </c>
      <c r="D9">
        <v>11094</v>
      </c>
      <c r="E9">
        <v>55</v>
      </c>
      <c r="F9">
        <v>74</v>
      </c>
    </row>
    <row r="10" spans="1:6">
      <c r="A10" t="s">
        <v>1054</v>
      </c>
      <c r="B10">
        <v>1</v>
      </c>
      <c r="C10" t="s">
        <v>651</v>
      </c>
      <c r="D10">
        <v>5547</v>
      </c>
      <c r="E10">
        <v>55</v>
      </c>
      <c r="F10">
        <v>74</v>
      </c>
    </row>
    <row r="11" spans="1:6">
      <c r="A11" t="s">
        <v>1055</v>
      </c>
      <c r="B11">
        <v>2</v>
      </c>
      <c r="C11" t="s">
        <v>154</v>
      </c>
      <c r="D11">
        <v>205</v>
      </c>
      <c r="E11">
        <v>89</v>
      </c>
      <c r="F11">
        <v>148</v>
      </c>
    </row>
    <row r="12" spans="1:6">
      <c r="A12" t="s">
        <v>1056</v>
      </c>
      <c r="B12">
        <v>2</v>
      </c>
      <c r="C12" t="s">
        <v>1043</v>
      </c>
      <c r="D12">
        <v>615</v>
      </c>
      <c r="E12">
        <v>89</v>
      </c>
      <c r="F12">
        <v>148</v>
      </c>
    </row>
    <row r="13" spans="1:6">
      <c r="A13" t="s">
        <v>1057</v>
      </c>
      <c r="B13">
        <v>2</v>
      </c>
      <c r="C13" t="s">
        <v>1045</v>
      </c>
      <c r="D13">
        <v>369</v>
      </c>
      <c r="E13">
        <v>89</v>
      </c>
      <c r="F13">
        <v>148</v>
      </c>
    </row>
    <row r="14" spans="1:6">
      <c r="A14" t="s">
        <v>1058</v>
      </c>
      <c r="B14">
        <v>2</v>
      </c>
      <c r="C14" t="s">
        <v>1047</v>
      </c>
      <c r="D14">
        <v>103</v>
      </c>
      <c r="E14">
        <v>89</v>
      </c>
      <c r="F14">
        <v>148</v>
      </c>
    </row>
    <row r="15" spans="1:6">
      <c r="A15" t="s">
        <v>1059</v>
      </c>
      <c r="B15">
        <v>2</v>
      </c>
      <c r="C15" t="s">
        <v>1049</v>
      </c>
      <c r="D15">
        <v>31</v>
      </c>
      <c r="E15">
        <v>89</v>
      </c>
      <c r="F15">
        <v>148</v>
      </c>
    </row>
    <row r="16" spans="1:6">
      <c r="A16" t="s">
        <v>1060</v>
      </c>
      <c r="B16">
        <v>2</v>
      </c>
      <c r="C16" t="s">
        <v>745</v>
      </c>
      <c r="D16">
        <v>820</v>
      </c>
      <c r="E16">
        <v>89</v>
      </c>
      <c r="F16">
        <v>148</v>
      </c>
    </row>
    <row r="17" spans="1:6">
      <c r="A17" t="s">
        <v>1061</v>
      </c>
      <c r="B17">
        <v>2</v>
      </c>
      <c r="C17" t="s">
        <v>1052</v>
      </c>
      <c r="D17">
        <v>1845</v>
      </c>
      <c r="E17">
        <v>89</v>
      </c>
      <c r="F17">
        <v>148</v>
      </c>
    </row>
    <row r="18" spans="1:6">
      <c r="A18" t="s">
        <v>1062</v>
      </c>
      <c r="B18">
        <v>2</v>
      </c>
      <c r="C18" t="s">
        <v>164</v>
      </c>
      <c r="D18">
        <v>22268</v>
      </c>
      <c r="E18">
        <v>111</v>
      </c>
      <c r="F18">
        <v>148</v>
      </c>
    </row>
    <row r="19" spans="1:6">
      <c r="A19" t="s">
        <v>1063</v>
      </c>
      <c r="B19">
        <v>2</v>
      </c>
      <c r="C19" t="s">
        <v>651</v>
      </c>
      <c r="D19">
        <v>11134</v>
      </c>
      <c r="E19">
        <v>111</v>
      </c>
      <c r="F19">
        <v>148</v>
      </c>
    </row>
    <row r="20" spans="1:6">
      <c r="A20" t="s">
        <v>1064</v>
      </c>
      <c r="B20">
        <v>3</v>
      </c>
      <c r="C20" t="s">
        <v>154</v>
      </c>
      <c r="D20">
        <v>316</v>
      </c>
      <c r="E20">
        <v>134</v>
      </c>
      <c r="F20">
        <v>222</v>
      </c>
    </row>
    <row r="21" spans="1:6">
      <c r="A21" t="s">
        <v>1065</v>
      </c>
      <c r="B21">
        <v>3</v>
      </c>
      <c r="C21" t="s">
        <v>1043</v>
      </c>
      <c r="D21">
        <v>948</v>
      </c>
      <c r="E21">
        <v>134</v>
      </c>
      <c r="F21">
        <v>222</v>
      </c>
    </row>
    <row r="22" spans="1:6">
      <c r="A22" t="s">
        <v>1066</v>
      </c>
      <c r="B22">
        <v>3</v>
      </c>
      <c r="C22" t="s">
        <v>1045</v>
      </c>
      <c r="D22">
        <v>569</v>
      </c>
      <c r="E22">
        <v>134</v>
      </c>
      <c r="F22">
        <v>222</v>
      </c>
    </row>
    <row r="23" spans="1:6">
      <c r="A23" t="s">
        <v>1067</v>
      </c>
      <c r="B23">
        <v>3</v>
      </c>
      <c r="C23" t="s">
        <v>1047</v>
      </c>
      <c r="D23">
        <v>158</v>
      </c>
      <c r="E23">
        <v>134</v>
      </c>
      <c r="F23">
        <v>222</v>
      </c>
    </row>
    <row r="24" spans="1:6">
      <c r="A24" t="s">
        <v>1068</v>
      </c>
      <c r="B24">
        <v>3</v>
      </c>
      <c r="C24" t="s">
        <v>1049</v>
      </c>
      <c r="D24">
        <v>48</v>
      </c>
      <c r="E24">
        <v>134</v>
      </c>
      <c r="F24">
        <v>222</v>
      </c>
    </row>
    <row r="25" spans="1:6">
      <c r="A25" t="s">
        <v>1069</v>
      </c>
      <c r="B25">
        <v>3</v>
      </c>
      <c r="C25" t="s">
        <v>745</v>
      </c>
      <c r="D25">
        <v>1264</v>
      </c>
      <c r="E25">
        <v>134</v>
      </c>
      <c r="F25">
        <v>222</v>
      </c>
    </row>
    <row r="26" spans="1:6">
      <c r="A26" t="s">
        <v>1070</v>
      </c>
      <c r="B26">
        <v>3</v>
      </c>
      <c r="C26" t="s">
        <v>1052</v>
      </c>
      <c r="D26">
        <v>2844</v>
      </c>
      <c r="E26">
        <v>134</v>
      </c>
      <c r="F26">
        <v>222</v>
      </c>
    </row>
    <row r="27" spans="1:6">
      <c r="A27" t="s">
        <v>1071</v>
      </c>
      <c r="B27">
        <v>3</v>
      </c>
      <c r="C27" t="s">
        <v>164</v>
      </c>
      <c r="D27">
        <v>33626</v>
      </c>
      <c r="E27">
        <v>167</v>
      </c>
      <c r="F27">
        <v>222</v>
      </c>
    </row>
    <row r="28" spans="1:6">
      <c r="A28" t="s">
        <v>1072</v>
      </c>
      <c r="B28">
        <v>3</v>
      </c>
      <c r="C28" t="s">
        <v>651</v>
      </c>
      <c r="D28">
        <v>16813</v>
      </c>
      <c r="E28">
        <v>167</v>
      </c>
      <c r="F28">
        <v>222</v>
      </c>
    </row>
    <row r="29" spans="1:6">
      <c r="A29" t="s">
        <v>1073</v>
      </c>
      <c r="B29">
        <v>4</v>
      </c>
      <c r="C29" t="s">
        <v>154</v>
      </c>
      <c r="D29">
        <v>432</v>
      </c>
      <c r="E29">
        <v>180</v>
      </c>
      <c r="F29">
        <v>297</v>
      </c>
    </row>
    <row r="30" spans="1:6">
      <c r="A30" t="s">
        <v>1074</v>
      </c>
      <c r="B30">
        <v>4</v>
      </c>
      <c r="C30" t="s">
        <v>1043</v>
      </c>
      <c r="D30">
        <v>1296</v>
      </c>
      <c r="E30">
        <v>180</v>
      </c>
      <c r="F30">
        <v>297</v>
      </c>
    </row>
    <row r="31" spans="1:6">
      <c r="A31" t="s">
        <v>1075</v>
      </c>
      <c r="B31">
        <v>4</v>
      </c>
      <c r="C31" t="s">
        <v>1045</v>
      </c>
      <c r="D31">
        <v>778</v>
      </c>
      <c r="E31">
        <v>180</v>
      </c>
      <c r="F31">
        <v>297</v>
      </c>
    </row>
    <row r="32" spans="1:6">
      <c r="A32" t="s">
        <v>1076</v>
      </c>
      <c r="B32">
        <v>4</v>
      </c>
      <c r="C32" t="s">
        <v>1047</v>
      </c>
      <c r="D32">
        <v>216</v>
      </c>
      <c r="E32">
        <v>180</v>
      </c>
      <c r="F32">
        <v>297</v>
      </c>
    </row>
    <row r="33" spans="1:6">
      <c r="A33" t="s">
        <v>1077</v>
      </c>
      <c r="B33">
        <v>4</v>
      </c>
      <c r="C33" t="s">
        <v>1049</v>
      </c>
      <c r="D33">
        <v>65</v>
      </c>
      <c r="E33">
        <v>180</v>
      </c>
      <c r="F33">
        <v>297</v>
      </c>
    </row>
    <row r="34" spans="1:6">
      <c r="A34" t="s">
        <v>1078</v>
      </c>
      <c r="B34">
        <v>4</v>
      </c>
      <c r="C34" t="s">
        <v>745</v>
      </c>
      <c r="D34">
        <v>1728</v>
      </c>
      <c r="E34">
        <v>180</v>
      </c>
      <c r="F34">
        <v>297</v>
      </c>
    </row>
    <row r="35" spans="1:6">
      <c r="A35" t="s">
        <v>1079</v>
      </c>
      <c r="B35">
        <v>4</v>
      </c>
      <c r="C35" t="s">
        <v>1052</v>
      </c>
      <c r="D35">
        <v>3888</v>
      </c>
      <c r="E35">
        <v>180</v>
      </c>
      <c r="F35">
        <v>297</v>
      </c>
    </row>
    <row r="36" spans="1:6">
      <c r="A36" t="s">
        <v>1080</v>
      </c>
      <c r="B36">
        <v>4</v>
      </c>
      <c r="C36" t="s">
        <v>164</v>
      </c>
      <c r="D36">
        <v>45146</v>
      </c>
      <c r="E36">
        <v>224</v>
      </c>
      <c r="F36">
        <v>297</v>
      </c>
    </row>
    <row r="37" spans="1:6">
      <c r="A37" t="s">
        <v>1081</v>
      </c>
      <c r="B37">
        <v>4</v>
      </c>
      <c r="C37" t="s">
        <v>651</v>
      </c>
      <c r="D37">
        <v>22573</v>
      </c>
      <c r="E37">
        <v>224</v>
      </c>
      <c r="F37">
        <v>297</v>
      </c>
    </row>
    <row r="38" spans="1:6">
      <c r="A38" t="s">
        <v>1082</v>
      </c>
      <c r="B38">
        <v>5</v>
      </c>
      <c r="C38" t="s">
        <v>154</v>
      </c>
      <c r="D38">
        <v>554</v>
      </c>
      <c r="E38">
        <v>225</v>
      </c>
      <c r="F38">
        <v>372</v>
      </c>
    </row>
    <row r="39" spans="1:6">
      <c r="A39" t="s">
        <v>1083</v>
      </c>
      <c r="B39">
        <v>5</v>
      </c>
      <c r="C39" t="s">
        <v>1043</v>
      </c>
      <c r="D39">
        <v>1662</v>
      </c>
      <c r="E39">
        <v>225</v>
      </c>
      <c r="F39">
        <v>372</v>
      </c>
    </row>
    <row r="40" spans="1:6">
      <c r="A40" t="s">
        <v>1084</v>
      </c>
      <c r="B40">
        <v>5</v>
      </c>
      <c r="C40" t="s">
        <v>1045</v>
      </c>
      <c r="D40">
        <v>998</v>
      </c>
      <c r="E40">
        <v>225</v>
      </c>
      <c r="F40">
        <v>372</v>
      </c>
    </row>
    <row r="41" spans="1:6">
      <c r="A41" t="s">
        <v>1085</v>
      </c>
      <c r="B41">
        <v>5</v>
      </c>
      <c r="C41" t="s">
        <v>1047</v>
      </c>
      <c r="D41">
        <v>277</v>
      </c>
      <c r="E41">
        <v>225</v>
      </c>
      <c r="F41">
        <v>372</v>
      </c>
    </row>
    <row r="42" spans="1:6">
      <c r="A42" t="s">
        <v>1086</v>
      </c>
      <c r="B42">
        <v>5</v>
      </c>
      <c r="C42" t="s">
        <v>1049</v>
      </c>
      <c r="D42">
        <v>84</v>
      </c>
      <c r="E42">
        <v>225</v>
      </c>
      <c r="F42">
        <v>372</v>
      </c>
    </row>
    <row r="43" spans="1:6">
      <c r="A43" t="s">
        <v>1087</v>
      </c>
      <c r="B43">
        <v>5</v>
      </c>
      <c r="C43" t="s">
        <v>745</v>
      </c>
      <c r="D43">
        <v>2216</v>
      </c>
      <c r="E43">
        <v>225</v>
      </c>
      <c r="F43">
        <v>372</v>
      </c>
    </row>
    <row r="44" spans="1:6">
      <c r="A44" t="s">
        <v>1088</v>
      </c>
      <c r="B44">
        <v>5</v>
      </c>
      <c r="C44" t="s">
        <v>1052</v>
      </c>
      <c r="D44">
        <v>4986</v>
      </c>
      <c r="E44">
        <v>225</v>
      </c>
      <c r="F44">
        <v>372</v>
      </c>
    </row>
    <row r="45" spans="1:6">
      <c r="A45" t="s">
        <v>1089</v>
      </c>
      <c r="B45">
        <v>5</v>
      </c>
      <c r="C45" t="s">
        <v>164</v>
      </c>
      <c r="D45">
        <v>56808</v>
      </c>
      <c r="E45">
        <v>281</v>
      </c>
      <c r="F45">
        <v>372</v>
      </c>
    </row>
    <row r="46" spans="1:6">
      <c r="A46" t="s">
        <v>1090</v>
      </c>
      <c r="B46">
        <v>5</v>
      </c>
      <c r="C46" t="s">
        <v>651</v>
      </c>
      <c r="D46">
        <v>28404</v>
      </c>
      <c r="E46">
        <v>281</v>
      </c>
      <c r="F46">
        <v>372</v>
      </c>
    </row>
    <row r="47" spans="1:6">
      <c r="A47" t="s">
        <v>1091</v>
      </c>
      <c r="B47">
        <v>6</v>
      </c>
      <c r="C47" t="s">
        <v>154</v>
      </c>
      <c r="D47">
        <v>682</v>
      </c>
      <c r="E47">
        <v>271</v>
      </c>
      <c r="F47">
        <v>447</v>
      </c>
    </row>
    <row r="48" spans="1:6">
      <c r="A48" t="s">
        <v>1092</v>
      </c>
      <c r="B48">
        <v>6</v>
      </c>
      <c r="C48" t="s">
        <v>1043</v>
      </c>
      <c r="D48">
        <v>2046</v>
      </c>
      <c r="E48">
        <v>271</v>
      </c>
      <c r="F48">
        <v>447</v>
      </c>
    </row>
    <row r="49" spans="1:6">
      <c r="A49" t="s">
        <v>1093</v>
      </c>
      <c r="B49">
        <v>6</v>
      </c>
      <c r="C49" t="s">
        <v>1045</v>
      </c>
      <c r="D49">
        <v>1228</v>
      </c>
      <c r="E49">
        <v>271</v>
      </c>
      <c r="F49">
        <v>447</v>
      </c>
    </row>
    <row r="50" spans="1:6">
      <c r="A50" t="s">
        <v>1094</v>
      </c>
      <c r="B50">
        <v>6</v>
      </c>
      <c r="C50" t="s">
        <v>1047</v>
      </c>
      <c r="D50">
        <v>341</v>
      </c>
      <c r="E50">
        <v>271</v>
      </c>
      <c r="F50">
        <v>447</v>
      </c>
    </row>
    <row r="51" spans="1:6">
      <c r="A51" t="s">
        <v>1095</v>
      </c>
      <c r="B51">
        <v>6</v>
      </c>
      <c r="C51" t="s">
        <v>1049</v>
      </c>
      <c r="D51">
        <v>103</v>
      </c>
      <c r="E51">
        <v>271</v>
      </c>
      <c r="F51">
        <v>447</v>
      </c>
    </row>
    <row r="52" spans="1:6">
      <c r="A52" t="s">
        <v>1096</v>
      </c>
      <c r="B52">
        <v>6</v>
      </c>
      <c r="C52" t="s">
        <v>745</v>
      </c>
      <c r="D52">
        <v>2728</v>
      </c>
      <c r="E52">
        <v>271</v>
      </c>
      <c r="F52">
        <v>447</v>
      </c>
    </row>
    <row r="53" spans="1:6">
      <c r="A53" t="s">
        <v>1097</v>
      </c>
      <c r="B53">
        <v>6</v>
      </c>
      <c r="C53" t="s">
        <v>1052</v>
      </c>
      <c r="D53">
        <v>6138</v>
      </c>
      <c r="E53">
        <v>271</v>
      </c>
      <c r="F53">
        <v>447</v>
      </c>
    </row>
    <row r="54" spans="1:6">
      <c r="A54" t="s">
        <v>1098</v>
      </c>
      <c r="B54">
        <v>6</v>
      </c>
      <c r="C54" t="s">
        <v>164</v>
      </c>
      <c r="D54">
        <v>68595</v>
      </c>
      <c r="E54">
        <v>338</v>
      </c>
      <c r="F54">
        <v>447</v>
      </c>
    </row>
    <row r="55" spans="1:6">
      <c r="A55" t="s">
        <v>1099</v>
      </c>
      <c r="B55">
        <v>6</v>
      </c>
      <c r="C55" t="s">
        <v>651</v>
      </c>
      <c r="D55">
        <v>34297</v>
      </c>
      <c r="E55">
        <v>338</v>
      </c>
      <c r="F55">
        <v>447</v>
      </c>
    </row>
    <row r="56" spans="1:6">
      <c r="A56" t="s">
        <v>1100</v>
      </c>
      <c r="B56">
        <v>7</v>
      </c>
      <c r="C56" t="s">
        <v>154</v>
      </c>
      <c r="D56">
        <v>815</v>
      </c>
      <c r="E56">
        <v>318</v>
      </c>
      <c r="F56">
        <v>522</v>
      </c>
    </row>
    <row r="57" spans="1:6">
      <c r="A57" t="s">
        <v>1101</v>
      </c>
      <c r="B57">
        <v>7</v>
      </c>
      <c r="C57" t="s">
        <v>1043</v>
      </c>
      <c r="D57">
        <v>2445</v>
      </c>
      <c r="E57">
        <v>318</v>
      </c>
      <c r="F57">
        <v>522</v>
      </c>
    </row>
    <row r="58" spans="1:6">
      <c r="A58" t="s">
        <v>1102</v>
      </c>
      <c r="B58">
        <v>7</v>
      </c>
      <c r="C58" t="s">
        <v>1045</v>
      </c>
      <c r="D58">
        <v>1467</v>
      </c>
      <c r="E58">
        <v>318</v>
      </c>
      <c r="F58">
        <v>522</v>
      </c>
    </row>
    <row r="59" spans="1:6">
      <c r="A59" t="s">
        <v>1103</v>
      </c>
      <c r="B59">
        <v>7</v>
      </c>
      <c r="C59" t="s">
        <v>1047</v>
      </c>
      <c r="D59">
        <v>408</v>
      </c>
      <c r="E59">
        <v>318</v>
      </c>
      <c r="F59">
        <v>522</v>
      </c>
    </row>
    <row r="60" spans="1:6">
      <c r="A60" t="s">
        <v>1104</v>
      </c>
      <c r="B60">
        <v>7</v>
      </c>
      <c r="C60" t="s">
        <v>1049</v>
      </c>
      <c r="D60">
        <v>123</v>
      </c>
      <c r="E60">
        <v>318</v>
      </c>
      <c r="F60">
        <v>522</v>
      </c>
    </row>
    <row r="61" spans="1:6">
      <c r="A61" t="s">
        <v>1105</v>
      </c>
      <c r="B61">
        <v>7</v>
      </c>
      <c r="C61" t="s">
        <v>745</v>
      </c>
      <c r="D61">
        <v>3260</v>
      </c>
      <c r="E61">
        <v>318</v>
      </c>
      <c r="F61">
        <v>522</v>
      </c>
    </row>
    <row r="62" spans="1:6">
      <c r="A62" t="s">
        <v>1106</v>
      </c>
      <c r="B62">
        <v>7</v>
      </c>
      <c r="C62" t="s">
        <v>1052</v>
      </c>
      <c r="D62">
        <v>7335</v>
      </c>
      <c r="E62">
        <v>318</v>
      </c>
      <c r="F62">
        <v>522</v>
      </c>
    </row>
    <row r="63" spans="1:6">
      <c r="A63" t="s">
        <v>1107</v>
      </c>
      <c r="B63">
        <v>7</v>
      </c>
      <c r="C63" t="s">
        <v>164</v>
      </c>
      <c r="D63">
        <v>80386</v>
      </c>
      <c r="E63">
        <v>396</v>
      </c>
      <c r="F63">
        <v>522</v>
      </c>
    </row>
    <row r="64" spans="1:6">
      <c r="A64" t="s">
        <v>1108</v>
      </c>
      <c r="B64">
        <v>7</v>
      </c>
      <c r="C64" t="s">
        <v>651</v>
      </c>
      <c r="D64">
        <v>40193</v>
      </c>
      <c r="E64">
        <v>396</v>
      </c>
      <c r="F64">
        <v>522</v>
      </c>
    </row>
    <row r="65" spans="1:6">
      <c r="A65" t="s">
        <v>1109</v>
      </c>
      <c r="B65">
        <v>8</v>
      </c>
      <c r="C65" t="s">
        <v>154</v>
      </c>
      <c r="D65">
        <v>953</v>
      </c>
      <c r="E65">
        <v>365</v>
      </c>
      <c r="F65">
        <v>598</v>
      </c>
    </row>
    <row r="66" spans="1:6">
      <c r="A66" t="s">
        <v>1110</v>
      </c>
      <c r="B66">
        <v>8</v>
      </c>
      <c r="C66" t="s">
        <v>1043</v>
      </c>
      <c r="D66">
        <v>2859</v>
      </c>
      <c r="E66">
        <v>365</v>
      </c>
      <c r="F66">
        <v>598</v>
      </c>
    </row>
    <row r="67" spans="1:6">
      <c r="A67" t="s">
        <v>1111</v>
      </c>
      <c r="B67">
        <v>8</v>
      </c>
      <c r="C67" t="s">
        <v>1045</v>
      </c>
      <c r="D67">
        <v>1716</v>
      </c>
      <c r="E67">
        <v>365</v>
      </c>
      <c r="F67">
        <v>598</v>
      </c>
    </row>
    <row r="68" spans="1:6">
      <c r="A68" t="s">
        <v>1112</v>
      </c>
      <c r="B68">
        <v>8</v>
      </c>
      <c r="C68" t="s">
        <v>1047</v>
      </c>
      <c r="D68">
        <v>477</v>
      </c>
      <c r="E68">
        <v>365</v>
      </c>
      <c r="F68">
        <v>598</v>
      </c>
    </row>
    <row r="69" spans="1:6">
      <c r="A69" t="s">
        <v>1113</v>
      </c>
      <c r="B69">
        <v>8</v>
      </c>
      <c r="C69" t="s">
        <v>1049</v>
      </c>
      <c r="D69">
        <v>143</v>
      </c>
      <c r="E69">
        <v>365</v>
      </c>
      <c r="F69">
        <v>598</v>
      </c>
    </row>
    <row r="70" spans="1:6">
      <c r="A70" t="s">
        <v>1114</v>
      </c>
      <c r="B70">
        <v>8</v>
      </c>
      <c r="C70" t="s">
        <v>745</v>
      </c>
      <c r="D70">
        <v>3812</v>
      </c>
      <c r="E70">
        <v>365</v>
      </c>
      <c r="F70">
        <v>598</v>
      </c>
    </row>
    <row r="71" spans="1:6">
      <c r="A71" t="s">
        <v>1115</v>
      </c>
      <c r="B71">
        <v>8</v>
      </c>
      <c r="C71" t="s">
        <v>1052</v>
      </c>
      <c r="D71">
        <v>8577</v>
      </c>
      <c r="E71">
        <v>365</v>
      </c>
      <c r="F71">
        <v>598</v>
      </c>
    </row>
    <row r="72" spans="1:6">
      <c r="A72" t="s">
        <v>1116</v>
      </c>
      <c r="B72">
        <v>8</v>
      </c>
      <c r="C72" t="s">
        <v>164</v>
      </c>
      <c r="D72">
        <v>92392</v>
      </c>
      <c r="E72">
        <v>454</v>
      </c>
      <c r="F72">
        <v>598</v>
      </c>
    </row>
    <row r="73" spans="1:6">
      <c r="A73" t="s">
        <v>1117</v>
      </c>
      <c r="B73">
        <v>8</v>
      </c>
      <c r="C73" t="s">
        <v>651</v>
      </c>
      <c r="D73">
        <v>46196</v>
      </c>
      <c r="E73">
        <v>454</v>
      </c>
      <c r="F73">
        <v>598</v>
      </c>
    </row>
    <row r="74" spans="1:6">
      <c r="A74" t="s">
        <v>1118</v>
      </c>
      <c r="B74">
        <v>9</v>
      </c>
      <c r="C74" t="s">
        <v>154</v>
      </c>
      <c r="D74">
        <v>1097</v>
      </c>
      <c r="E74">
        <v>413</v>
      </c>
      <c r="F74">
        <v>674</v>
      </c>
    </row>
    <row r="75" spans="1:6">
      <c r="A75" t="s">
        <v>1119</v>
      </c>
      <c r="B75">
        <v>9</v>
      </c>
      <c r="C75" t="s">
        <v>1043</v>
      </c>
      <c r="D75">
        <v>3291</v>
      </c>
      <c r="E75">
        <v>413</v>
      </c>
      <c r="F75">
        <v>674</v>
      </c>
    </row>
    <row r="76" spans="1:6">
      <c r="A76" t="s">
        <v>1120</v>
      </c>
      <c r="B76">
        <v>9</v>
      </c>
      <c r="C76" t="s">
        <v>1045</v>
      </c>
      <c r="D76">
        <v>1975</v>
      </c>
      <c r="E76">
        <v>413</v>
      </c>
      <c r="F76">
        <v>674</v>
      </c>
    </row>
    <row r="77" spans="1:6">
      <c r="A77" t="s">
        <v>1121</v>
      </c>
      <c r="B77">
        <v>9</v>
      </c>
      <c r="C77" t="s">
        <v>1047</v>
      </c>
      <c r="D77">
        <v>549</v>
      </c>
      <c r="E77">
        <v>413</v>
      </c>
      <c r="F77">
        <v>674</v>
      </c>
    </row>
    <row r="78" spans="1:6">
      <c r="A78" t="s">
        <v>1122</v>
      </c>
      <c r="B78">
        <v>9</v>
      </c>
      <c r="C78" t="s">
        <v>1049</v>
      </c>
      <c r="D78">
        <v>165</v>
      </c>
      <c r="E78">
        <v>413</v>
      </c>
      <c r="F78">
        <v>674</v>
      </c>
    </row>
    <row r="79" spans="1:6">
      <c r="A79" t="s">
        <v>1123</v>
      </c>
      <c r="B79">
        <v>9</v>
      </c>
      <c r="C79" t="s">
        <v>745</v>
      </c>
      <c r="D79">
        <v>4388</v>
      </c>
      <c r="E79">
        <v>413</v>
      </c>
      <c r="F79">
        <v>674</v>
      </c>
    </row>
    <row r="80" spans="1:6">
      <c r="A80" t="s">
        <v>1124</v>
      </c>
      <c r="B80">
        <v>9</v>
      </c>
      <c r="C80" t="s">
        <v>1052</v>
      </c>
      <c r="D80">
        <v>9873</v>
      </c>
      <c r="E80">
        <v>413</v>
      </c>
      <c r="F80">
        <v>674</v>
      </c>
    </row>
    <row r="81" spans="1:6">
      <c r="A81" t="s">
        <v>1125</v>
      </c>
      <c r="B81">
        <v>9</v>
      </c>
      <c r="C81" t="s">
        <v>164</v>
      </c>
      <c r="D81">
        <v>104596</v>
      </c>
      <c r="E81">
        <v>513</v>
      </c>
      <c r="F81">
        <v>674</v>
      </c>
    </row>
    <row r="82" spans="1:6">
      <c r="A82" t="s">
        <v>1126</v>
      </c>
      <c r="B82">
        <v>9</v>
      </c>
      <c r="C82" t="s">
        <v>651</v>
      </c>
      <c r="D82">
        <v>52298</v>
      </c>
      <c r="E82">
        <v>513</v>
      </c>
      <c r="F82">
        <v>674</v>
      </c>
    </row>
    <row r="83" spans="1:6">
      <c r="A83" t="s">
        <v>1127</v>
      </c>
      <c r="B83">
        <v>10</v>
      </c>
      <c r="C83" t="s">
        <v>154</v>
      </c>
      <c r="D83">
        <v>1246</v>
      </c>
      <c r="E83">
        <v>461</v>
      </c>
      <c r="F83">
        <v>750</v>
      </c>
    </row>
    <row r="84" spans="1:6">
      <c r="A84" t="s">
        <v>1128</v>
      </c>
      <c r="B84">
        <v>10</v>
      </c>
      <c r="C84" t="s">
        <v>1043</v>
      </c>
      <c r="D84">
        <v>3738</v>
      </c>
      <c r="E84">
        <v>461</v>
      </c>
      <c r="F84">
        <v>750</v>
      </c>
    </row>
    <row r="85" spans="1:6">
      <c r="A85" t="s">
        <v>1129</v>
      </c>
      <c r="B85">
        <v>10</v>
      </c>
      <c r="C85" t="s">
        <v>1045</v>
      </c>
      <c r="D85">
        <v>2243</v>
      </c>
      <c r="E85">
        <v>461</v>
      </c>
      <c r="F85">
        <v>750</v>
      </c>
    </row>
    <row r="86" spans="1:6">
      <c r="A86" t="s">
        <v>1130</v>
      </c>
      <c r="B86">
        <v>10</v>
      </c>
      <c r="C86" t="s">
        <v>1047</v>
      </c>
      <c r="D86">
        <v>623</v>
      </c>
      <c r="E86">
        <v>461</v>
      </c>
      <c r="F86">
        <v>750</v>
      </c>
    </row>
    <row r="87" spans="1:6">
      <c r="A87" t="s">
        <v>1131</v>
      </c>
      <c r="B87">
        <v>10</v>
      </c>
      <c r="C87" t="s">
        <v>1049</v>
      </c>
      <c r="D87">
        <v>187</v>
      </c>
      <c r="E87">
        <v>461</v>
      </c>
      <c r="F87">
        <v>750</v>
      </c>
    </row>
    <row r="88" spans="1:6">
      <c r="A88" t="s">
        <v>1132</v>
      </c>
      <c r="B88">
        <v>10</v>
      </c>
      <c r="C88" t="s">
        <v>745</v>
      </c>
      <c r="D88">
        <v>4984</v>
      </c>
      <c r="E88">
        <v>461</v>
      </c>
      <c r="F88">
        <v>750</v>
      </c>
    </row>
    <row r="89" spans="1:6">
      <c r="A89" t="s">
        <v>1133</v>
      </c>
      <c r="B89">
        <v>10</v>
      </c>
      <c r="C89" t="s">
        <v>1052</v>
      </c>
      <c r="D89">
        <v>11214</v>
      </c>
      <c r="E89">
        <v>461</v>
      </c>
      <c r="F89">
        <v>750</v>
      </c>
    </row>
    <row r="90" spans="1:6">
      <c r="A90" t="s">
        <v>1134</v>
      </c>
      <c r="B90">
        <v>10</v>
      </c>
      <c r="C90" t="s">
        <v>164</v>
      </c>
      <c r="D90">
        <v>116786</v>
      </c>
      <c r="E90">
        <v>572</v>
      </c>
      <c r="F90">
        <v>750</v>
      </c>
    </row>
    <row r="91" spans="1:6">
      <c r="A91" t="s">
        <v>1135</v>
      </c>
      <c r="B91">
        <v>10</v>
      </c>
      <c r="C91" t="s">
        <v>651</v>
      </c>
      <c r="D91">
        <v>58393</v>
      </c>
      <c r="E91">
        <v>572</v>
      </c>
      <c r="F91">
        <v>750</v>
      </c>
    </row>
    <row r="92" spans="1:6">
      <c r="A92" t="s">
        <v>1136</v>
      </c>
      <c r="B92">
        <v>11</v>
      </c>
      <c r="C92" t="s">
        <v>154</v>
      </c>
      <c r="D92">
        <v>1400</v>
      </c>
      <c r="E92">
        <v>508</v>
      </c>
      <c r="F92">
        <v>826</v>
      </c>
    </row>
    <row r="93" spans="1:6">
      <c r="A93" t="s">
        <v>1137</v>
      </c>
      <c r="B93">
        <v>11</v>
      </c>
      <c r="C93" t="s">
        <v>1043</v>
      </c>
      <c r="D93">
        <v>4200</v>
      </c>
      <c r="E93">
        <v>508</v>
      </c>
      <c r="F93">
        <v>826</v>
      </c>
    </row>
    <row r="94" spans="1:6">
      <c r="A94" t="s">
        <v>1138</v>
      </c>
      <c r="B94">
        <v>11</v>
      </c>
      <c r="C94" t="s">
        <v>1045</v>
      </c>
      <c r="D94">
        <v>2520</v>
      </c>
      <c r="E94">
        <v>508</v>
      </c>
      <c r="F94">
        <v>826</v>
      </c>
    </row>
    <row r="95" spans="1:6">
      <c r="A95" t="s">
        <v>1139</v>
      </c>
      <c r="B95">
        <v>11</v>
      </c>
      <c r="C95" t="s">
        <v>1047</v>
      </c>
      <c r="D95">
        <v>700</v>
      </c>
      <c r="E95">
        <v>508</v>
      </c>
      <c r="F95">
        <v>826</v>
      </c>
    </row>
    <row r="96" spans="1:6">
      <c r="A96" t="s">
        <v>1140</v>
      </c>
      <c r="B96">
        <v>11</v>
      </c>
      <c r="C96" t="s">
        <v>1049</v>
      </c>
      <c r="D96">
        <v>210</v>
      </c>
      <c r="E96">
        <v>508</v>
      </c>
      <c r="F96">
        <v>826</v>
      </c>
    </row>
    <row r="97" spans="1:6">
      <c r="A97" t="s">
        <v>1141</v>
      </c>
      <c r="B97">
        <v>11</v>
      </c>
      <c r="C97" t="s">
        <v>745</v>
      </c>
      <c r="D97">
        <v>5600</v>
      </c>
      <c r="E97">
        <v>508</v>
      </c>
      <c r="F97">
        <v>826</v>
      </c>
    </row>
    <row r="98" spans="1:6">
      <c r="A98" t="s">
        <v>1142</v>
      </c>
      <c r="B98">
        <v>11</v>
      </c>
      <c r="C98" t="s">
        <v>1052</v>
      </c>
      <c r="D98">
        <v>12600</v>
      </c>
      <c r="E98">
        <v>508</v>
      </c>
      <c r="F98">
        <v>826</v>
      </c>
    </row>
    <row r="99" spans="1:6">
      <c r="A99" t="s">
        <v>1143</v>
      </c>
      <c r="B99">
        <v>11</v>
      </c>
      <c r="C99" t="s">
        <v>164</v>
      </c>
      <c r="D99">
        <v>129161</v>
      </c>
      <c r="E99">
        <v>631</v>
      </c>
      <c r="F99">
        <v>826</v>
      </c>
    </row>
    <row r="100" spans="1:6">
      <c r="A100" t="s">
        <v>1144</v>
      </c>
      <c r="B100">
        <v>11</v>
      </c>
      <c r="C100" t="s">
        <v>651</v>
      </c>
      <c r="D100">
        <v>64581</v>
      </c>
      <c r="E100">
        <v>631</v>
      </c>
      <c r="F100">
        <v>826</v>
      </c>
    </row>
    <row r="101" spans="1:6">
      <c r="A101" t="s">
        <v>1145</v>
      </c>
      <c r="B101">
        <v>12</v>
      </c>
      <c r="C101" t="s">
        <v>154</v>
      </c>
      <c r="D101">
        <v>1560</v>
      </c>
      <c r="E101">
        <v>557</v>
      </c>
      <c r="F101">
        <v>902</v>
      </c>
    </row>
    <row r="102" spans="1:6">
      <c r="A102" t="s">
        <v>1146</v>
      </c>
      <c r="B102">
        <v>12</v>
      </c>
      <c r="C102" t="s">
        <v>1043</v>
      </c>
      <c r="D102">
        <v>4680</v>
      </c>
      <c r="E102">
        <v>557</v>
      </c>
      <c r="F102">
        <v>902</v>
      </c>
    </row>
    <row r="103" spans="1:6">
      <c r="A103" t="s">
        <v>1147</v>
      </c>
      <c r="B103">
        <v>12</v>
      </c>
      <c r="C103" t="s">
        <v>1045</v>
      </c>
      <c r="D103">
        <v>2808</v>
      </c>
      <c r="E103">
        <v>557</v>
      </c>
      <c r="F103">
        <v>902</v>
      </c>
    </row>
    <row r="104" spans="1:6">
      <c r="A104" t="s">
        <v>1148</v>
      </c>
      <c r="B104">
        <v>12</v>
      </c>
      <c r="C104" t="s">
        <v>1047</v>
      </c>
      <c r="D104">
        <v>780</v>
      </c>
      <c r="E104">
        <v>557</v>
      </c>
      <c r="F104">
        <v>902</v>
      </c>
    </row>
    <row r="105" spans="1:6">
      <c r="A105" t="s">
        <v>1149</v>
      </c>
      <c r="B105">
        <v>12</v>
      </c>
      <c r="C105" t="s">
        <v>1049</v>
      </c>
      <c r="D105">
        <v>234</v>
      </c>
      <c r="E105">
        <v>557</v>
      </c>
      <c r="F105">
        <v>902</v>
      </c>
    </row>
    <row r="106" spans="1:6">
      <c r="A106" t="s">
        <v>1150</v>
      </c>
      <c r="B106">
        <v>12</v>
      </c>
      <c r="C106" t="s">
        <v>745</v>
      </c>
      <c r="D106">
        <v>6240</v>
      </c>
      <c r="E106">
        <v>557</v>
      </c>
      <c r="F106">
        <v>902</v>
      </c>
    </row>
    <row r="107" spans="1:6">
      <c r="A107" t="s">
        <v>1151</v>
      </c>
      <c r="B107">
        <v>12</v>
      </c>
      <c r="C107" t="s">
        <v>1052</v>
      </c>
      <c r="D107">
        <v>14040</v>
      </c>
      <c r="E107">
        <v>557</v>
      </c>
      <c r="F107">
        <v>902</v>
      </c>
    </row>
    <row r="108" spans="1:6">
      <c r="A108" t="s">
        <v>1152</v>
      </c>
      <c r="B108">
        <v>12</v>
      </c>
      <c r="C108" t="s">
        <v>164</v>
      </c>
      <c r="D108">
        <v>141619</v>
      </c>
      <c r="E108">
        <v>691</v>
      </c>
      <c r="F108">
        <v>902</v>
      </c>
    </row>
    <row r="109" spans="1:6">
      <c r="A109" t="s">
        <v>1153</v>
      </c>
      <c r="B109">
        <v>12</v>
      </c>
      <c r="C109" t="s">
        <v>651</v>
      </c>
      <c r="D109">
        <v>70810</v>
      </c>
      <c r="E109">
        <v>691</v>
      </c>
      <c r="F109">
        <v>902</v>
      </c>
    </row>
    <row r="110" spans="1:6">
      <c r="A110" t="s">
        <v>1154</v>
      </c>
      <c r="B110">
        <v>13</v>
      </c>
      <c r="C110" t="s">
        <v>154</v>
      </c>
      <c r="D110">
        <v>1724</v>
      </c>
      <c r="E110">
        <v>606</v>
      </c>
      <c r="F110">
        <v>979</v>
      </c>
    </row>
    <row r="111" spans="1:6">
      <c r="A111" t="s">
        <v>1155</v>
      </c>
      <c r="B111">
        <v>13</v>
      </c>
      <c r="C111" t="s">
        <v>1043</v>
      </c>
      <c r="D111">
        <v>5172</v>
      </c>
      <c r="E111">
        <v>606</v>
      </c>
      <c r="F111">
        <v>979</v>
      </c>
    </row>
    <row r="112" spans="1:6">
      <c r="A112" t="s">
        <v>1156</v>
      </c>
      <c r="B112">
        <v>13</v>
      </c>
      <c r="C112" t="s">
        <v>1045</v>
      </c>
      <c r="D112">
        <v>3104</v>
      </c>
      <c r="E112">
        <v>606</v>
      </c>
      <c r="F112">
        <v>979</v>
      </c>
    </row>
    <row r="113" spans="1:6">
      <c r="A113" t="s">
        <v>1157</v>
      </c>
      <c r="B113">
        <v>13</v>
      </c>
      <c r="C113" t="s">
        <v>1047</v>
      </c>
      <c r="D113">
        <v>862</v>
      </c>
      <c r="E113">
        <v>606</v>
      </c>
      <c r="F113">
        <v>979</v>
      </c>
    </row>
    <row r="114" spans="1:6">
      <c r="A114" t="s">
        <v>1158</v>
      </c>
      <c r="B114">
        <v>13</v>
      </c>
      <c r="C114" t="s">
        <v>1049</v>
      </c>
      <c r="D114">
        <v>259</v>
      </c>
      <c r="E114">
        <v>606</v>
      </c>
      <c r="F114">
        <v>979</v>
      </c>
    </row>
    <row r="115" spans="1:6">
      <c r="A115" t="s">
        <v>1159</v>
      </c>
      <c r="B115">
        <v>13</v>
      </c>
      <c r="C115" t="s">
        <v>745</v>
      </c>
      <c r="D115">
        <v>6896</v>
      </c>
      <c r="E115">
        <v>606</v>
      </c>
      <c r="F115">
        <v>979</v>
      </c>
    </row>
    <row r="116" spans="1:6">
      <c r="A116" t="s">
        <v>1160</v>
      </c>
      <c r="B116">
        <v>13</v>
      </c>
      <c r="C116" t="s">
        <v>1052</v>
      </c>
      <c r="D116">
        <v>15516</v>
      </c>
      <c r="E116">
        <v>606</v>
      </c>
      <c r="F116">
        <v>979</v>
      </c>
    </row>
    <row r="117" spans="1:6">
      <c r="A117" t="s">
        <v>1161</v>
      </c>
      <c r="B117">
        <v>13</v>
      </c>
      <c r="C117" t="s">
        <v>164</v>
      </c>
      <c r="D117">
        <v>154253</v>
      </c>
      <c r="E117">
        <v>751</v>
      </c>
      <c r="F117">
        <v>979</v>
      </c>
    </row>
    <row r="118" spans="1:6">
      <c r="A118" t="s">
        <v>1162</v>
      </c>
      <c r="B118">
        <v>13</v>
      </c>
      <c r="C118" t="s">
        <v>651</v>
      </c>
      <c r="D118">
        <v>77127</v>
      </c>
      <c r="E118">
        <v>751</v>
      </c>
      <c r="F118">
        <v>979</v>
      </c>
    </row>
    <row r="119" spans="1:6">
      <c r="A119" t="s">
        <v>1163</v>
      </c>
      <c r="B119">
        <v>14</v>
      </c>
      <c r="C119" t="s">
        <v>154</v>
      </c>
      <c r="D119">
        <v>1894</v>
      </c>
      <c r="E119">
        <v>656</v>
      </c>
      <c r="F119">
        <v>1056</v>
      </c>
    </row>
    <row r="120" spans="1:6">
      <c r="A120" t="s">
        <v>1164</v>
      </c>
      <c r="B120">
        <v>14</v>
      </c>
      <c r="C120" t="s">
        <v>1043</v>
      </c>
      <c r="D120">
        <v>5682</v>
      </c>
      <c r="E120">
        <v>656</v>
      </c>
      <c r="F120">
        <v>1056</v>
      </c>
    </row>
    <row r="121" spans="1:6">
      <c r="A121" t="s">
        <v>1165</v>
      </c>
      <c r="B121">
        <v>14</v>
      </c>
      <c r="C121" t="s">
        <v>1045</v>
      </c>
      <c r="D121">
        <v>3410</v>
      </c>
      <c r="E121">
        <v>656</v>
      </c>
      <c r="F121">
        <v>1056</v>
      </c>
    </row>
    <row r="122" spans="1:6">
      <c r="A122" t="s">
        <v>1166</v>
      </c>
      <c r="B122">
        <v>14</v>
      </c>
      <c r="C122" t="s">
        <v>1047</v>
      </c>
      <c r="D122">
        <v>947</v>
      </c>
      <c r="E122">
        <v>656</v>
      </c>
      <c r="F122">
        <v>1056</v>
      </c>
    </row>
    <row r="123" spans="1:6">
      <c r="A123" t="s">
        <v>1167</v>
      </c>
      <c r="B123">
        <v>14</v>
      </c>
      <c r="C123" t="s">
        <v>1049</v>
      </c>
      <c r="D123">
        <v>285</v>
      </c>
      <c r="E123">
        <v>656</v>
      </c>
      <c r="F123">
        <v>1056</v>
      </c>
    </row>
    <row r="124" spans="1:6">
      <c r="A124" t="s">
        <v>1168</v>
      </c>
      <c r="B124">
        <v>14</v>
      </c>
      <c r="C124" t="s">
        <v>745</v>
      </c>
      <c r="D124">
        <v>7576</v>
      </c>
      <c r="E124">
        <v>656</v>
      </c>
      <c r="F124">
        <v>1056</v>
      </c>
    </row>
    <row r="125" spans="1:6">
      <c r="A125" t="s">
        <v>1169</v>
      </c>
      <c r="B125">
        <v>14</v>
      </c>
      <c r="C125" t="s">
        <v>1052</v>
      </c>
      <c r="D125">
        <v>17046</v>
      </c>
      <c r="E125">
        <v>656</v>
      </c>
      <c r="F125">
        <v>1056</v>
      </c>
    </row>
    <row r="126" spans="1:6">
      <c r="A126" t="s">
        <v>1170</v>
      </c>
      <c r="B126">
        <v>14</v>
      </c>
      <c r="C126" t="s">
        <v>164</v>
      </c>
      <c r="D126">
        <v>167060</v>
      </c>
      <c r="E126">
        <v>812</v>
      </c>
      <c r="F126">
        <v>1056</v>
      </c>
    </row>
    <row r="127" spans="1:6">
      <c r="A127" t="s">
        <v>1171</v>
      </c>
      <c r="B127">
        <v>14</v>
      </c>
      <c r="C127" t="s">
        <v>651</v>
      </c>
      <c r="D127">
        <v>83530</v>
      </c>
      <c r="E127">
        <v>812</v>
      </c>
      <c r="F127">
        <v>1056</v>
      </c>
    </row>
    <row r="128" spans="1:6">
      <c r="A128" t="s">
        <v>1172</v>
      </c>
      <c r="B128">
        <v>15</v>
      </c>
      <c r="C128" t="s">
        <v>154</v>
      </c>
      <c r="D128">
        <v>2069</v>
      </c>
      <c r="E128">
        <v>705</v>
      </c>
      <c r="F128">
        <v>1133</v>
      </c>
    </row>
    <row r="129" spans="1:6">
      <c r="A129" t="s">
        <v>1173</v>
      </c>
      <c r="B129">
        <v>15</v>
      </c>
      <c r="C129" t="s">
        <v>1043</v>
      </c>
      <c r="D129">
        <v>6207</v>
      </c>
      <c r="E129">
        <v>705</v>
      </c>
      <c r="F129">
        <v>1133</v>
      </c>
    </row>
    <row r="130" spans="1:6">
      <c r="A130" t="s">
        <v>1174</v>
      </c>
      <c r="B130">
        <v>15</v>
      </c>
      <c r="C130" t="s">
        <v>1045</v>
      </c>
      <c r="D130">
        <v>3725</v>
      </c>
      <c r="E130">
        <v>705</v>
      </c>
      <c r="F130">
        <v>1133</v>
      </c>
    </row>
    <row r="131" spans="1:6">
      <c r="A131" t="s">
        <v>1175</v>
      </c>
      <c r="B131">
        <v>15</v>
      </c>
      <c r="C131" t="s">
        <v>1047</v>
      </c>
      <c r="D131">
        <v>1035</v>
      </c>
      <c r="E131">
        <v>705</v>
      </c>
      <c r="F131">
        <v>1133</v>
      </c>
    </row>
    <row r="132" spans="1:6">
      <c r="A132" t="s">
        <v>1176</v>
      </c>
      <c r="B132">
        <v>15</v>
      </c>
      <c r="C132" t="s">
        <v>1049</v>
      </c>
      <c r="D132">
        <v>311</v>
      </c>
      <c r="E132">
        <v>705</v>
      </c>
      <c r="F132">
        <v>1133</v>
      </c>
    </row>
    <row r="133" spans="1:6">
      <c r="A133" t="s">
        <v>1177</v>
      </c>
      <c r="B133">
        <v>15</v>
      </c>
      <c r="C133" t="s">
        <v>745</v>
      </c>
      <c r="D133">
        <v>8276</v>
      </c>
      <c r="E133">
        <v>705</v>
      </c>
      <c r="F133">
        <v>1133</v>
      </c>
    </row>
    <row r="134" spans="1:6">
      <c r="A134" t="s">
        <v>1178</v>
      </c>
      <c r="B134">
        <v>15</v>
      </c>
      <c r="C134" t="s">
        <v>1052</v>
      </c>
      <c r="D134">
        <v>18621</v>
      </c>
      <c r="E134">
        <v>705</v>
      </c>
      <c r="F134">
        <v>1133</v>
      </c>
    </row>
    <row r="135" spans="1:6">
      <c r="A135" t="s">
        <v>1179</v>
      </c>
      <c r="B135">
        <v>15</v>
      </c>
      <c r="C135" t="s">
        <v>164</v>
      </c>
      <c r="D135">
        <v>179947</v>
      </c>
      <c r="E135">
        <v>873</v>
      </c>
      <c r="F135">
        <v>1133</v>
      </c>
    </row>
    <row r="136" spans="1:6">
      <c r="A136" t="s">
        <v>1180</v>
      </c>
      <c r="B136">
        <v>15</v>
      </c>
      <c r="C136" t="s">
        <v>651</v>
      </c>
      <c r="D136">
        <v>89974</v>
      </c>
      <c r="E136">
        <v>873</v>
      </c>
      <c r="F136">
        <v>1133</v>
      </c>
    </row>
    <row r="137" spans="1:6">
      <c r="A137" t="s">
        <v>1181</v>
      </c>
      <c r="B137">
        <v>16</v>
      </c>
      <c r="C137" t="s">
        <v>154</v>
      </c>
      <c r="D137">
        <v>2249</v>
      </c>
      <c r="E137">
        <v>755</v>
      </c>
      <c r="F137">
        <v>1210</v>
      </c>
    </row>
    <row r="138" spans="1:6">
      <c r="A138" t="s">
        <v>1182</v>
      </c>
      <c r="B138">
        <v>16</v>
      </c>
      <c r="C138" t="s">
        <v>1043</v>
      </c>
      <c r="D138">
        <v>6747</v>
      </c>
      <c r="E138">
        <v>755</v>
      </c>
      <c r="F138">
        <v>1210</v>
      </c>
    </row>
    <row r="139" spans="1:6">
      <c r="A139" t="s">
        <v>1183</v>
      </c>
      <c r="B139">
        <v>16</v>
      </c>
      <c r="C139" t="s">
        <v>1045</v>
      </c>
      <c r="D139">
        <v>4049</v>
      </c>
      <c r="E139">
        <v>755</v>
      </c>
      <c r="F139">
        <v>1210</v>
      </c>
    </row>
    <row r="140" spans="1:6">
      <c r="A140" t="s">
        <v>1184</v>
      </c>
      <c r="B140">
        <v>16</v>
      </c>
      <c r="C140" t="s">
        <v>1047</v>
      </c>
      <c r="D140">
        <v>1125</v>
      </c>
      <c r="E140">
        <v>755</v>
      </c>
      <c r="F140">
        <v>1210</v>
      </c>
    </row>
    <row r="141" spans="1:6">
      <c r="A141" t="s">
        <v>1185</v>
      </c>
      <c r="B141">
        <v>16</v>
      </c>
      <c r="C141" t="s">
        <v>1049</v>
      </c>
      <c r="D141">
        <v>338</v>
      </c>
      <c r="E141">
        <v>755</v>
      </c>
      <c r="F141">
        <v>1210</v>
      </c>
    </row>
    <row r="142" spans="1:6">
      <c r="A142" t="s">
        <v>1186</v>
      </c>
      <c r="B142">
        <v>16</v>
      </c>
      <c r="C142" t="s">
        <v>745</v>
      </c>
      <c r="D142">
        <v>8996</v>
      </c>
      <c r="E142">
        <v>755</v>
      </c>
      <c r="F142">
        <v>1210</v>
      </c>
    </row>
    <row r="143" spans="1:6">
      <c r="A143" t="s">
        <v>1187</v>
      </c>
      <c r="B143">
        <v>16</v>
      </c>
      <c r="C143" t="s">
        <v>1052</v>
      </c>
      <c r="D143">
        <v>20241</v>
      </c>
      <c r="E143">
        <v>755</v>
      </c>
      <c r="F143">
        <v>1210</v>
      </c>
    </row>
    <row r="144" spans="1:6">
      <c r="A144" t="s">
        <v>1188</v>
      </c>
      <c r="B144">
        <v>16</v>
      </c>
      <c r="C144" t="s">
        <v>164</v>
      </c>
      <c r="D144">
        <v>193008</v>
      </c>
      <c r="E144">
        <v>934</v>
      </c>
      <c r="F144">
        <v>1210</v>
      </c>
    </row>
    <row r="145" spans="1:6">
      <c r="A145" t="s">
        <v>1189</v>
      </c>
      <c r="B145">
        <v>16</v>
      </c>
      <c r="C145" t="s">
        <v>651</v>
      </c>
      <c r="D145">
        <v>96504</v>
      </c>
      <c r="E145">
        <v>934</v>
      </c>
      <c r="F145">
        <v>1210</v>
      </c>
    </row>
    <row r="146" spans="1:6">
      <c r="A146" t="s">
        <v>1190</v>
      </c>
      <c r="B146">
        <v>17</v>
      </c>
      <c r="C146" t="s">
        <v>154</v>
      </c>
      <c r="D146">
        <v>2434</v>
      </c>
      <c r="E146">
        <v>806</v>
      </c>
      <c r="F146">
        <v>1288</v>
      </c>
    </row>
    <row r="147" spans="1:6">
      <c r="A147" t="s">
        <v>1191</v>
      </c>
      <c r="B147">
        <v>17</v>
      </c>
      <c r="C147" t="s">
        <v>1043</v>
      </c>
      <c r="D147">
        <v>7302</v>
      </c>
      <c r="E147">
        <v>806</v>
      </c>
      <c r="F147">
        <v>1288</v>
      </c>
    </row>
    <row r="148" spans="1:6">
      <c r="A148" t="s">
        <v>1192</v>
      </c>
      <c r="B148">
        <v>17</v>
      </c>
      <c r="C148" t="s">
        <v>1045</v>
      </c>
      <c r="D148">
        <v>4382</v>
      </c>
      <c r="E148">
        <v>806</v>
      </c>
      <c r="F148">
        <v>1288</v>
      </c>
    </row>
    <row r="149" spans="1:6">
      <c r="A149" t="s">
        <v>1193</v>
      </c>
      <c r="B149">
        <v>17</v>
      </c>
      <c r="C149" t="s">
        <v>1047</v>
      </c>
      <c r="D149">
        <v>1217</v>
      </c>
      <c r="E149">
        <v>806</v>
      </c>
      <c r="F149">
        <v>1288</v>
      </c>
    </row>
    <row r="150" spans="1:6">
      <c r="A150" t="s">
        <v>1194</v>
      </c>
      <c r="B150">
        <v>17</v>
      </c>
      <c r="C150" t="s">
        <v>1049</v>
      </c>
      <c r="D150">
        <v>366</v>
      </c>
      <c r="E150">
        <v>806</v>
      </c>
      <c r="F150">
        <v>1288</v>
      </c>
    </row>
    <row r="151" spans="1:6">
      <c r="A151" t="s">
        <v>1195</v>
      </c>
      <c r="B151">
        <v>17</v>
      </c>
      <c r="C151" t="s">
        <v>745</v>
      </c>
      <c r="D151">
        <v>9736</v>
      </c>
      <c r="E151">
        <v>806</v>
      </c>
      <c r="F151">
        <v>1288</v>
      </c>
    </row>
    <row r="152" spans="1:6">
      <c r="A152" t="s">
        <v>1196</v>
      </c>
      <c r="B152">
        <v>17</v>
      </c>
      <c r="C152" t="s">
        <v>1052</v>
      </c>
      <c r="D152">
        <v>21906</v>
      </c>
      <c r="E152">
        <v>806</v>
      </c>
      <c r="F152">
        <v>1288</v>
      </c>
    </row>
    <row r="153" spans="1:6">
      <c r="A153" t="s">
        <v>1197</v>
      </c>
      <c r="B153">
        <v>17</v>
      </c>
      <c r="C153" t="s">
        <v>164</v>
      </c>
      <c r="D153">
        <v>206242</v>
      </c>
      <c r="E153">
        <v>996</v>
      </c>
      <c r="F153">
        <v>1288</v>
      </c>
    </row>
    <row r="154" spans="1:6">
      <c r="A154" t="s">
        <v>1198</v>
      </c>
      <c r="B154">
        <v>17</v>
      </c>
      <c r="C154" t="s">
        <v>651</v>
      </c>
      <c r="D154">
        <v>103121</v>
      </c>
      <c r="E154">
        <v>996</v>
      </c>
      <c r="F154">
        <v>1288</v>
      </c>
    </row>
    <row r="155" spans="1:6">
      <c r="A155" t="s">
        <v>1199</v>
      </c>
      <c r="B155">
        <v>18</v>
      </c>
      <c r="C155" t="s">
        <v>154</v>
      </c>
      <c r="D155">
        <v>2624</v>
      </c>
      <c r="E155">
        <v>857</v>
      </c>
      <c r="F155">
        <v>1366</v>
      </c>
    </row>
    <row r="156" spans="1:6">
      <c r="A156" t="s">
        <v>1200</v>
      </c>
      <c r="B156">
        <v>18</v>
      </c>
      <c r="C156" t="s">
        <v>1043</v>
      </c>
      <c r="D156">
        <v>7872</v>
      </c>
      <c r="E156">
        <v>857</v>
      </c>
      <c r="F156">
        <v>1366</v>
      </c>
    </row>
    <row r="157" spans="1:6">
      <c r="A157" t="s">
        <v>1201</v>
      </c>
      <c r="B157">
        <v>18</v>
      </c>
      <c r="C157" t="s">
        <v>1045</v>
      </c>
      <c r="D157">
        <v>4724</v>
      </c>
      <c r="E157">
        <v>857</v>
      </c>
      <c r="F157">
        <v>1366</v>
      </c>
    </row>
    <row r="158" spans="1:6">
      <c r="A158" t="s">
        <v>1202</v>
      </c>
      <c r="B158">
        <v>18</v>
      </c>
      <c r="C158" t="s">
        <v>1047</v>
      </c>
      <c r="D158">
        <v>1312</v>
      </c>
      <c r="E158">
        <v>857</v>
      </c>
      <c r="F158">
        <v>1366</v>
      </c>
    </row>
    <row r="159" spans="1:6">
      <c r="A159" t="s">
        <v>1203</v>
      </c>
      <c r="B159">
        <v>18</v>
      </c>
      <c r="C159" t="s">
        <v>1049</v>
      </c>
      <c r="D159">
        <v>394</v>
      </c>
      <c r="E159">
        <v>857</v>
      </c>
      <c r="F159">
        <v>1366</v>
      </c>
    </row>
    <row r="160" spans="1:6">
      <c r="A160" t="s">
        <v>1204</v>
      </c>
      <c r="B160">
        <v>18</v>
      </c>
      <c r="C160" t="s">
        <v>745</v>
      </c>
      <c r="D160">
        <v>10496</v>
      </c>
      <c r="E160">
        <v>857</v>
      </c>
      <c r="F160">
        <v>1366</v>
      </c>
    </row>
    <row r="161" spans="1:6">
      <c r="A161" t="s">
        <v>1205</v>
      </c>
      <c r="B161">
        <v>18</v>
      </c>
      <c r="C161" t="s">
        <v>1052</v>
      </c>
      <c r="D161">
        <v>23616</v>
      </c>
      <c r="E161">
        <v>857</v>
      </c>
      <c r="F161">
        <v>1366</v>
      </c>
    </row>
    <row r="162" spans="1:6">
      <c r="A162" t="s">
        <v>1206</v>
      </c>
      <c r="B162">
        <v>18</v>
      </c>
      <c r="C162" t="s">
        <v>164</v>
      </c>
      <c r="D162">
        <v>219652</v>
      </c>
      <c r="E162">
        <v>1058</v>
      </c>
      <c r="F162">
        <v>1366</v>
      </c>
    </row>
    <row r="163" spans="1:6">
      <c r="A163" t="s">
        <v>1207</v>
      </c>
      <c r="B163">
        <v>18</v>
      </c>
      <c r="C163" t="s">
        <v>651</v>
      </c>
      <c r="D163">
        <v>109826</v>
      </c>
      <c r="E163">
        <v>1058</v>
      </c>
      <c r="F163">
        <v>1366</v>
      </c>
    </row>
    <row r="164" spans="1:6">
      <c r="A164" t="s">
        <v>1208</v>
      </c>
      <c r="B164">
        <v>19</v>
      </c>
      <c r="C164" t="s">
        <v>154</v>
      </c>
      <c r="D164">
        <v>2820</v>
      </c>
      <c r="E164">
        <v>908</v>
      </c>
      <c r="F164">
        <v>1444</v>
      </c>
    </row>
    <row r="165" spans="1:6">
      <c r="A165" t="s">
        <v>1209</v>
      </c>
      <c r="B165">
        <v>19</v>
      </c>
      <c r="C165" t="s">
        <v>1043</v>
      </c>
      <c r="D165">
        <v>8460</v>
      </c>
      <c r="E165">
        <v>908</v>
      </c>
      <c r="F165">
        <v>1444</v>
      </c>
    </row>
    <row r="166" spans="1:6">
      <c r="A166" t="s">
        <v>1210</v>
      </c>
      <c r="B166">
        <v>19</v>
      </c>
      <c r="C166" t="s">
        <v>1045</v>
      </c>
      <c r="D166">
        <v>5076</v>
      </c>
      <c r="E166">
        <v>908</v>
      </c>
      <c r="F166">
        <v>1444</v>
      </c>
    </row>
    <row r="167" spans="1:6">
      <c r="A167" t="s">
        <v>1211</v>
      </c>
      <c r="B167">
        <v>19</v>
      </c>
      <c r="C167" t="s">
        <v>1047</v>
      </c>
      <c r="D167">
        <v>1410</v>
      </c>
      <c r="E167">
        <v>908</v>
      </c>
      <c r="F167">
        <v>1444</v>
      </c>
    </row>
    <row r="168" spans="1:6">
      <c r="A168" t="s">
        <v>1212</v>
      </c>
      <c r="B168">
        <v>19</v>
      </c>
      <c r="C168" t="s">
        <v>1049</v>
      </c>
      <c r="D168">
        <v>423</v>
      </c>
      <c r="E168">
        <v>908</v>
      </c>
      <c r="F168">
        <v>1444</v>
      </c>
    </row>
    <row r="169" spans="1:6">
      <c r="A169" t="s">
        <v>1213</v>
      </c>
      <c r="B169">
        <v>19</v>
      </c>
      <c r="C169" t="s">
        <v>745</v>
      </c>
      <c r="D169">
        <v>11280</v>
      </c>
      <c r="E169">
        <v>908</v>
      </c>
      <c r="F169">
        <v>1444</v>
      </c>
    </row>
    <row r="170" spans="1:6">
      <c r="A170" t="s">
        <v>1214</v>
      </c>
      <c r="B170">
        <v>19</v>
      </c>
      <c r="C170" t="s">
        <v>1052</v>
      </c>
      <c r="D170">
        <v>25380</v>
      </c>
      <c r="E170">
        <v>908</v>
      </c>
      <c r="F170">
        <v>1444</v>
      </c>
    </row>
    <row r="171" spans="1:6">
      <c r="A171" t="s">
        <v>1215</v>
      </c>
      <c r="B171">
        <v>19</v>
      </c>
      <c r="C171" t="s">
        <v>164</v>
      </c>
      <c r="D171">
        <v>233241</v>
      </c>
      <c r="E171">
        <v>1121</v>
      </c>
      <c r="F171">
        <v>1444</v>
      </c>
    </row>
    <row r="172" spans="1:6">
      <c r="A172" t="s">
        <v>1216</v>
      </c>
      <c r="B172">
        <v>19</v>
      </c>
      <c r="C172" t="s">
        <v>651</v>
      </c>
      <c r="D172">
        <v>116620</v>
      </c>
      <c r="E172">
        <v>1121</v>
      </c>
      <c r="F172">
        <v>1444</v>
      </c>
    </row>
    <row r="173" spans="1:6">
      <c r="A173" t="s">
        <v>1217</v>
      </c>
      <c r="B173">
        <v>20</v>
      </c>
      <c r="C173" t="s">
        <v>154</v>
      </c>
      <c r="D173">
        <v>3020</v>
      </c>
      <c r="E173">
        <v>960</v>
      </c>
      <c r="F173">
        <v>1522</v>
      </c>
    </row>
    <row r="174" spans="1:6">
      <c r="A174" t="s">
        <v>1218</v>
      </c>
      <c r="B174">
        <v>20</v>
      </c>
      <c r="C174" t="s">
        <v>1043</v>
      </c>
      <c r="D174">
        <v>9060</v>
      </c>
      <c r="E174">
        <v>960</v>
      </c>
      <c r="F174">
        <v>1522</v>
      </c>
    </row>
    <row r="175" spans="1:6">
      <c r="A175" t="s">
        <v>1219</v>
      </c>
      <c r="B175">
        <v>20</v>
      </c>
      <c r="C175" t="s">
        <v>1045</v>
      </c>
      <c r="D175">
        <v>5436</v>
      </c>
      <c r="E175">
        <v>960</v>
      </c>
      <c r="F175">
        <v>1522</v>
      </c>
    </row>
    <row r="176" spans="1:6">
      <c r="A176" t="s">
        <v>1220</v>
      </c>
      <c r="B176">
        <v>20</v>
      </c>
      <c r="C176" t="s">
        <v>1047</v>
      </c>
      <c r="D176">
        <v>1510</v>
      </c>
      <c r="E176">
        <v>960</v>
      </c>
      <c r="F176">
        <v>1522</v>
      </c>
    </row>
    <row r="177" spans="1:6">
      <c r="A177" t="s">
        <v>1221</v>
      </c>
      <c r="B177">
        <v>20</v>
      </c>
      <c r="C177" t="s">
        <v>1049</v>
      </c>
      <c r="D177">
        <v>453</v>
      </c>
      <c r="E177">
        <v>960</v>
      </c>
      <c r="F177">
        <v>1522</v>
      </c>
    </row>
    <row r="178" spans="1:6">
      <c r="A178" t="s">
        <v>1222</v>
      </c>
      <c r="B178">
        <v>20</v>
      </c>
      <c r="C178" t="s">
        <v>745</v>
      </c>
      <c r="D178">
        <v>12080</v>
      </c>
      <c r="E178">
        <v>960</v>
      </c>
      <c r="F178">
        <v>1522</v>
      </c>
    </row>
    <row r="179" spans="1:6">
      <c r="A179" t="s">
        <v>1223</v>
      </c>
      <c r="B179">
        <v>20</v>
      </c>
      <c r="C179" t="s">
        <v>1052</v>
      </c>
      <c r="D179">
        <v>27180</v>
      </c>
      <c r="E179">
        <v>960</v>
      </c>
      <c r="F179">
        <v>1522</v>
      </c>
    </row>
    <row r="180" spans="1:6">
      <c r="A180" t="s">
        <v>1224</v>
      </c>
      <c r="B180">
        <v>20</v>
      </c>
      <c r="C180" t="s">
        <v>164</v>
      </c>
      <c r="D180">
        <v>247012</v>
      </c>
      <c r="E180">
        <v>1184</v>
      </c>
      <c r="F180">
        <v>1522</v>
      </c>
    </row>
    <row r="181" spans="1:6">
      <c r="A181" t="s">
        <v>1225</v>
      </c>
      <c r="B181">
        <v>20</v>
      </c>
      <c r="C181" t="s">
        <v>651</v>
      </c>
      <c r="D181">
        <v>123506</v>
      </c>
      <c r="E181">
        <v>1184</v>
      </c>
      <c r="F181">
        <v>1522</v>
      </c>
    </row>
    <row r="182" spans="1:6">
      <c r="A182" t="s">
        <v>1226</v>
      </c>
      <c r="B182">
        <v>21</v>
      </c>
      <c r="C182" t="s">
        <v>154</v>
      </c>
      <c r="D182">
        <v>3225</v>
      </c>
      <c r="E182">
        <v>1012</v>
      </c>
      <c r="F182">
        <v>1600</v>
      </c>
    </row>
    <row r="183" spans="1:6">
      <c r="A183" t="s">
        <v>1227</v>
      </c>
      <c r="B183">
        <v>21</v>
      </c>
      <c r="C183" t="s">
        <v>1043</v>
      </c>
      <c r="D183">
        <v>9675</v>
      </c>
      <c r="E183">
        <v>1012</v>
      </c>
      <c r="F183">
        <v>1600</v>
      </c>
    </row>
    <row r="184" spans="1:6">
      <c r="A184" t="s">
        <v>1228</v>
      </c>
      <c r="B184">
        <v>21</v>
      </c>
      <c r="C184" t="s">
        <v>1045</v>
      </c>
      <c r="D184">
        <v>5805</v>
      </c>
      <c r="E184">
        <v>1012</v>
      </c>
      <c r="F184">
        <v>1600</v>
      </c>
    </row>
    <row r="185" spans="1:6">
      <c r="A185" t="s">
        <v>1229</v>
      </c>
      <c r="B185">
        <v>21</v>
      </c>
      <c r="C185" t="s">
        <v>1047</v>
      </c>
      <c r="D185">
        <v>1613</v>
      </c>
      <c r="E185">
        <v>1012</v>
      </c>
      <c r="F185">
        <v>1600</v>
      </c>
    </row>
    <row r="186" spans="1:6">
      <c r="A186" t="s">
        <v>1230</v>
      </c>
      <c r="B186">
        <v>21</v>
      </c>
      <c r="C186" t="s">
        <v>1049</v>
      </c>
      <c r="D186">
        <v>484</v>
      </c>
      <c r="E186">
        <v>1012</v>
      </c>
      <c r="F186">
        <v>1600</v>
      </c>
    </row>
    <row r="187" spans="1:6">
      <c r="A187" t="s">
        <v>1231</v>
      </c>
      <c r="B187">
        <v>21</v>
      </c>
      <c r="C187" t="s">
        <v>745</v>
      </c>
      <c r="D187">
        <v>12900</v>
      </c>
      <c r="E187">
        <v>1012</v>
      </c>
      <c r="F187">
        <v>1600</v>
      </c>
    </row>
    <row r="188" spans="1:6">
      <c r="A188" t="s">
        <v>1232</v>
      </c>
      <c r="B188">
        <v>21</v>
      </c>
      <c r="C188" t="s">
        <v>1052</v>
      </c>
      <c r="D188">
        <v>29025</v>
      </c>
      <c r="E188">
        <v>1012</v>
      </c>
      <c r="F188">
        <v>1600</v>
      </c>
    </row>
    <row r="189" spans="1:6">
      <c r="A189" t="s">
        <v>1233</v>
      </c>
      <c r="B189">
        <v>21</v>
      </c>
      <c r="C189" t="s">
        <v>164</v>
      </c>
      <c r="D189">
        <v>260969</v>
      </c>
      <c r="E189">
        <v>1247</v>
      </c>
      <c r="F189">
        <v>1600</v>
      </c>
    </row>
    <row r="190" spans="1:6">
      <c r="A190" t="s">
        <v>1234</v>
      </c>
      <c r="B190">
        <v>21</v>
      </c>
      <c r="C190" t="s">
        <v>651</v>
      </c>
      <c r="D190">
        <v>130485</v>
      </c>
      <c r="E190">
        <v>1247</v>
      </c>
      <c r="F190">
        <v>1600</v>
      </c>
    </row>
    <row r="191" spans="1:6">
      <c r="A191" t="s">
        <v>1235</v>
      </c>
      <c r="B191">
        <v>22</v>
      </c>
      <c r="C191" t="s">
        <v>154</v>
      </c>
      <c r="D191">
        <v>3435</v>
      </c>
      <c r="E191">
        <v>1064</v>
      </c>
      <c r="F191">
        <v>1679</v>
      </c>
    </row>
    <row r="192" spans="1:6">
      <c r="A192" t="s">
        <v>1236</v>
      </c>
      <c r="B192">
        <v>22</v>
      </c>
      <c r="C192" t="s">
        <v>1043</v>
      </c>
      <c r="D192">
        <v>10305</v>
      </c>
      <c r="E192">
        <v>1064</v>
      </c>
      <c r="F192">
        <v>1679</v>
      </c>
    </row>
    <row r="193" spans="1:6">
      <c r="A193" t="s">
        <v>1237</v>
      </c>
      <c r="B193">
        <v>22</v>
      </c>
      <c r="C193" t="s">
        <v>1045</v>
      </c>
      <c r="D193">
        <v>6183</v>
      </c>
      <c r="E193">
        <v>1064</v>
      </c>
      <c r="F193">
        <v>1679</v>
      </c>
    </row>
    <row r="194" spans="1:6">
      <c r="A194" t="s">
        <v>1238</v>
      </c>
      <c r="B194">
        <v>22</v>
      </c>
      <c r="C194" t="s">
        <v>1047</v>
      </c>
      <c r="D194">
        <v>1718</v>
      </c>
      <c r="E194">
        <v>1064</v>
      </c>
      <c r="F194">
        <v>1679</v>
      </c>
    </row>
    <row r="195" spans="1:6">
      <c r="A195" t="s">
        <v>1239</v>
      </c>
      <c r="B195">
        <v>22</v>
      </c>
      <c r="C195" t="s">
        <v>1049</v>
      </c>
      <c r="D195">
        <v>516</v>
      </c>
      <c r="E195">
        <v>1064</v>
      </c>
      <c r="F195">
        <v>1679</v>
      </c>
    </row>
    <row r="196" spans="1:6">
      <c r="A196" t="s">
        <v>1240</v>
      </c>
      <c r="B196">
        <v>22</v>
      </c>
      <c r="C196" t="s">
        <v>745</v>
      </c>
      <c r="D196">
        <v>13740</v>
      </c>
      <c r="E196">
        <v>1064</v>
      </c>
      <c r="F196">
        <v>1679</v>
      </c>
    </row>
    <row r="197" spans="1:6">
      <c r="A197" t="s">
        <v>1241</v>
      </c>
      <c r="B197">
        <v>22</v>
      </c>
      <c r="C197" t="s">
        <v>1052</v>
      </c>
      <c r="D197">
        <v>30915</v>
      </c>
      <c r="E197">
        <v>1064</v>
      </c>
      <c r="F197">
        <v>1679</v>
      </c>
    </row>
    <row r="198" spans="1:6">
      <c r="A198" t="s">
        <v>1242</v>
      </c>
      <c r="B198">
        <v>22</v>
      </c>
      <c r="C198" t="s">
        <v>164</v>
      </c>
      <c r="D198">
        <v>275196</v>
      </c>
      <c r="E198">
        <v>1311</v>
      </c>
      <c r="F198">
        <v>1679</v>
      </c>
    </row>
    <row r="199" spans="1:6">
      <c r="A199" t="s">
        <v>1243</v>
      </c>
      <c r="B199">
        <v>22</v>
      </c>
      <c r="C199" t="s">
        <v>651</v>
      </c>
      <c r="D199">
        <v>137598</v>
      </c>
      <c r="E199">
        <v>1311</v>
      </c>
      <c r="F199">
        <v>1679</v>
      </c>
    </row>
    <row r="200" spans="1:6">
      <c r="A200" t="s">
        <v>1244</v>
      </c>
      <c r="B200">
        <v>23</v>
      </c>
      <c r="C200" t="s">
        <v>154</v>
      </c>
      <c r="D200">
        <v>3650</v>
      </c>
      <c r="E200">
        <v>1118</v>
      </c>
      <c r="F200">
        <v>1758</v>
      </c>
    </row>
    <row r="201" spans="1:6">
      <c r="A201" t="s">
        <v>1245</v>
      </c>
      <c r="B201">
        <v>23</v>
      </c>
      <c r="C201" t="s">
        <v>1043</v>
      </c>
      <c r="D201">
        <v>10950</v>
      </c>
      <c r="E201">
        <v>1118</v>
      </c>
      <c r="F201">
        <v>1758</v>
      </c>
    </row>
    <row r="202" spans="1:6">
      <c r="A202" t="s">
        <v>1246</v>
      </c>
      <c r="B202">
        <v>23</v>
      </c>
      <c r="C202" t="s">
        <v>1045</v>
      </c>
      <c r="D202">
        <v>6570</v>
      </c>
      <c r="E202">
        <v>1118</v>
      </c>
      <c r="F202">
        <v>1758</v>
      </c>
    </row>
    <row r="203" spans="1:6">
      <c r="A203" t="s">
        <v>1247</v>
      </c>
      <c r="B203">
        <v>23</v>
      </c>
      <c r="C203" t="s">
        <v>1047</v>
      </c>
      <c r="D203">
        <v>1825</v>
      </c>
      <c r="E203">
        <v>1118</v>
      </c>
      <c r="F203">
        <v>1758</v>
      </c>
    </row>
    <row r="204" spans="1:6">
      <c r="A204" t="s">
        <v>1248</v>
      </c>
      <c r="B204">
        <v>23</v>
      </c>
      <c r="C204" t="s">
        <v>1049</v>
      </c>
      <c r="D204">
        <v>548</v>
      </c>
      <c r="E204">
        <v>1118</v>
      </c>
      <c r="F204">
        <v>1758</v>
      </c>
    </row>
    <row r="205" spans="1:6">
      <c r="A205" t="s">
        <v>1249</v>
      </c>
      <c r="B205">
        <v>23</v>
      </c>
      <c r="C205" t="s">
        <v>745</v>
      </c>
      <c r="D205">
        <v>14600</v>
      </c>
      <c r="E205">
        <v>1118</v>
      </c>
      <c r="F205">
        <v>1758</v>
      </c>
    </row>
    <row r="206" spans="1:6">
      <c r="A206" t="s">
        <v>1250</v>
      </c>
      <c r="B206">
        <v>23</v>
      </c>
      <c r="C206" t="s">
        <v>1052</v>
      </c>
      <c r="D206">
        <v>32850</v>
      </c>
      <c r="E206">
        <v>1118</v>
      </c>
      <c r="F206">
        <v>1758</v>
      </c>
    </row>
    <row r="207" spans="1:6">
      <c r="A207" t="s">
        <v>1251</v>
      </c>
      <c r="B207">
        <v>23</v>
      </c>
      <c r="C207" t="s">
        <v>164</v>
      </c>
      <c r="D207">
        <v>289619</v>
      </c>
      <c r="E207">
        <v>1376</v>
      </c>
      <c r="F207">
        <v>1758</v>
      </c>
    </row>
    <row r="208" spans="1:6">
      <c r="A208" t="s">
        <v>1252</v>
      </c>
      <c r="B208">
        <v>23</v>
      </c>
      <c r="C208" t="s">
        <v>651</v>
      </c>
      <c r="D208">
        <v>144810</v>
      </c>
      <c r="E208">
        <v>1376</v>
      </c>
      <c r="F208">
        <v>1758</v>
      </c>
    </row>
    <row r="209" spans="1:6">
      <c r="A209" t="s">
        <v>1253</v>
      </c>
      <c r="B209">
        <v>24</v>
      </c>
      <c r="C209" t="s">
        <v>154</v>
      </c>
      <c r="D209">
        <v>3871</v>
      </c>
      <c r="E209">
        <v>1171</v>
      </c>
      <c r="F209">
        <v>1837</v>
      </c>
    </row>
    <row r="210" spans="1:6">
      <c r="A210" t="s">
        <v>1254</v>
      </c>
      <c r="B210">
        <v>24</v>
      </c>
      <c r="C210" t="s">
        <v>1043</v>
      </c>
      <c r="D210">
        <v>11613</v>
      </c>
      <c r="E210">
        <v>1171</v>
      </c>
      <c r="F210">
        <v>1837</v>
      </c>
    </row>
    <row r="211" spans="1:6">
      <c r="A211" t="s">
        <v>1255</v>
      </c>
      <c r="B211">
        <v>24</v>
      </c>
      <c r="C211" t="s">
        <v>1045</v>
      </c>
      <c r="D211">
        <v>6968</v>
      </c>
      <c r="E211">
        <v>1171</v>
      </c>
      <c r="F211">
        <v>1837</v>
      </c>
    </row>
    <row r="212" spans="1:6">
      <c r="A212" t="s">
        <v>1256</v>
      </c>
      <c r="B212">
        <v>24</v>
      </c>
      <c r="C212" t="s">
        <v>1047</v>
      </c>
      <c r="D212">
        <v>1936</v>
      </c>
      <c r="E212">
        <v>1171</v>
      </c>
      <c r="F212">
        <v>1837</v>
      </c>
    </row>
    <row r="213" spans="1:6">
      <c r="A213" t="s">
        <v>1257</v>
      </c>
      <c r="B213">
        <v>24</v>
      </c>
      <c r="C213" t="s">
        <v>1049</v>
      </c>
      <c r="D213">
        <v>581</v>
      </c>
      <c r="E213">
        <v>1171</v>
      </c>
      <c r="F213">
        <v>1837</v>
      </c>
    </row>
    <row r="214" spans="1:6">
      <c r="A214" t="s">
        <v>1258</v>
      </c>
      <c r="B214">
        <v>24</v>
      </c>
      <c r="C214" t="s">
        <v>745</v>
      </c>
      <c r="D214">
        <v>15484</v>
      </c>
      <c r="E214">
        <v>1171</v>
      </c>
      <c r="F214">
        <v>1837</v>
      </c>
    </row>
    <row r="215" spans="1:6">
      <c r="A215" t="s">
        <v>1259</v>
      </c>
      <c r="B215">
        <v>24</v>
      </c>
      <c r="C215" t="s">
        <v>1052</v>
      </c>
      <c r="D215">
        <v>34839</v>
      </c>
      <c r="E215">
        <v>1171</v>
      </c>
      <c r="F215">
        <v>1837</v>
      </c>
    </row>
    <row r="216" spans="1:6">
      <c r="A216" t="s">
        <v>1260</v>
      </c>
      <c r="B216">
        <v>24</v>
      </c>
      <c r="C216" t="s">
        <v>164</v>
      </c>
      <c r="D216">
        <v>304319</v>
      </c>
      <c r="E216">
        <v>1440</v>
      </c>
      <c r="F216">
        <v>1837</v>
      </c>
    </row>
    <row r="217" spans="1:6">
      <c r="A217" t="s">
        <v>1261</v>
      </c>
      <c r="B217">
        <v>24</v>
      </c>
      <c r="C217" t="s">
        <v>651</v>
      </c>
      <c r="D217">
        <v>152159</v>
      </c>
      <c r="E217">
        <v>1440</v>
      </c>
      <c r="F217">
        <v>1837</v>
      </c>
    </row>
    <row r="218" spans="1:6">
      <c r="A218" t="s">
        <v>1262</v>
      </c>
      <c r="B218">
        <v>25</v>
      </c>
      <c r="C218" t="s">
        <v>154</v>
      </c>
      <c r="D218">
        <v>4096</v>
      </c>
      <c r="E218">
        <v>1225</v>
      </c>
      <c r="F218">
        <v>1917</v>
      </c>
    </row>
    <row r="219" spans="1:6">
      <c r="A219" t="s">
        <v>1263</v>
      </c>
      <c r="B219">
        <v>25</v>
      </c>
      <c r="C219" t="s">
        <v>1043</v>
      </c>
      <c r="D219">
        <v>12288</v>
      </c>
      <c r="E219">
        <v>1225</v>
      </c>
      <c r="F219">
        <v>1917</v>
      </c>
    </row>
    <row r="220" spans="1:6">
      <c r="A220" t="s">
        <v>1264</v>
      </c>
      <c r="B220">
        <v>25</v>
      </c>
      <c r="C220" t="s">
        <v>1045</v>
      </c>
      <c r="D220">
        <v>7373</v>
      </c>
      <c r="E220">
        <v>1225</v>
      </c>
      <c r="F220">
        <v>1917</v>
      </c>
    </row>
    <row r="221" spans="1:6">
      <c r="A221" t="s">
        <v>1265</v>
      </c>
      <c r="B221">
        <v>25</v>
      </c>
      <c r="C221" t="s">
        <v>1047</v>
      </c>
      <c r="D221">
        <v>2048</v>
      </c>
      <c r="E221">
        <v>1225</v>
      </c>
      <c r="F221">
        <v>1917</v>
      </c>
    </row>
    <row r="222" spans="1:6">
      <c r="A222" t="s">
        <v>1266</v>
      </c>
      <c r="B222">
        <v>25</v>
      </c>
      <c r="C222" t="s">
        <v>1049</v>
      </c>
      <c r="D222">
        <v>615</v>
      </c>
      <c r="E222">
        <v>1225</v>
      </c>
      <c r="F222">
        <v>1917</v>
      </c>
    </row>
    <row r="223" spans="1:6">
      <c r="A223" t="s">
        <v>1267</v>
      </c>
      <c r="B223">
        <v>25</v>
      </c>
      <c r="C223" t="s">
        <v>745</v>
      </c>
      <c r="D223">
        <v>16384</v>
      </c>
      <c r="E223">
        <v>1225</v>
      </c>
      <c r="F223">
        <v>1917</v>
      </c>
    </row>
    <row r="224" spans="1:6">
      <c r="A224" t="s">
        <v>1268</v>
      </c>
      <c r="B224">
        <v>25</v>
      </c>
      <c r="C224" t="s">
        <v>1052</v>
      </c>
      <c r="D224">
        <v>36864</v>
      </c>
      <c r="E224">
        <v>1225</v>
      </c>
      <c r="F224">
        <v>1917</v>
      </c>
    </row>
    <row r="225" spans="1:6">
      <c r="A225" t="s">
        <v>1269</v>
      </c>
      <c r="B225">
        <v>25</v>
      </c>
      <c r="C225" t="s">
        <v>164</v>
      </c>
      <c r="D225">
        <v>319225</v>
      </c>
      <c r="E225">
        <v>1506</v>
      </c>
      <c r="F225">
        <v>1917</v>
      </c>
    </row>
    <row r="226" spans="1:6">
      <c r="A226" t="s">
        <v>1270</v>
      </c>
      <c r="B226">
        <v>25</v>
      </c>
      <c r="C226" t="s">
        <v>651</v>
      </c>
      <c r="D226">
        <v>159613</v>
      </c>
      <c r="E226">
        <v>1506</v>
      </c>
      <c r="F226">
        <v>1917</v>
      </c>
    </row>
    <row r="227" spans="1:6">
      <c r="A227" t="s">
        <v>1271</v>
      </c>
      <c r="B227">
        <v>26</v>
      </c>
      <c r="C227" t="s">
        <v>154</v>
      </c>
      <c r="D227">
        <v>4326</v>
      </c>
      <c r="E227">
        <v>1279</v>
      </c>
      <c r="F227">
        <v>1996</v>
      </c>
    </row>
    <row r="228" spans="1:6">
      <c r="A228" t="s">
        <v>1272</v>
      </c>
      <c r="B228">
        <v>26</v>
      </c>
      <c r="C228" t="s">
        <v>1043</v>
      </c>
      <c r="D228">
        <v>12978</v>
      </c>
      <c r="E228">
        <v>1279</v>
      </c>
      <c r="F228">
        <v>1996</v>
      </c>
    </row>
    <row r="229" spans="1:6">
      <c r="A229" t="s">
        <v>1273</v>
      </c>
      <c r="B229">
        <v>26</v>
      </c>
      <c r="C229" t="s">
        <v>1045</v>
      </c>
      <c r="D229">
        <v>7787</v>
      </c>
      <c r="E229">
        <v>1279</v>
      </c>
      <c r="F229">
        <v>1996</v>
      </c>
    </row>
    <row r="230" spans="1:6">
      <c r="A230" t="s">
        <v>1274</v>
      </c>
      <c r="B230">
        <v>26</v>
      </c>
      <c r="C230" t="s">
        <v>1047</v>
      </c>
      <c r="D230">
        <v>2163</v>
      </c>
      <c r="E230">
        <v>1279</v>
      </c>
      <c r="F230">
        <v>1996</v>
      </c>
    </row>
    <row r="231" spans="1:6">
      <c r="A231" t="s">
        <v>1275</v>
      </c>
      <c r="B231">
        <v>26</v>
      </c>
      <c r="C231" t="s">
        <v>1049</v>
      </c>
      <c r="D231">
        <v>649</v>
      </c>
      <c r="E231">
        <v>1279</v>
      </c>
      <c r="F231">
        <v>1996</v>
      </c>
    </row>
    <row r="232" spans="1:6">
      <c r="A232" t="s">
        <v>1276</v>
      </c>
      <c r="B232">
        <v>26</v>
      </c>
      <c r="C232" t="s">
        <v>745</v>
      </c>
      <c r="D232">
        <v>17304</v>
      </c>
      <c r="E232">
        <v>1279</v>
      </c>
      <c r="F232">
        <v>1996</v>
      </c>
    </row>
    <row r="233" spans="1:6">
      <c r="A233" t="s">
        <v>1277</v>
      </c>
      <c r="B233">
        <v>26</v>
      </c>
      <c r="C233" t="s">
        <v>1052</v>
      </c>
      <c r="D233">
        <v>38934</v>
      </c>
      <c r="E233">
        <v>1279</v>
      </c>
      <c r="F233">
        <v>1996</v>
      </c>
    </row>
    <row r="234" spans="1:6">
      <c r="A234" t="s">
        <v>1278</v>
      </c>
      <c r="B234">
        <v>26</v>
      </c>
      <c r="C234" t="s">
        <v>164</v>
      </c>
      <c r="D234">
        <v>334418</v>
      </c>
      <c r="E234">
        <v>1571</v>
      </c>
      <c r="F234">
        <v>1996</v>
      </c>
    </row>
    <row r="235" spans="1:6">
      <c r="A235" t="s">
        <v>1279</v>
      </c>
      <c r="B235">
        <v>26</v>
      </c>
      <c r="C235" t="s">
        <v>651</v>
      </c>
      <c r="D235">
        <v>167209</v>
      </c>
      <c r="E235">
        <v>1571</v>
      </c>
      <c r="F235">
        <v>1996</v>
      </c>
    </row>
    <row r="236" spans="1:6">
      <c r="A236" t="s">
        <v>1280</v>
      </c>
      <c r="B236">
        <v>27</v>
      </c>
      <c r="C236" t="s">
        <v>154</v>
      </c>
      <c r="D236">
        <v>4561</v>
      </c>
      <c r="E236">
        <v>1333</v>
      </c>
      <c r="F236">
        <v>2076</v>
      </c>
    </row>
    <row r="237" spans="1:6">
      <c r="A237" t="s">
        <v>1281</v>
      </c>
      <c r="B237">
        <v>27</v>
      </c>
      <c r="C237" t="s">
        <v>1043</v>
      </c>
      <c r="D237">
        <v>13683</v>
      </c>
      <c r="E237">
        <v>1333</v>
      </c>
      <c r="F237">
        <v>2076</v>
      </c>
    </row>
    <row r="238" spans="1:6">
      <c r="A238" t="s">
        <v>1282</v>
      </c>
      <c r="B238">
        <v>27</v>
      </c>
      <c r="C238" t="s">
        <v>1045</v>
      </c>
      <c r="D238">
        <v>8210</v>
      </c>
      <c r="E238">
        <v>1333</v>
      </c>
      <c r="F238">
        <v>2076</v>
      </c>
    </row>
    <row r="239" spans="1:6">
      <c r="A239" t="s">
        <v>1283</v>
      </c>
      <c r="B239">
        <v>27</v>
      </c>
      <c r="C239" t="s">
        <v>1047</v>
      </c>
      <c r="D239">
        <v>2281</v>
      </c>
      <c r="E239">
        <v>1333</v>
      </c>
      <c r="F239">
        <v>2076</v>
      </c>
    </row>
    <row r="240" spans="1:6">
      <c r="A240" t="s">
        <v>1284</v>
      </c>
      <c r="B240">
        <v>27</v>
      </c>
      <c r="C240" t="s">
        <v>1049</v>
      </c>
      <c r="D240">
        <v>685</v>
      </c>
      <c r="E240">
        <v>1333</v>
      </c>
      <c r="F240">
        <v>2076</v>
      </c>
    </row>
    <row r="241" spans="1:6">
      <c r="A241" t="s">
        <v>1285</v>
      </c>
      <c r="B241">
        <v>27</v>
      </c>
      <c r="C241" t="s">
        <v>745</v>
      </c>
      <c r="D241">
        <v>18244</v>
      </c>
      <c r="E241">
        <v>1333</v>
      </c>
      <c r="F241">
        <v>2076</v>
      </c>
    </row>
    <row r="242" spans="1:6">
      <c r="A242" t="s">
        <v>1286</v>
      </c>
      <c r="B242">
        <v>27</v>
      </c>
      <c r="C242" t="s">
        <v>1052</v>
      </c>
      <c r="D242">
        <v>41049</v>
      </c>
      <c r="E242">
        <v>1333</v>
      </c>
      <c r="F242">
        <v>2076</v>
      </c>
    </row>
    <row r="243" spans="1:6">
      <c r="A243" t="s">
        <v>1287</v>
      </c>
      <c r="B243">
        <v>27</v>
      </c>
      <c r="C243" t="s">
        <v>164</v>
      </c>
      <c r="D243">
        <v>349830</v>
      </c>
      <c r="E243">
        <v>1637</v>
      </c>
      <c r="F243">
        <v>2076</v>
      </c>
    </row>
    <row r="244" spans="1:6">
      <c r="A244" t="s">
        <v>1288</v>
      </c>
      <c r="B244">
        <v>27</v>
      </c>
      <c r="C244" t="s">
        <v>651</v>
      </c>
      <c r="D244">
        <v>174915</v>
      </c>
      <c r="E244">
        <v>1637</v>
      </c>
      <c r="F244">
        <v>2076</v>
      </c>
    </row>
    <row r="245" spans="1:6">
      <c r="A245" t="s">
        <v>1289</v>
      </c>
      <c r="B245">
        <v>28</v>
      </c>
      <c r="C245" t="s">
        <v>154</v>
      </c>
      <c r="D245">
        <v>4801</v>
      </c>
      <c r="E245">
        <v>1389</v>
      </c>
      <c r="F245">
        <v>2156</v>
      </c>
    </row>
    <row r="246" spans="1:6">
      <c r="A246" t="s">
        <v>1290</v>
      </c>
      <c r="B246">
        <v>28</v>
      </c>
      <c r="C246" t="s">
        <v>1043</v>
      </c>
      <c r="D246">
        <v>14403</v>
      </c>
      <c r="E246">
        <v>1389</v>
      </c>
      <c r="F246">
        <v>2156</v>
      </c>
    </row>
    <row r="247" spans="1:6">
      <c r="A247" t="s">
        <v>1291</v>
      </c>
      <c r="B247">
        <v>28</v>
      </c>
      <c r="C247" t="s">
        <v>1045</v>
      </c>
      <c r="D247">
        <v>8642</v>
      </c>
      <c r="E247">
        <v>1389</v>
      </c>
      <c r="F247">
        <v>2156</v>
      </c>
    </row>
    <row r="248" spans="1:6">
      <c r="A248" t="s">
        <v>1292</v>
      </c>
      <c r="B248">
        <v>28</v>
      </c>
      <c r="C248" t="s">
        <v>1047</v>
      </c>
      <c r="D248">
        <v>2401</v>
      </c>
      <c r="E248">
        <v>1389</v>
      </c>
      <c r="F248">
        <v>2156</v>
      </c>
    </row>
    <row r="249" spans="1:6">
      <c r="A249" t="s">
        <v>1293</v>
      </c>
      <c r="B249">
        <v>28</v>
      </c>
      <c r="C249" t="s">
        <v>1049</v>
      </c>
      <c r="D249">
        <v>721</v>
      </c>
      <c r="E249">
        <v>1389</v>
      </c>
      <c r="F249">
        <v>2156</v>
      </c>
    </row>
    <row r="250" spans="1:6">
      <c r="A250" t="s">
        <v>1294</v>
      </c>
      <c r="B250">
        <v>28</v>
      </c>
      <c r="C250" t="s">
        <v>745</v>
      </c>
      <c r="D250">
        <v>19204</v>
      </c>
      <c r="E250">
        <v>1389</v>
      </c>
      <c r="F250">
        <v>2156</v>
      </c>
    </row>
    <row r="251" spans="1:6">
      <c r="A251" t="s">
        <v>1295</v>
      </c>
      <c r="B251">
        <v>28</v>
      </c>
      <c r="C251" t="s">
        <v>1052</v>
      </c>
      <c r="D251">
        <v>43209</v>
      </c>
      <c r="E251">
        <v>1389</v>
      </c>
      <c r="F251">
        <v>2156</v>
      </c>
    </row>
    <row r="252" spans="1:6">
      <c r="A252" t="s">
        <v>1296</v>
      </c>
      <c r="B252">
        <v>28</v>
      </c>
      <c r="C252" t="s">
        <v>164</v>
      </c>
      <c r="D252">
        <v>365611</v>
      </c>
      <c r="E252">
        <v>1704</v>
      </c>
      <c r="F252">
        <v>2156</v>
      </c>
    </row>
    <row r="253" spans="1:6">
      <c r="A253" t="s">
        <v>1297</v>
      </c>
      <c r="B253">
        <v>28</v>
      </c>
      <c r="C253" t="s">
        <v>651</v>
      </c>
      <c r="D253">
        <v>182806</v>
      </c>
      <c r="E253">
        <v>1704</v>
      </c>
      <c r="F253">
        <v>2156</v>
      </c>
    </row>
    <row r="254" spans="1:6">
      <c r="A254" t="s">
        <v>1298</v>
      </c>
      <c r="B254">
        <v>29</v>
      </c>
      <c r="C254" t="s">
        <v>154</v>
      </c>
      <c r="D254">
        <v>5046</v>
      </c>
      <c r="E254">
        <v>1444</v>
      </c>
      <c r="F254">
        <v>2236</v>
      </c>
    </row>
    <row r="255" spans="1:6">
      <c r="A255" t="s">
        <v>1299</v>
      </c>
      <c r="B255">
        <v>29</v>
      </c>
      <c r="C255" t="s">
        <v>1043</v>
      </c>
      <c r="D255">
        <v>15138</v>
      </c>
      <c r="E255">
        <v>1444</v>
      </c>
      <c r="F255">
        <v>2236</v>
      </c>
    </row>
    <row r="256" spans="1:6">
      <c r="A256" t="s">
        <v>1300</v>
      </c>
      <c r="B256">
        <v>29</v>
      </c>
      <c r="C256" t="s">
        <v>1045</v>
      </c>
      <c r="D256">
        <v>9083</v>
      </c>
      <c r="E256">
        <v>1444</v>
      </c>
      <c r="F256">
        <v>2236</v>
      </c>
    </row>
    <row r="257" spans="1:6">
      <c r="A257" t="s">
        <v>1301</v>
      </c>
      <c r="B257">
        <v>29</v>
      </c>
      <c r="C257" t="s">
        <v>1047</v>
      </c>
      <c r="D257">
        <v>2523</v>
      </c>
      <c r="E257">
        <v>1444</v>
      </c>
      <c r="F257">
        <v>2236</v>
      </c>
    </row>
    <row r="258" spans="1:6">
      <c r="A258" t="s">
        <v>1302</v>
      </c>
      <c r="B258">
        <v>29</v>
      </c>
      <c r="C258" t="s">
        <v>1049</v>
      </c>
      <c r="D258">
        <v>757</v>
      </c>
      <c r="E258">
        <v>1444</v>
      </c>
      <c r="F258">
        <v>2236</v>
      </c>
    </row>
    <row r="259" spans="1:6">
      <c r="A259" t="s">
        <v>1303</v>
      </c>
      <c r="B259">
        <v>29</v>
      </c>
      <c r="C259" t="s">
        <v>745</v>
      </c>
      <c r="D259">
        <v>20184</v>
      </c>
      <c r="E259">
        <v>1444</v>
      </c>
      <c r="F259">
        <v>2236</v>
      </c>
    </row>
    <row r="260" spans="1:6">
      <c r="A260" t="s">
        <v>1304</v>
      </c>
      <c r="B260">
        <v>29</v>
      </c>
      <c r="C260" t="s">
        <v>1052</v>
      </c>
      <c r="D260">
        <v>45414</v>
      </c>
      <c r="E260">
        <v>1444</v>
      </c>
      <c r="F260">
        <v>2236</v>
      </c>
    </row>
    <row r="261" spans="1:6">
      <c r="A261" t="s">
        <v>1305</v>
      </c>
      <c r="B261">
        <v>29</v>
      </c>
      <c r="C261" t="s">
        <v>164</v>
      </c>
      <c r="D261">
        <v>381624</v>
      </c>
      <c r="E261">
        <v>1771</v>
      </c>
      <c r="F261">
        <v>2236</v>
      </c>
    </row>
    <row r="262" spans="1:6">
      <c r="A262" t="s">
        <v>1306</v>
      </c>
      <c r="B262">
        <v>29</v>
      </c>
      <c r="C262" t="s">
        <v>651</v>
      </c>
      <c r="D262">
        <v>190812</v>
      </c>
      <c r="E262">
        <v>1771</v>
      </c>
      <c r="F262">
        <v>2236</v>
      </c>
    </row>
    <row r="263" spans="1:6">
      <c r="A263" t="s">
        <v>1307</v>
      </c>
      <c r="B263">
        <v>30</v>
      </c>
      <c r="C263" t="s">
        <v>154</v>
      </c>
      <c r="D263">
        <v>5297</v>
      </c>
      <c r="E263">
        <v>1500</v>
      </c>
      <c r="F263">
        <v>2317</v>
      </c>
    </row>
    <row r="264" spans="1:6">
      <c r="A264" t="s">
        <v>1308</v>
      </c>
      <c r="B264">
        <v>30</v>
      </c>
      <c r="C264" t="s">
        <v>1043</v>
      </c>
      <c r="D264">
        <v>15891</v>
      </c>
      <c r="E264">
        <v>1500</v>
      </c>
      <c r="F264">
        <v>2317</v>
      </c>
    </row>
    <row r="265" spans="1:6">
      <c r="A265" t="s">
        <v>1309</v>
      </c>
      <c r="B265">
        <v>30</v>
      </c>
      <c r="C265" t="s">
        <v>1045</v>
      </c>
      <c r="D265">
        <v>9535</v>
      </c>
      <c r="E265">
        <v>1500</v>
      </c>
      <c r="F265">
        <v>2317</v>
      </c>
    </row>
    <row r="266" spans="1:6">
      <c r="A266" t="s">
        <v>1310</v>
      </c>
      <c r="B266">
        <v>30</v>
      </c>
      <c r="C266" t="s">
        <v>1047</v>
      </c>
      <c r="D266">
        <v>2649</v>
      </c>
      <c r="E266">
        <v>1500</v>
      </c>
      <c r="F266">
        <v>2317</v>
      </c>
    </row>
    <row r="267" spans="1:6">
      <c r="A267" t="s">
        <v>1311</v>
      </c>
      <c r="B267">
        <v>30</v>
      </c>
      <c r="C267" t="s">
        <v>1049</v>
      </c>
      <c r="D267">
        <v>795</v>
      </c>
      <c r="E267">
        <v>1500</v>
      </c>
      <c r="F267">
        <v>2317</v>
      </c>
    </row>
    <row r="268" spans="1:6">
      <c r="A268" t="s">
        <v>1312</v>
      </c>
      <c r="B268">
        <v>30</v>
      </c>
      <c r="C268" t="s">
        <v>745</v>
      </c>
      <c r="D268">
        <v>21188</v>
      </c>
      <c r="E268">
        <v>1500</v>
      </c>
      <c r="F268">
        <v>2317</v>
      </c>
    </row>
    <row r="269" spans="1:6">
      <c r="A269" t="s">
        <v>1313</v>
      </c>
      <c r="B269">
        <v>30</v>
      </c>
      <c r="C269" t="s">
        <v>1052</v>
      </c>
      <c r="D269">
        <v>47673</v>
      </c>
      <c r="E269">
        <v>1500</v>
      </c>
      <c r="F269">
        <v>2317</v>
      </c>
    </row>
    <row r="270" spans="1:6">
      <c r="A270" t="s">
        <v>1314</v>
      </c>
      <c r="B270">
        <v>30</v>
      </c>
      <c r="C270" t="s">
        <v>164</v>
      </c>
      <c r="D270">
        <v>398013</v>
      </c>
      <c r="E270">
        <v>1838</v>
      </c>
      <c r="F270">
        <v>2317</v>
      </c>
    </row>
    <row r="271" spans="1:6">
      <c r="A271" t="s">
        <v>1315</v>
      </c>
      <c r="B271">
        <v>30</v>
      </c>
      <c r="C271" t="s">
        <v>651</v>
      </c>
      <c r="D271">
        <v>199007</v>
      </c>
      <c r="E271">
        <v>1838</v>
      </c>
      <c r="F271">
        <v>2317</v>
      </c>
    </row>
    <row r="272" spans="1:6">
      <c r="A272" t="s">
        <v>1316</v>
      </c>
      <c r="B272">
        <v>31</v>
      </c>
      <c r="C272" t="s">
        <v>154</v>
      </c>
      <c r="D272">
        <v>5552</v>
      </c>
      <c r="E272">
        <v>1557</v>
      </c>
      <c r="F272">
        <v>2398</v>
      </c>
    </row>
    <row r="273" spans="1:6">
      <c r="A273" t="s">
        <v>1317</v>
      </c>
      <c r="B273">
        <v>31</v>
      </c>
      <c r="C273" t="s">
        <v>1043</v>
      </c>
      <c r="D273">
        <v>16656</v>
      </c>
      <c r="E273">
        <v>1557</v>
      </c>
      <c r="F273">
        <v>2398</v>
      </c>
    </row>
    <row r="274" spans="1:6">
      <c r="A274" t="s">
        <v>1318</v>
      </c>
      <c r="B274">
        <v>31</v>
      </c>
      <c r="C274" t="s">
        <v>1045</v>
      </c>
      <c r="D274">
        <v>9994</v>
      </c>
      <c r="E274">
        <v>1557</v>
      </c>
      <c r="F274">
        <v>2398</v>
      </c>
    </row>
    <row r="275" spans="1:6">
      <c r="A275" t="s">
        <v>1319</v>
      </c>
      <c r="B275">
        <v>31</v>
      </c>
      <c r="C275" t="s">
        <v>1047</v>
      </c>
      <c r="D275">
        <v>2776</v>
      </c>
      <c r="E275">
        <v>1557</v>
      </c>
      <c r="F275">
        <v>2398</v>
      </c>
    </row>
    <row r="276" spans="1:6">
      <c r="A276" t="s">
        <v>1320</v>
      </c>
      <c r="B276">
        <v>31</v>
      </c>
      <c r="C276" t="s">
        <v>1049</v>
      </c>
      <c r="D276">
        <v>833</v>
      </c>
      <c r="E276">
        <v>1557</v>
      </c>
      <c r="F276">
        <v>2398</v>
      </c>
    </row>
    <row r="277" spans="1:6">
      <c r="A277" t="s">
        <v>1321</v>
      </c>
      <c r="B277">
        <v>31</v>
      </c>
      <c r="C277" t="s">
        <v>745</v>
      </c>
      <c r="D277">
        <v>22208</v>
      </c>
      <c r="E277">
        <v>1557</v>
      </c>
      <c r="F277">
        <v>2398</v>
      </c>
    </row>
    <row r="278" spans="1:6">
      <c r="A278" t="s">
        <v>1322</v>
      </c>
      <c r="B278">
        <v>31</v>
      </c>
      <c r="C278" t="s">
        <v>1052</v>
      </c>
      <c r="D278">
        <v>49968</v>
      </c>
      <c r="E278">
        <v>1557</v>
      </c>
      <c r="F278">
        <v>2398</v>
      </c>
    </row>
    <row r="279" spans="1:6">
      <c r="A279" t="s">
        <v>1323</v>
      </c>
      <c r="B279">
        <v>31</v>
      </c>
      <c r="C279" t="s">
        <v>164</v>
      </c>
      <c r="D279">
        <v>414648</v>
      </c>
      <c r="E279">
        <v>1906</v>
      </c>
      <c r="F279">
        <v>2398</v>
      </c>
    </row>
    <row r="280" spans="1:6">
      <c r="A280" t="s">
        <v>1324</v>
      </c>
      <c r="B280">
        <v>31</v>
      </c>
      <c r="C280" t="s">
        <v>651</v>
      </c>
      <c r="D280">
        <v>207324</v>
      </c>
      <c r="E280">
        <v>1906</v>
      </c>
      <c r="F280">
        <v>2398</v>
      </c>
    </row>
    <row r="281" spans="1:6">
      <c r="A281" t="s">
        <v>1325</v>
      </c>
      <c r="B281">
        <v>32</v>
      </c>
      <c r="C281" t="s">
        <v>154</v>
      </c>
      <c r="D281">
        <v>5812</v>
      </c>
      <c r="E281">
        <v>1613</v>
      </c>
      <c r="F281">
        <v>2479</v>
      </c>
    </row>
    <row r="282" spans="1:6">
      <c r="A282" t="s">
        <v>1326</v>
      </c>
      <c r="B282">
        <v>32</v>
      </c>
      <c r="C282" t="s">
        <v>1043</v>
      </c>
      <c r="D282">
        <v>17436</v>
      </c>
      <c r="E282">
        <v>1613</v>
      </c>
      <c r="F282">
        <v>2479</v>
      </c>
    </row>
    <row r="283" spans="1:6">
      <c r="A283" t="s">
        <v>1327</v>
      </c>
      <c r="B283">
        <v>32</v>
      </c>
      <c r="C283" t="s">
        <v>1045</v>
      </c>
      <c r="D283">
        <v>10462</v>
      </c>
      <c r="E283">
        <v>1613</v>
      </c>
      <c r="F283">
        <v>2479</v>
      </c>
    </row>
    <row r="284" spans="1:6">
      <c r="A284" t="s">
        <v>1328</v>
      </c>
      <c r="B284">
        <v>32</v>
      </c>
      <c r="C284" t="s">
        <v>1047</v>
      </c>
      <c r="D284">
        <v>2906</v>
      </c>
      <c r="E284">
        <v>1613</v>
      </c>
      <c r="F284">
        <v>2479</v>
      </c>
    </row>
    <row r="285" spans="1:6">
      <c r="A285" t="s">
        <v>1329</v>
      </c>
      <c r="B285">
        <v>32</v>
      </c>
      <c r="C285" t="s">
        <v>1049</v>
      </c>
      <c r="D285">
        <v>872</v>
      </c>
      <c r="E285">
        <v>1613</v>
      </c>
      <c r="F285">
        <v>2479</v>
      </c>
    </row>
    <row r="286" spans="1:6">
      <c r="A286" t="s">
        <v>1330</v>
      </c>
      <c r="B286">
        <v>32</v>
      </c>
      <c r="C286" t="s">
        <v>745</v>
      </c>
      <c r="D286">
        <v>23248</v>
      </c>
      <c r="E286">
        <v>1613</v>
      </c>
      <c r="F286">
        <v>2479</v>
      </c>
    </row>
    <row r="287" spans="1:6">
      <c r="A287" t="s">
        <v>1331</v>
      </c>
      <c r="B287">
        <v>32</v>
      </c>
      <c r="C287" t="s">
        <v>1052</v>
      </c>
      <c r="D287">
        <v>52308</v>
      </c>
      <c r="E287">
        <v>1613</v>
      </c>
      <c r="F287">
        <v>2479</v>
      </c>
    </row>
    <row r="288" spans="1:6">
      <c r="A288" t="s">
        <v>1332</v>
      </c>
      <c r="B288">
        <v>32</v>
      </c>
      <c r="C288" t="s">
        <v>164</v>
      </c>
      <c r="D288">
        <v>431669</v>
      </c>
      <c r="E288">
        <v>1974</v>
      </c>
      <c r="F288">
        <v>2479</v>
      </c>
    </row>
    <row r="289" spans="1:6">
      <c r="A289" t="s">
        <v>1333</v>
      </c>
      <c r="B289">
        <v>32</v>
      </c>
      <c r="C289" t="s">
        <v>651</v>
      </c>
      <c r="D289">
        <v>215835</v>
      </c>
      <c r="E289">
        <v>1974</v>
      </c>
      <c r="F289">
        <v>2479</v>
      </c>
    </row>
    <row r="290" spans="1:6">
      <c r="A290" t="s">
        <v>1334</v>
      </c>
      <c r="B290">
        <v>33</v>
      </c>
      <c r="C290" t="s">
        <v>154</v>
      </c>
      <c r="D290">
        <v>6078</v>
      </c>
      <c r="E290">
        <v>1671</v>
      </c>
      <c r="F290">
        <v>2560</v>
      </c>
    </row>
    <row r="291" spans="1:6">
      <c r="A291" t="s">
        <v>1335</v>
      </c>
      <c r="B291">
        <v>33</v>
      </c>
      <c r="C291" t="s">
        <v>1043</v>
      </c>
      <c r="D291">
        <v>18234</v>
      </c>
      <c r="E291">
        <v>1671</v>
      </c>
      <c r="F291">
        <v>2560</v>
      </c>
    </row>
    <row r="292" spans="1:6">
      <c r="A292" t="s">
        <v>1336</v>
      </c>
      <c r="B292">
        <v>33</v>
      </c>
      <c r="C292" t="s">
        <v>1045</v>
      </c>
      <c r="D292">
        <v>10941</v>
      </c>
      <c r="E292">
        <v>1671</v>
      </c>
      <c r="F292">
        <v>2560</v>
      </c>
    </row>
    <row r="293" spans="1:6">
      <c r="A293" t="s">
        <v>1337</v>
      </c>
      <c r="B293">
        <v>33</v>
      </c>
      <c r="C293" t="s">
        <v>1047</v>
      </c>
      <c r="D293">
        <v>3039</v>
      </c>
      <c r="E293">
        <v>1671</v>
      </c>
      <c r="F293">
        <v>2560</v>
      </c>
    </row>
    <row r="294" spans="1:6">
      <c r="A294" t="s">
        <v>1338</v>
      </c>
      <c r="B294">
        <v>33</v>
      </c>
      <c r="C294" t="s">
        <v>1049</v>
      </c>
      <c r="D294">
        <v>912</v>
      </c>
      <c r="E294">
        <v>1671</v>
      </c>
      <c r="F294">
        <v>2560</v>
      </c>
    </row>
    <row r="295" spans="1:6">
      <c r="A295" t="s">
        <v>1339</v>
      </c>
      <c r="B295">
        <v>33</v>
      </c>
      <c r="C295" t="s">
        <v>745</v>
      </c>
      <c r="D295">
        <v>24312</v>
      </c>
      <c r="E295">
        <v>1671</v>
      </c>
      <c r="F295">
        <v>2560</v>
      </c>
    </row>
    <row r="296" spans="1:6">
      <c r="A296" t="s">
        <v>1340</v>
      </c>
      <c r="B296">
        <v>33</v>
      </c>
      <c r="C296" t="s">
        <v>1052</v>
      </c>
      <c r="D296">
        <v>54702</v>
      </c>
      <c r="E296">
        <v>1671</v>
      </c>
      <c r="F296">
        <v>2560</v>
      </c>
    </row>
    <row r="297" spans="1:6">
      <c r="A297" t="s">
        <v>1341</v>
      </c>
      <c r="B297">
        <v>33</v>
      </c>
      <c r="C297" t="s">
        <v>164</v>
      </c>
      <c r="D297">
        <v>449016</v>
      </c>
      <c r="E297">
        <v>2043</v>
      </c>
      <c r="F297">
        <v>2560</v>
      </c>
    </row>
    <row r="298" spans="1:6">
      <c r="A298" t="s">
        <v>1342</v>
      </c>
      <c r="B298">
        <v>33</v>
      </c>
      <c r="C298" t="s">
        <v>651</v>
      </c>
      <c r="D298">
        <v>224508</v>
      </c>
      <c r="E298">
        <v>2043</v>
      </c>
      <c r="F298">
        <v>2560</v>
      </c>
    </row>
    <row r="299" spans="1:6">
      <c r="A299" t="s">
        <v>1343</v>
      </c>
      <c r="B299">
        <v>34</v>
      </c>
      <c r="C299" t="s">
        <v>154</v>
      </c>
      <c r="D299">
        <v>6348</v>
      </c>
      <c r="E299">
        <v>1728</v>
      </c>
      <c r="F299">
        <v>2641</v>
      </c>
    </row>
    <row r="300" spans="1:6">
      <c r="A300" t="s">
        <v>1344</v>
      </c>
      <c r="B300">
        <v>34</v>
      </c>
      <c r="C300" t="s">
        <v>1043</v>
      </c>
      <c r="D300">
        <v>19044</v>
      </c>
      <c r="E300">
        <v>1728</v>
      </c>
      <c r="F300">
        <v>2641</v>
      </c>
    </row>
    <row r="301" spans="1:6">
      <c r="A301" t="s">
        <v>1345</v>
      </c>
      <c r="B301">
        <v>34</v>
      </c>
      <c r="C301" t="s">
        <v>1045</v>
      </c>
      <c r="D301">
        <v>11427</v>
      </c>
      <c r="E301">
        <v>1728</v>
      </c>
      <c r="F301">
        <v>2641</v>
      </c>
    </row>
    <row r="302" spans="1:6">
      <c r="A302" t="s">
        <v>1346</v>
      </c>
      <c r="B302">
        <v>34</v>
      </c>
      <c r="C302" t="s">
        <v>1047</v>
      </c>
      <c r="D302">
        <v>3174</v>
      </c>
      <c r="E302">
        <v>1728</v>
      </c>
      <c r="F302">
        <v>2641</v>
      </c>
    </row>
    <row r="303" spans="1:6">
      <c r="A303" t="s">
        <v>1347</v>
      </c>
      <c r="B303">
        <v>34</v>
      </c>
      <c r="C303" t="s">
        <v>1049</v>
      </c>
      <c r="D303">
        <v>953</v>
      </c>
      <c r="E303">
        <v>1728</v>
      </c>
      <c r="F303">
        <v>2641</v>
      </c>
    </row>
    <row r="304" spans="1:6">
      <c r="A304" t="s">
        <v>1348</v>
      </c>
      <c r="B304">
        <v>34</v>
      </c>
      <c r="C304" t="s">
        <v>745</v>
      </c>
      <c r="D304">
        <v>25392</v>
      </c>
      <c r="E304">
        <v>1728</v>
      </c>
      <c r="F304">
        <v>2641</v>
      </c>
    </row>
    <row r="305" spans="1:6">
      <c r="A305" t="s">
        <v>1349</v>
      </c>
      <c r="B305">
        <v>34</v>
      </c>
      <c r="C305" t="s">
        <v>1052</v>
      </c>
      <c r="D305">
        <v>57132</v>
      </c>
      <c r="E305">
        <v>1728</v>
      </c>
      <c r="F305">
        <v>2641</v>
      </c>
    </row>
    <row r="306" spans="1:6">
      <c r="A306" t="s">
        <v>1350</v>
      </c>
      <c r="B306">
        <v>34</v>
      </c>
      <c r="C306" t="s">
        <v>164</v>
      </c>
      <c r="D306">
        <v>466758</v>
      </c>
      <c r="E306">
        <v>2112</v>
      </c>
      <c r="F306">
        <v>2641</v>
      </c>
    </row>
    <row r="307" spans="1:6">
      <c r="A307" t="s">
        <v>1351</v>
      </c>
      <c r="B307">
        <v>34</v>
      </c>
      <c r="C307" t="s">
        <v>651</v>
      </c>
      <c r="D307">
        <v>233379</v>
      </c>
      <c r="E307">
        <v>2112</v>
      </c>
      <c r="F307">
        <v>2641</v>
      </c>
    </row>
    <row r="308" spans="1:6">
      <c r="A308" t="s">
        <v>1352</v>
      </c>
      <c r="B308">
        <v>35</v>
      </c>
      <c r="C308" t="s">
        <v>154</v>
      </c>
      <c r="D308">
        <v>6624</v>
      </c>
      <c r="E308">
        <v>1787</v>
      </c>
      <c r="F308">
        <v>2723</v>
      </c>
    </row>
    <row r="309" spans="1:6">
      <c r="A309" t="s">
        <v>1353</v>
      </c>
      <c r="B309">
        <v>35</v>
      </c>
      <c r="C309" t="s">
        <v>1043</v>
      </c>
      <c r="D309">
        <v>19872</v>
      </c>
      <c r="E309">
        <v>1787</v>
      </c>
      <c r="F309">
        <v>2723</v>
      </c>
    </row>
    <row r="310" spans="1:6">
      <c r="A310" t="s">
        <v>1354</v>
      </c>
      <c r="B310">
        <v>35</v>
      </c>
      <c r="C310" t="s">
        <v>1045</v>
      </c>
      <c r="D310">
        <v>11924</v>
      </c>
      <c r="E310">
        <v>1787</v>
      </c>
      <c r="F310">
        <v>2723</v>
      </c>
    </row>
    <row r="311" spans="1:6">
      <c r="A311" t="s">
        <v>1355</v>
      </c>
      <c r="B311">
        <v>35</v>
      </c>
      <c r="C311" t="s">
        <v>1047</v>
      </c>
      <c r="D311">
        <v>3312</v>
      </c>
      <c r="E311">
        <v>1787</v>
      </c>
      <c r="F311">
        <v>2723</v>
      </c>
    </row>
    <row r="312" spans="1:6">
      <c r="A312" t="s">
        <v>1356</v>
      </c>
      <c r="B312">
        <v>35</v>
      </c>
      <c r="C312" t="s">
        <v>1049</v>
      </c>
      <c r="D312">
        <v>994</v>
      </c>
      <c r="E312">
        <v>1787</v>
      </c>
      <c r="F312">
        <v>2723</v>
      </c>
    </row>
    <row r="313" spans="1:6">
      <c r="A313" t="s">
        <v>1357</v>
      </c>
      <c r="B313">
        <v>35</v>
      </c>
      <c r="C313" t="s">
        <v>745</v>
      </c>
      <c r="D313">
        <v>26496</v>
      </c>
      <c r="E313">
        <v>1787</v>
      </c>
      <c r="F313">
        <v>2723</v>
      </c>
    </row>
    <row r="314" spans="1:6">
      <c r="A314" t="s">
        <v>1358</v>
      </c>
      <c r="B314">
        <v>35</v>
      </c>
      <c r="C314" t="s">
        <v>1052</v>
      </c>
      <c r="D314">
        <v>59616</v>
      </c>
      <c r="E314">
        <v>1787</v>
      </c>
      <c r="F314">
        <v>2723</v>
      </c>
    </row>
    <row r="315" spans="1:6">
      <c r="A315" t="s">
        <v>1359</v>
      </c>
      <c r="B315">
        <v>35</v>
      </c>
      <c r="C315" t="s">
        <v>164</v>
      </c>
      <c r="D315">
        <v>484837</v>
      </c>
      <c r="E315">
        <v>2182</v>
      </c>
      <c r="F315">
        <v>2723</v>
      </c>
    </row>
    <row r="316" spans="1:6">
      <c r="A316" t="s">
        <v>1360</v>
      </c>
      <c r="B316">
        <v>35</v>
      </c>
      <c r="C316" t="s">
        <v>651</v>
      </c>
      <c r="D316">
        <v>242419</v>
      </c>
      <c r="E316">
        <v>2182</v>
      </c>
      <c r="F316">
        <v>2723</v>
      </c>
    </row>
    <row r="317" spans="1:6">
      <c r="A317" t="s">
        <v>1361</v>
      </c>
      <c r="B317">
        <v>36</v>
      </c>
      <c r="C317" t="s">
        <v>154</v>
      </c>
      <c r="D317">
        <v>6904</v>
      </c>
      <c r="E317">
        <v>1845</v>
      </c>
      <c r="F317">
        <v>2805</v>
      </c>
    </row>
    <row r="318" spans="1:6">
      <c r="A318" t="s">
        <v>1362</v>
      </c>
      <c r="B318">
        <v>36</v>
      </c>
      <c r="C318" t="s">
        <v>1043</v>
      </c>
      <c r="D318">
        <v>20712</v>
      </c>
      <c r="E318">
        <v>1845</v>
      </c>
      <c r="F318">
        <v>2805</v>
      </c>
    </row>
    <row r="319" spans="1:6">
      <c r="A319" t="s">
        <v>1363</v>
      </c>
      <c r="B319">
        <v>36</v>
      </c>
      <c r="C319" t="s">
        <v>1045</v>
      </c>
      <c r="D319">
        <v>12428</v>
      </c>
      <c r="E319">
        <v>1845</v>
      </c>
      <c r="F319">
        <v>2805</v>
      </c>
    </row>
    <row r="320" spans="1:6">
      <c r="A320" t="s">
        <v>1364</v>
      </c>
      <c r="B320">
        <v>36</v>
      </c>
      <c r="C320" t="s">
        <v>1047</v>
      </c>
      <c r="D320">
        <v>3452</v>
      </c>
      <c r="E320">
        <v>1845</v>
      </c>
      <c r="F320">
        <v>2805</v>
      </c>
    </row>
    <row r="321" spans="1:6">
      <c r="A321" t="s">
        <v>1365</v>
      </c>
      <c r="B321">
        <v>36</v>
      </c>
      <c r="C321" t="s">
        <v>1049</v>
      </c>
      <c r="D321">
        <v>1036</v>
      </c>
      <c r="E321">
        <v>1845</v>
      </c>
      <c r="F321">
        <v>2805</v>
      </c>
    </row>
    <row r="322" spans="1:6">
      <c r="A322" t="s">
        <v>1366</v>
      </c>
      <c r="B322">
        <v>36</v>
      </c>
      <c r="C322" t="s">
        <v>745</v>
      </c>
      <c r="D322">
        <v>27616</v>
      </c>
      <c r="E322">
        <v>1845</v>
      </c>
      <c r="F322">
        <v>2805</v>
      </c>
    </row>
    <row r="323" spans="1:6">
      <c r="A323" t="s">
        <v>1367</v>
      </c>
      <c r="B323">
        <v>36</v>
      </c>
      <c r="C323" t="s">
        <v>1052</v>
      </c>
      <c r="D323">
        <v>62136</v>
      </c>
      <c r="E323">
        <v>1845</v>
      </c>
      <c r="F323">
        <v>2805</v>
      </c>
    </row>
    <row r="324" spans="1:6">
      <c r="A324" t="s">
        <v>1368</v>
      </c>
      <c r="B324">
        <v>36</v>
      </c>
      <c r="C324" t="s">
        <v>164</v>
      </c>
      <c r="D324">
        <v>503258</v>
      </c>
      <c r="E324">
        <v>2252</v>
      </c>
      <c r="F324">
        <v>2805</v>
      </c>
    </row>
    <row r="325" spans="1:6">
      <c r="A325" t="s">
        <v>1369</v>
      </c>
      <c r="B325">
        <v>36</v>
      </c>
      <c r="C325" t="s">
        <v>651</v>
      </c>
      <c r="D325">
        <v>251629</v>
      </c>
      <c r="E325">
        <v>2252</v>
      </c>
      <c r="F325">
        <v>2805</v>
      </c>
    </row>
    <row r="326" spans="1:6">
      <c r="A326" t="s">
        <v>1370</v>
      </c>
      <c r="B326">
        <v>37</v>
      </c>
      <c r="C326" t="s">
        <v>154</v>
      </c>
      <c r="D326">
        <v>7190</v>
      </c>
      <c r="E326">
        <v>1904</v>
      </c>
      <c r="F326">
        <v>2887</v>
      </c>
    </row>
    <row r="327" spans="1:6">
      <c r="A327" t="s">
        <v>1371</v>
      </c>
      <c r="B327">
        <v>37</v>
      </c>
      <c r="C327" t="s">
        <v>1043</v>
      </c>
      <c r="D327">
        <v>21570</v>
      </c>
      <c r="E327">
        <v>1904</v>
      </c>
      <c r="F327">
        <v>2887</v>
      </c>
    </row>
    <row r="328" spans="1:6">
      <c r="A328" t="s">
        <v>1372</v>
      </c>
      <c r="B328">
        <v>37</v>
      </c>
      <c r="C328" t="s">
        <v>1045</v>
      </c>
      <c r="D328">
        <v>12942</v>
      </c>
      <c r="E328">
        <v>1904</v>
      </c>
      <c r="F328">
        <v>2887</v>
      </c>
    </row>
    <row r="329" spans="1:6">
      <c r="A329" t="s">
        <v>1373</v>
      </c>
      <c r="B329">
        <v>37</v>
      </c>
      <c r="C329" t="s">
        <v>1047</v>
      </c>
      <c r="D329">
        <v>3595</v>
      </c>
      <c r="E329">
        <v>1904</v>
      </c>
      <c r="F329">
        <v>2887</v>
      </c>
    </row>
    <row r="330" spans="1:6">
      <c r="A330" t="s">
        <v>1374</v>
      </c>
      <c r="B330">
        <v>37</v>
      </c>
      <c r="C330" t="s">
        <v>1049</v>
      </c>
      <c r="D330">
        <v>1079</v>
      </c>
      <c r="E330">
        <v>1904</v>
      </c>
      <c r="F330">
        <v>2887</v>
      </c>
    </row>
    <row r="331" spans="1:6">
      <c r="A331" t="s">
        <v>1375</v>
      </c>
      <c r="B331">
        <v>37</v>
      </c>
      <c r="C331" t="s">
        <v>745</v>
      </c>
      <c r="D331">
        <v>28760</v>
      </c>
      <c r="E331">
        <v>1904</v>
      </c>
      <c r="F331">
        <v>2887</v>
      </c>
    </row>
    <row r="332" spans="1:6">
      <c r="A332" t="s">
        <v>1376</v>
      </c>
      <c r="B332">
        <v>37</v>
      </c>
      <c r="C332" t="s">
        <v>1052</v>
      </c>
      <c r="D332">
        <v>64710</v>
      </c>
      <c r="E332">
        <v>1904</v>
      </c>
      <c r="F332">
        <v>2887</v>
      </c>
    </row>
    <row r="333" spans="1:6">
      <c r="A333" t="s">
        <v>1377</v>
      </c>
      <c r="B333">
        <v>37</v>
      </c>
      <c r="C333" t="s">
        <v>164</v>
      </c>
      <c r="D333">
        <v>522154</v>
      </c>
      <c r="E333">
        <v>2322</v>
      </c>
      <c r="F333">
        <v>2887</v>
      </c>
    </row>
    <row r="334" spans="1:6">
      <c r="A334" t="s">
        <v>1378</v>
      </c>
      <c r="B334">
        <v>37</v>
      </c>
      <c r="C334" t="s">
        <v>651</v>
      </c>
      <c r="D334">
        <v>261077</v>
      </c>
      <c r="E334">
        <v>2322</v>
      </c>
      <c r="F334">
        <v>2887</v>
      </c>
    </row>
    <row r="335" spans="1:6">
      <c r="A335" t="s">
        <v>1379</v>
      </c>
      <c r="B335">
        <v>38</v>
      </c>
      <c r="C335" t="s">
        <v>154</v>
      </c>
      <c r="D335">
        <v>7481</v>
      </c>
      <c r="E335">
        <v>1963</v>
      </c>
      <c r="F335">
        <v>2969</v>
      </c>
    </row>
    <row r="336" spans="1:6">
      <c r="A336" t="s">
        <v>1380</v>
      </c>
      <c r="B336">
        <v>38</v>
      </c>
      <c r="C336" t="s">
        <v>1043</v>
      </c>
      <c r="D336">
        <v>22443</v>
      </c>
      <c r="E336">
        <v>1963</v>
      </c>
      <c r="F336">
        <v>2969</v>
      </c>
    </row>
    <row r="337" spans="1:6">
      <c r="A337" t="s">
        <v>1381</v>
      </c>
      <c r="B337">
        <v>38</v>
      </c>
      <c r="C337" t="s">
        <v>1045</v>
      </c>
      <c r="D337">
        <v>13466</v>
      </c>
      <c r="E337">
        <v>1963</v>
      </c>
      <c r="F337">
        <v>2969</v>
      </c>
    </row>
    <row r="338" spans="1:6">
      <c r="A338" t="s">
        <v>1382</v>
      </c>
      <c r="B338">
        <v>38</v>
      </c>
      <c r="C338" t="s">
        <v>1047</v>
      </c>
      <c r="D338">
        <v>3741</v>
      </c>
      <c r="E338">
        <v>1963</v>
      </c>
      <c r="F338">
        <v>2969</v>
      </c>
    </row>
    <row r="339" spans="1:6">
      <c r="A339" t="s">
        <v>1383</v>
      </c>
      <c r="B339">
        <v>38</v>
      </c>
      <c r="C339" t="s">
        <v>1049</v>
      </c>
      <c r="D339">
        <v>1123</v>
      </c>
      <c r="E339">
        <v>1963</v>
      </c>
      <c r="F339">
        <v>2969</v>
      </c>
    </row>
    <row r="340" spans="1:6">
      <c r="A340" t="s">
        <v>1384</v>
      </c>
      <c r="B340">
        <v>38</v>
      </c>
      <c r="C340" t="s">
        <v>745</v>
      </c>
      <c r="D340">
        <v>29924</v>
      </c>
      <c r="E340">
        <v>1963</v>
      </c>
      <c r="F340">
        <v>2969</v>
      </c>
    </row>
    <row r="341" spans="1:6">
      <c r="A341" t="s">
        <v>1385</v>
      </c>
      <c r="B341">
        <v>38</v>
      </c>
      <c r="C341" t="s">
        <v>1052</v>
      </c>
      <c r="D341">
        <v>67329</v>
      </c>
      <c r="E341">
        <v>1963</v>
      </c>
      <c r="F341">
        <v>2969</v>
      </c>
    </row>
    <row r="342" spans="1:6">
      <c r="A342" t="s">
        <v>1386</v>
      </c>
      <c r="B342">
        <v>38</v>
      </c>
      <c r="C342" t="s">
        <v>164</v>
      </c>
      <c r="D342">
        <v>541403</v>
      </c>
      <c r="E342">
        <v>2393</v>
      </c>
      <c r="F342">
        <v>2969</v>
      </c>
    </row>
    <row r="343" spans="1:6">
      <c r="A343" t="s">
        <v>1387</v>
      </c>
      <c r="B343">
        <v>38</v>
      </c>
      <c r="C343" t="s">
        <v>651</v>
      </c>
      <c r="D343">
        <v>270702</v>
      </c>
      <c r="E343">
        <v>2393</v>
      </c>
      <c r="F343">
        <v>2969</v>
      </c>
    </row>
    <row r="344" spans="1:6">
      <c r="A344" t="s">
        <v>1388</v>
      </c>
      <c r="B344">
        <v>39</v>
      </c>
      <c r="C344" t="s">
        <v>154</v>
      </c>
      <c r="D344">
        <v>7777</v>
      </c>
      <c r="E344">
        <v>2023</v>
      </c>
      <c r="F344">
        <v>3052</v>
      </c>
    </row>
    <row r="345" spans="1:6">
      <c r="A345" t="s">
        <v>1389</v>
      </c>
      <c r="B345">
        <v>39</v>
      </c>
      <c r="C345" t="s">
        <v>1043</v>
      </c>
      <c r="D345">
        <v>23331</v>
      </c>
      <c r="E345">
        <v>2023</v>
      </c>
      <c r="F345">
        <v>3052</v>
      </c>
    </row>
    <row r="346" spans="1:6">
      <c r="A346" t="s">
        <v>1390</v>
      </c>
      <c r="B346">
        <v>39</v>
      </c>
      <c r="C346" t="s">
        <v>1045</v>
      </c>
      <c r="D346">
        <v>13999</v>
      </c>
      <c r="E346">
        <v>2023</v>
      </c>
      <c r="F346">
        <v>3052</v>
      </c>
    </row>
    <row r="347" spans="1:6">
      <c r="A347" t="s">
        <v>1391</v>
      </c>
      <c r="B347">
        <v>39</v>
      </c>
      <c r="C347" t="s">
        <v>1047</v>
      </c>
      <c r="D347">
        <v>3889</v>
      </c>
      <c r="E347">
        <v>2023</v>
      </c>
      <c r="F347">
        <v>3052</v>
      </c>
    </row>
    <row r="348" spans="1:6">
      <c r="A348" t="s">
        <v>1392</v>
      </c>
      <c r="B348">
        <v>39</v>
      </c>
      <c r="C348" t="s">
        <v>1049</v>
      </c>
      <c r="D348">
        <v>1167</v>
      </c>
      <c r="E348">
        <v>2023</v>
      </c>
      <c r="F348">
        <v>3052</v>
      </c>
    </row>
    <row r="349" spans="1:6">
      <c r="A349" t="s">
        <v>1393</v>
      </c>
      <c r="B349">
        <v>39</v>
      </c>
      <c r="C349" t="s">
        <v>745</v>
      </c>
      <c r="D349">
        <v>31108</v>
      </c>
      <c r="E349">
        <v>2023</v>
      </c>
      <c r="F349">
        <v>3052</v>
      </c>
    </row>
    <row r="350" spans="1:6">
      <c r="A350" t="s">
        <v>1394</v>
      </c>
      <c r="B350">
        <v>39</v>
      </c>
      <c r="C350" t="s">
        <v>1052</v>
      </c>
      <c r="D350">
        <v>69993</v>
      </c>
      <c r="E350">
        <v>2023</v>
      </c>
      <c r="F350">
        <v>3052</v>
      </c>
    </row>
    <row r="351" spans="1:6">
      <c r="A351" t="s">
        <v>1395</v>
      </c>
      <c r="B351">
        <v>39</v>
      </c>
      <c r="C351" t="s">
        <v>164</v>
      </c>
      <c r="D351">
        <v>561073</v>
      </c>
      <c r="E351">
        <v>2464</v>
      </c>
      <c r="F351">
        <v>3052</v>
      </c>
    </row>
    <row r="352" spans="1:6">
      <c r="A352" t="s">
        <v>1396</v>
      </c>
      <c r="B352">
        <v>39</v>
      </c>
      <c r="C352" t="s">
        <v>651</v>
      </c>
      <c r="D352">
        <v>280537</v>
      </c>
      <c r="E352">
        <v>2464</v>
      </c>
      <c r="F352">
        <v>3052</v>
      </c>
    </row>
    <row r="353" spans="1:6">
      <c r="A353" t="s">
        <v>1397</v>
      </c>
      <c r="B353">
        <v>40</v>
      </c>
      <c r="C353" t="s">
        <v>154</v>
      </c>
      <c r="D353">
        <v>8079</v>
      </c>
      <c r="E353">
        <v>2083</v>
      </c>
      <c r="F353">
        <v>3135</v>
      </c>
    </row>
    <row r="354" spans="1:6">
      <c r="A354" t="s">
        <v>1398</v>
      </c>
      <c r="B354">
        <v>40</v>
      </c>
      <c r="C354" t="s">
        <v>1043</v>
      </c>
      <c r="D354">
        <v>24237</v>
      </c>
      <c r="E354">
        <v>2083</v>
      </c>
      <c r="F354">
        <v>3135</v>
      </c>
    </row>
    <row r="355" spans="1:6">
      <c r="A355" t="s">
        <v>1399</v>
      </c>
      <c r="B355">
        <v>40</v>
      </c>
      <c r="C355" t="s">
        <v>1045</v>
      </c>
      <c r="D355">
        <v>14543</v>
      </c>
      <c r="E355">
        <v>2083</v>
      </c>
      <c r="F355">
        <v>3135</v>
      </c>
    </row>
    <row r="356" spans="1:6">
      <c r="A356" t="s">
        <v>1400</v>
      </c>
      <c r="B356">
        <v>40</v>
      </c>
      <c r="C356" t="s">
        <v>1047</v>
      </c>
      <c r="D356">
        <v>4040</v>
      </c>
      <c r="E356">
        <v>2083</v>
      </c>
      <c r="F356">
        <v>3135</v>
      </c>
    </row>
    <row r="357" spans="1:6">
      <c r="A357" t="s">
        <v>1401</v>
      </c>
      <c r="B357">
        <v>40</v>
      </c>
      <c r="C357" t="s">
        <v>1049</v>
      </c>
      <c r="D357">
        <v>1212</v>
      </c>
      <c r="E357">
        <v>2083</v>
      </c>
      <c r="F357">
        <v>3135</v>
      </c>
    </row>
    <row r="358" spans="1:6">
      <c r="A358" t="s">
        <v>1402</v>
      </c>
      <c r="B358">
        <v>40</v>
      </c>
      <c r="C358" t="s">
        <v>745</v>
      </c>
      <c r="D358">
        <v>32316</v>
      </c>
      <c r="E358">
        <v>2083</v>
      </c>
      <c r="F358">
        <v>3135</v>
      </c>
    </row>
    <row r="359" spans="1:6">
      <c r="A359" t="s">
        <v>1403</v>
      </c>
      <c r="B359">
        <v>40</v>
      </c>
      <c r="C359" t="s">
        <v>1052</v>
      </c>
      <c r="D359">
        <v>72711</v>
      </c>
      <c r="E359">
        <v>2083</v>
      </c>
      <c r="F359">
        <v>3135</v>
      </c>
    </row>
    <row r="360" spans="1:6">
      <c r="A360" t="s">
        <v>1404</v>
      </c>
      <c r="B360">
        <v>40</v>
      </c>
      <c r="C360" t="s">
        <v>164</v>
      </c>
      <c r="D360">
        <v>581169</v>
      </c>
      <c r="E360">
        <v>2536</v>
      </c>
      <c r="F360">
        <v>3135</v>
      </c>
    </row>
    <row r="361" spans="1:6">
      <c r="A361" t="s">
        <v>1405</v>
      </c>
      <c r="B361">
        <v>40</v>
      </c>
      <c r="C361" t="s">
        <v>651</v>
      </c>
      <c r="D361">
        <v>290585</v>
      </c>
      <c r="E361">
        <v>2536</v>
      </c>
      <c r="F361">
        <v>3135</v>
      </c>
    </row>
    <row r="362" spans="1:6">
      <c r="A362" t="s">
        <v>1406</v>
      </c>
      <c r="B362">
        <v>41</v>
      </c>
      <c r="C362" t="s">
        <v>154</v>
      </c>
      <c r="D362">
        <v>8386</v>
      </c>
      <c r="E362">
        <v>2144</v>
      </c>
      <c r="F362">
        <v>3218</v>
      </c>
    </row>
    <row r="363" spans="1:6">
      <c r="A363" t="s">
        <v>1407</v>
      </c>
      <c r="B363">
        <v>41</v>
      </c>
      <c r="C363" t="s">
        <v>1043</v>
      </c>
      <c r="D363">
        <v>25158</v>
      </c>
      <c r="E363">
        <v>2144</v>
      </c>
      <c r="F363">
        <v>3218</v>
      </c>
    </row>
    <row r="364" spans="1:6">
      <c r="A364" t="s">
        <v>1408</v>
      </c>
      <c r="B364">
        <v>41</v>
      </c>
      <c r="C364" t="s">
        <v>1045</v>
      </c>
      <c r="D364">
        <v>15095</v>
      </c>
      <c r="E364">
        <v>2144</v>
      </c>
      <c r="F364">
        <v>3218</v>
      </c>
    </row>
    <row r="365" spans="1:6">
      <c r="A365" t="s">
        <v>1409</v>
      </c>
      <c r="B365">
        <v>41</v>
      </c>
      <c r="C365" t="s">
        <v>1047</v>
      </c>
      <c r="D365">
        <v>4193</v>
      </c>
      <c r="E365">
        <v>2144</v>
      </c>
      <c r="F365">
        <v>3218</v>
      </c>
    </row>
    <row r="366" spans="1:6">
      <c r="A366" t="s">
        <v>1410</v>
      </c>
      <c r="B366">
        <v>41</v>
      </c>
      <c r="C366" t="s">
        <v>1049</v>
      </c>
      <c r="D366">
        <v>1258</v>
      </c>
      <c r="E366">
        <v>2144</v>
      </c>
      <c r="F366">
        <v>3218</v>
      </c>
    </row>
    <row r="367" spans="1:6">
      <c r="A367" t="s">
        <v>1411</v>
      </c>
      <c r="B367">
        <v>41</v>
      </c>
      <c r="C367" t="s">
        <v>745</v>
      </c>
      <c r="D367">
        <v>33544</v>
      </c>
      <c r="E367">
        <v>2144</v>
      </c>
      <c r="F367">
        <v>3218</v>
      </c>
    </row>
    <row r="368" spans="1:6">
      <c r="A368" t="s">
        <v>1412</v>
      </c>
      <c r="B368">
        <v>41</v>
      </c>
      <c r="C368" t="s">
        <v>1052</v>
      </c>
      <c r="D368">
        <v>75474</v>
      </c>
      <c r="E368">
        <v>2144</v>
      </c>
      <c r="F368">
        <v>3218</v>
      </c>
    </row>
    <row r="369" spans="1:6">
      <c r="A369" t="s">
        <v>1413</v>
      </c>
      <c r="B369">
        <v>41</v>
      </c>
      <c r="C369" t="s">
        <v>164</v>
      </c>
      <c r="D369">
        <v>601696</v>
      </c>
      <c r="E369">
        <v>2609</v>
      </c>
      <c r="F369">
        <v>3218</v>
      </c>
    </row>
    <row r="370" spans="1:6">
      <c r="A370" t="s">
        <v>1414</v>
      </c>
      <c r="B370">
        <v>41</v>
      </c>
      <c r="C370" t="s">
        <v>651</v>
      </c>
      <c r="D370">
        <v>300848</v>
      </c>
      <c r="E370">
        <v>2609</v>
      </c>
      <c r="F370">
        <v>3218</v>
      </c>
    </row>
    <row r="371" spans="1:6">
      <c r="A371" t="s">
        <v>1415</v>
      </c>
      <c r="B371">
        <v>42</v>
      </c>
      <c r="C371" t="s">
        <v>154</v>
      </c>
      <c r="D371">
        <v>8698</v>
      </c>
      <c r="E371">
        <v>2206</v>
      </c>
      <c r="F371">
        <v>3301</v>
      </c>
    </row>
    <row r="372" spans="1:6">
      <c r="A372" t="s">
        <v>1416</v>
      </c>
      <c r="B372">
        <v>42</v>
      </c>
      <c r="C372" t="s">
        <v>1043</v>
      </c>
      <c r="D372">
        <v>26094</v>
      </c>
      <c r="E372">
        <v>2206</v>
      </c>
      <c r="F372">
        <v>3301</v>
      </c>
    </row>
    <row r="373" spans="1:6">
      <c r="A373" t="s">
        <v>1417</v>
      </c>
      <c r="B373">
        <v>42</v>
      </c>
      <c r="C373" t="s">
        <v>1045</v>
      </c>
      <c r="D373">
        <v>15657</v>
      </c>
      <c r="E373">
        <v>2206</v>
      </c>
      <c r="F373">
        <v>3301</v>
      </c>
    </row>
    <row r="374" spans="1:6">
      <c r="A374" t="s">
        <v>1418</v>
      </c>
      <c r="B374">
        <v>42</v>
      </c>
      <c r="C374" t="s">
        <v>1047</v>
      </c>
      <c r="D374">
        <v>4349</v>
      </c>
      <c r="E374">
        <v>2206</v>
      </c>
      <c r="F374">
        <v>3301</v>
      </c>
    </row>
    <row r="375" spans="1:6">
      <c r="A375" t="s">
        <v>1419</v>
      </c>
      <c r="B375">
        <v>42</v>
      </c>
      <c r="C375" t="s">
        <v>1049</v>
      </c>
      <c r="D375">
        <v>1305</v>
      </c>
      <c r="E375">
        <v>2206</v>
      </c>
      <c r="F375">
        <v>3301</v>
      </c>
    </row>
    <row r="376" spans="1:6">
      <c r="A376" t="s">
        <v>1420</v>
      </c>
      <c r="B376">
        <v>42</v>
      </c>
      <c r="C376" t="s">
        <v>745</v>
      </c>
      <c r="D376">
        <v>34792</v>
      </c>
      <c r="E376">
        <v>2206</v>
      </c>
      <c r="F376">
        <v>3301</v>
      </c>
    </row>
    <row r="377" spans="1:6">
      <c r="A377" t="s">
        <v>1421</v>
      </c>
      <c r="B377">
        <v>42</v>
      </c>
      <c r="C377" t="s">
        <v>1052</v>
      </c>
      <c r="D377">
        <v>78282</v>
      </c>
      <c r="E377">
        <v>2206</v>
      </c>
      <c r="F377">
        <v>3301</v>
      </c>
    </row>
    <row r="378" spans="1:6">
      <c r="A378" t="s">
        <v>1422</v>
      </c>
      <c r="B378">
        <v>42</v>
      </c>
      <c r="C378" t="s">
        <v>164</v>
      </c>
      <c r="D378">
        <v>622719</v>
      </c>
      <c r="E378">
        <v>2682</v>
      </c>
      <c r="F378">
        <v>3301</v>
      </c>
    </row>
    <row r="379" spans="1:6">
      <c r="A379" t="s">
        <v>1423</v>
      </c>
      <c r="B379">
        <v>42</v>
      </c>
      <c r="C379" t="s">
        <v>651</v>
      </c>
      <c r="D379">
        <v>311359</v>
      </c>
      <c r="E379">
        <v>2682</v>
      </c>
      <c r="F379">
        <v>3301</v>
      </c>
    </row>
    <row r="380" spans="1:6">
      <c r="A380" t="s">
        <v>1424</v>
      </c>
      <c r="B380">
        <v>43</v>
      </c>
      <c r="C380" t="s">
        <v>154</v>
      </c>
      <c r="D380">
        <v>9015</v>
      </c>
      <c r="E380">
        <v>2267</v>
      </c>
      <c r="F380">
        <v>3384</v>
      </c>
    </row>
    <row r="381" spans="1:6">
      <c r="A381" t="s">
        <v>1425</v>
      </c>
      <c r="B381">
        <v>43</v>
      </c>
      <c r="C381" t="s">
        <v>1043</v>
      </c>
      <c r="D381">
        <v>27045</v>
      </c>
      <c r="E381">
        <v>2267</v>
      </c>
      <c r="F381">
        <v>3384</v>
      </c>
    </row>
    <row r="382" spans="1:6">
      <c r="A382" t="s">
        <v>1426</v>
      </c>
      <c r="B382">
        <v>43</v>
      </c>
      <c r="C382" t="s">
        <v>1045</v>
      </c>
      <c r="D382">
        <v>16227</v>
      </c>
      <c r="E382">
        <v>2267</v>
      </c>
      <c r="F382">
        <v>3384</v>
      </c>
    </row>
    <row r="383" spans="1:6">
      <c r="A383" t="s">
        <v>1427</v>
      </c>
      <c r="B383">
        <v>43</v>
      </c>
      <c r="C383" t="s">
        <v>1047</v>
      </c>
      <c r="D383">
        <v>4508</v>
      </c>
      <c r="E383">
        <v>2267</v>
      </c>
      <c r="F383">
        <v>3384</v>
      </c>
    </row>
    <row r="384" spans="1:6">
      <c r="A384" t="s">
        <v>1428</v>
      </c>
      <c r="B384">
        <v>43</v>
      </c>
      <c r="C384" t="s">
        <v>1049</v>
      </c>
      <c r="D384">
        <v>1353</v>
      </c>
      <c r="E384">
        <v>2267</v>
      </c>
      <c r="F384">
        <v>3384</v>
      </c>
    </row>
    <row r="385" spans="1:6">
      <c r="A385" t="s">
        <v>1429</v>
      </c>
      <c r="B385">
        <v>43</v>
      </c>
      <c r="C385" t="s">
        <v>745</v>
      </c>
      <c r="D385">
        <v>36060</v>
      </c>
      <c r="E385">
        <v>2267</v>
      </c>
      <c r="F385">
        <v>3384</v>
      </c>
    </row>
    <row r="386" spans="1:6">
      <c r="A386" t="s">
        <v>1430</v>
      </c>
      <c r="B386">
        <v>43</v>
      </c>
      <c r="C386" t="s">
        <v>1052</v>
      </c>
      <c r="D386">
        <v>81135</v>
      </c>
      <c r="E386">
        <v>2267</v>
      </c>
      <c r="F386">
        <v>3384</v>
      </c>
    </row>
    <row r="387" spans="1:6">
      <c r="A387" t="s">
        <v>1431</v>
      </c>
      <c r="B387">
        <v>43</v>
      </c>
      <c r="C387" t="s">
        <v>164</v>
      </c>
      <c r="D387">
        <v>644120</v>
      </c>
      <c r="E387">
        <v>2755</v>
      </c>
      <c r="F387">
        <v>3384</v>
      </c>
    </row>
    <row r="388" spans="1:6">
      <c r="A388" t="s">
        <v>1432</v>
      </c>
      <c r="B388">
        <v>43</v>
      </c>
      <c r="C388" t="s">
        <v>651</v>
      </c>
      <c r="D388">
        <v>322060</v>
      </c>
      <c r="E388">
        <v>2755</v>
      </c>
      <c r="F388">
        <v>3384</v>
      </c>
    </row>
    <row r="389" spans="1:6">
      <c r="A389" t="s">
        <v>1433</v>
      </c>
      <c r="B389">
        <v>44</v>
      </c>
      <c r="C389" t="s">
        <v>154</v>
      </c>
      <c r="D389">
        <v>9338</v>
      </c>
      <c r="E389">
        <v>2329</v>
      </c>
      <c r="F389">
        <v>3468</v>
      </c>
    </row>
    <row r="390" spans="1:6">
      <c r="A390" t="s">
        <v>1434</v>
      </c>
      <c r="B390">
        <v>44</v>
      </c>
      <c r="C390" t="s">
        <v>1043</v>
      </c>
      <c r="D390">
        <v>28014</v>
      </c>
      <c r="E390">
        <v>2329</v>
      </c>
      <c r="F390">
        <v>3468</v>
      </c>
    </row>
    <row r="391" spans="1:6">
      <c r="A391" t="s">
        <v>1435</v>
      </c>
      <c r="B391">
        <v>44</v>
      </c>
      <c r="C391" t="s">
        <v>1045</v>
      </c>
      <c r="D391">
        <v>16809</v>
      </c>
      <c r="E391">
        <v>2329</v>
      </c>
      <c r="F391">
        <v>3468</v>
      </c>
    </row>
    <row r="392" spans="1:6">
      <c r="A392" t="s">
        <v>1436</v>
      </c>
      <c r="B392">
        <v>44</v>
      </c>
      <c r="C392" t="s">
        <v>1047</v>
      </c>
      <c r="D392">
        <v>4669</v>
      </c>
      <c r="E392">
        <v>2329</v>
      </c>
      <c r="F392">
        <v>3468</v>
      </c>
    </row>
    <row r="393" spans="1:6">
      <c r="A393" t="s">
        <v>1437</v>
      </c>
      <c r="B393">
        <v>44</v>
      </c>
      <c r="C393" t="s">
        <v>1049</v>
      </c>
      <c r="D393">
        <v>1401</v>
      </c>
      <c r="E393">
        <v>2329</v>
      </c>
      <c r="F393">
        <v>3468</v>
      </c>
    </row>
    <row r="394" spans="1:6">
      <c r="A394" t="s">
        <v>1438</v>
      </c>
      <c r="B394">
        <v>44</v>
      </c>
      <c r="C394" t="s">
        <v>745</v>
      </c>
      <c r="D394">
        <v>37352</v>
      </c>
      <c r="E394">
        <v>2329</v>
      </c>
      <c r="F394">
        <v>3468</v>
      </c>
    </row>
    <row r="395" spans="1:6">
      <c r="A395" t="s">
        <v>1439</v>
      </c>
      <c r="B395">
        <v>44</v>
      </c>
      <c r="C395" t="s">
        <v>1052</v>
      </c>
      <c r="D395">
        <v>84042</v>
      </c>
      <c r="E395">
        <v>2329</v>
      </c>
      <c r="F395">
        <v>3468</v>
      </c>
    </row>
    <row r="396" spans="1:6">
      <c r="A396" t="s">
        <v>1440</v>
      </c>
      <c r="B396">
        <v>44</v>
      </c>
      <c r="C396" t="s">
        <v>164</v>
      </c>
      <c r="D396">
        <v>666026</v>
      </c>
      <c r="E396">
        <v>2829</v>
      </c>
      <c r="F396">
        <v>3468</v>
      </c>
    </row>
    <row r="397" spans="1:6">
      <c r="A397" t="s">
        <v>1441</v>
      </c>
      <c r="B397">
        <v>44</v>
      </c>
      <c r="C397" t="s">
        <v>651</v>
      </c>
      <c r="D397">
        <v>333013</v>
      </c>
      <c r="E397">
        <v>2829</v>
      </c>
      <c r="F397">
        <v>3468</v>
      </c>
    </row>
    <row r="398" spans="1:6">
      <c r="A398" t="s">
        <v>1442</v>
      </c>
      <c r="B398">
        <v>45</v>
      </c>
      <c r="C398" t="s">
        <v>154</v>
      </c>
      <c r="D398">
        <v>9666</v>
      </c>
      <c r="E398">
        <v>2392</v>
      </c>
      <c r="F398">
        <v>3552</v>
      </c>
    </row>
    <row r="399" spans="1:6">
      <c r="A399" t="s">
        <v>1443</v>
      </c>
      <c r="B399">
        <v>45</v>
      </c>
      <c r="C399" t="s">
        <v>1043</v>
      </c>
      <c r="D399">
        <v>28998</v>
      </c>
      <c r="E399">
        <v>2392</v>
      </c>
      <c r="F399">
        <v>3552</v>
      </c>
    </row>
    <row r="400" spans="1:6">
      <c r="A400" t="s">
        <v>1444</v>
      </c>
      <c r="B400">
        <v>45</v>
      </c>
      <c r="C400" t="s">
        <v>1045</v>
      </c>
      <c r="D400">
        <v>17399</v>
      </c>
      <c r="E400">
        <v>2392</v>
      </c>
      <c r="F400">
        <v>3552</v>
      </c>
    </row>
    <row r="401" spans="1:6">
      <c r="A401" t="s">
        <v>1445</v>
      </c>
      <c r="B401">
        <v>45</v>
      </c>
      <c r="C401" t="s">
        <v>1047</v>
      </c>
      <c r="D401">
        <v>4833</v>
      </c>
      <c r="E401">
        <v>2392</v>
      </c>
      <c r="F401">
        <v>3552</v>
      </c>
    </row>
    <row r="402" spans="1:6">
      <c r="A402" t="s">
        <v>1446</v>
      </c>
      <c r="B402">
        <v>45</v>
      </c>
      <c r="C402" t="s">
        <v>1049</v>
      </c>
      <c r="D402">
        <v>1450</v>
      </c>
      <c r="E402">
        <v>2392</v>
      </c>
      <c r="F402">
        <v>3552</v>
      </c>
    </row>
    <row r="403" spans="1:6">
      <c r="A403" t="s">
        <v>1447</v>
      </c>
      <c r="B403">
        <v>45</v>
      </c>
      <c r="C403" t="s">
        <v>745</v>
      </c>
      <c r="D403">
        <v>38664</v>
      </c>
      <c r="E403">
        <v>2392</v>
      </c>
      <c r="F403">
        <v>3552</v>
      </c>
    </row>
    <row r="404" spans="1:6">
      <c r="A404" t="s">
        <v>1448</v>
      </c>
      <c r="B404">
        <v>45</v>
      </c>
      <c r="C404" t="s">
        <v>1052</v>
      </c>
      <c r="D404">
        <v>86994</v>
      </c>
      <c r="E404">
        <v>2392</v>
      </c>
      <c r="F404">
        <v>3552</v>
      </c>
    </row>
    <row r="405" spans="1:6">
      <c r="A405" t="s">
        <v>1449</v>
      </c>
      <c r="B405">
        <v>45</v>
      </c>
      <c r="C405" t="s">
        <v>164</v>
      </c>
      <c r="D405">
        <v>688439</v>
      </c>
      <c r="E405">
        <v>2903</v>
      </c>
      <c r="F405">
        <v>3552</v>
      </c>
    </row>
    <row r="406" spans="1:6">
      <c r="A406" t="s">
        <v>1450</v>
      </c>
      <c r="B406">
        <v>45</v>
      </c>
      <c r="C406" t="s">
        <v>651</v>
      </c>
      <c r="D406">
        <v>344219</v>
      </c>
      <c r="E406">
        <v>2903</v>
      </c>
      <c r="F406">
        <v>3552</v>
      </c>
    </row>
    <row r="407" spans="1:6">
      <c r="A407" t="s">
        <v>1451</v>
      </c>
      <c r="B407">
        <v>46</v>
      </c>
      <c r="C407" t="s">
        <v>154</v>
      </c>
      <c r="D407">
        <v>9999</v>
      </c>
      <c r="E407">
        <v>2455</v>
      </c>
      <c r="F407">
        <v>3636</v>
      </c>
    </row>
    <row r="408" spans="1:6">
      <c r="A408" t="s">
        <v>1452</v>
      </c>
      <c r="B408">
        <v>46</v>
      </c>
      <c r="C408" t="s">
        <v>1043</v>
      </c>
      <c r="D408">
        <v>29997</v>
      </c>
      <c r="E408">
        <v>2455</v>
      </c>
      <c r="F408">
        <v>3636</v>
      </c>
    </row>
    <row r="409" spans="1:6">
      <c r="A409" t="s">
        <v>1453</v>
      </c>
      <c r="B409">
        <v>46</v>
      </c>
      <c r="C409" t="s">
        <v>1045</v>
      </c>
      <c r="D409">
        <v>17999</v>
      </c>
      <c r="E409">
        <v>2455</v>
      </c>
      <c r="F409">
        <v>3636</v>
      </c>
    </row>
    <row r="410" spans="1:6">
      <c r="A410" t="s">
        <v>1454</v>
      </c>
      <c r="B410">
        <v>46</v>
      </c>
      <c r="C410" t="s">
        <v>1047</v>
      </c>
      <c r="D410">
        <v>5000</v>
      </c>
      <c r="E410">
        <v>2455</v>
      </c>
      <c r="F410">
        <v>3636</v>
      </c>
    </row>
    <row r="411" spans="1:6">
      <c r="A411" t="s">
        <v>1455</v>
      </c>
      <c r="B411">
        <v>46</v>
      </c>
      <c r="C411" t="s">
        <v>1049</v>
      </c>
      <c r="D411">
        <v>1500</v>
      </c>
      <c r="E411">
        <v>2455</v>
      </c>
      <c r="F411">
        <v>3636</v>
      </c>
    </row>
    <row r="412" spans="1:6">
      <c r="A412" t="s">
        <v>1456</v>
      </c>
      <c r="B412">
        <v>46</v>
      </c>
      <c r="C412" t="s">
        <v>745</v>
      </c>
      <c r="D412">
        <v>39996</v>
      </c>
      <c r="E412">
        <v>2455</v>
      </c>
      <c r="F412">
        <v>3636</v>
      </c>
    </row>
    <row r="413" spans="1:6">
      <c r="A413" t="s">
        <v>1457</v>
      </c>
      <c r="B413">
        <v>46</v>
      </c>
      <c r="C413" t="s">
        <v>1052</v>
      </c>
      <c r="D413">
        <v>89991</v>
      </c>
      <c r="E413">
        <v>2455</v>
      </c>
      <c r="F413">
        <v>3636</v>
      </c>
    </row>
    <row r="414" spans="1:6">
      <c r="A414" t="s">
        <v>1458</v>
      </c>
      <c r="B414">
        <v>46</v>
      </c>
      <c r="C414" t="s">
        <v>164</v>
      </c>
      <c r="D414">
        <v>711304</v>
      </c>
      <c r="E414">
        <v>2978</v>
      </c>
      <c r="F414">
        <v>3636</v>
      </c>
    </row>
    <row r="415" spans="1:6">
      <c r="A415" t="s">
        <v>1459</v>
      </c>
      <c r="B415">
        <v>46</v>
      </c>
      <c r="C415" t="s">
        <v>651</v>
      </c>
      <c r="D415">
        <v>355652</v>
      </c>
      <c r="E415">
        <v>2978</v>
      </c>
      <c r="F415">
        <v>3636</v>
      </c>
    </row>
    <row r="416" spans="1:6">
      <c r="A416" t="s">
        <v>1460</v>
      </c>
      <c r="B416">
        <v>47</v>
      </c>
      <c r="C416" t="s">
        <v>154</v>
      </c>
      <c r="D416">
        <v>10338</v>
      </c>
      <c r="E416">
        <v>2519</v>
      </c>
      <c r="F416">
        <v>3721</v>
      </c>
    </row>
    <row r="417" spans="1:6">
      <c r="A417" t="s">
        <v>1461</v>
      </c>
      <c r="B417">
        <v>47</v>
      </c>
      <c r="C417" t="s">
        <v>1043</v>
      </c>
      <c r="D417">
        <v>31014</v>
      </c>
      <c r="E417">
        <v>2519</v>
      </c>
      <c r="F417">
        <v>3721</v>
      </c>
    </row>
    <row r="418" spans="1:6">
      <c r="A418" t="s">
        <v>1462</v>
      </c>
      <c r="B418">
        <v>47</v>
      </c>
      <c r="C418" t="s">
        <v>1045</v>
      </c>
      <c r="D418">
        <v>18609</v>
      </c>
      <c r="E418">
        <v>2519</v>
      </c>
      <c r="F418">
        <v>3721</v>
      </c>
    </row>
    <row r="419" spans="1:6">
      <c r="A419" t="s">
        <v>1463</v>
      </c>
      <c r="B419">
        <v>47</v>
      </c>
      <c r="C419" t="s">
        <v>1047</v>
      </c>
      <c r="D419">
        <v>5169</v>
      </c>
      <c r="E419">
        <v>2519</v>
      </c>
      <c r="F419">
        <v>3721</v>
      </c>
    </row>
    <row r="420" spans="1:6">
      <c r="A420" t="s">
        <v>1464</v>
      </c>
      <c r="B420">
        <v>47</v>
      </c>
      <c r="C420" t="s">
        <v>1049</v>
      </c>
      <c r="D420">
        <v>1551</v>
      </c>
      <c r="E420">
        <v>2519</v>
      </c>
      <c r="F420">
        <v>3721</v>
      </c>
    </row>
    <row r="421" spans="1:6">
      <c r="A421" t="s">
        <v>1465</v>
      </c>
      <c r="B421">
        <v>47</v>
      </c>
      <c r="C421" t="s">
        <v>745</v>
      </c>
      <c r="D421">
        <v>41352</v>
      </c>
      <c r="E421">
        <v>2519</v>
      </c>
      <c r="F421">
        <v>3721</v>
      </c>
    </row>
    <row r="422" spans="1:6">
      <c r="A422" t="s">
        <v>1466</v>
      </c>
      <c r="B422">
        <v>47</v>
      </c>
      <c r="C422" t="s">
        <v>1052</v>
      </c>
      <c r="D422">
        <v>93042</v>
      </c>
      <c r="E422">
        <v>2519</v>
      </c>
      <c r="F422">
        <v>3721</v>
      </c>
    </row>
    <row r="423" spans="1:6">
      <c r="A423" t="s">
        <v>1467</v>
      </c>
      <c r="B423">
        <v>47</v>
      </c>
      <c r="C423" t="s">
        <v>164</v>
      </c>
      <c r="D423">
        <v>734685</v>
      </c>
      <c r="E423">
        <v>3053</v>
      </c>
      <c r="F423">
        <v>3721</v>
      </c>
    </row>
    <row r="424" spans="1:6">
      <c r="A424" t="s">
        <v>1468</v>
      </c>
      <c r="B424">
        <v>47</v>
      </c>
      <c r="C424" t="s">
        <v>651</v>
      </c>
      <c r="D424">
        <v>367342</v>
      </c>
      <c r="E424">
        <v>3053</v>
      </c>
      <c r="F424">
        <v>3721</v>
      </c>
    </row>
    <row r="425" spans="1:6">
      <c r="A425" t="s">
        <v>1469</v>
      </c>
      <c r="B425">
        <v>48</v>
      </c>
      <c r="C425" t="s">
        <v>154</v>
      </c>
      <c r="D425">
        <v>10683</v>
      </c>
      <c r="E425">
        <v>2582</v>
      </c>
      <c r="F425">
        <v>3805</v>
      </c>
    </row>
    <row r="426" spans="1:6">
      <c r="A426" t="s">
        <v>1470</v>
      </c>
      <c r="B426">
        <v>48</v>
      </c>
      <c r="C426" t="s">
        <v>1043</v>
      </c>
      <c r="D426">
        <v>32049</v>
      </c>
      <c r="E426">
        <v>2582</v>
      </c>
      <c r="F426">
        <v>3805</v>
      </c>
    </row>
    <row r="427" spans="1:6">
      <c r="A427" t="s">
        <v>1471</v>
      </c>
      <c r="B427">
        <v>48</v>
      </c>
      <c r="C427" t="s">
        <v>1045</v>
      </c>
      <c r="D427">
        <v>19230</v>
      </c>
      <c r="E427">
        <v>2582</v>
      </c>
      <c r="F427">
        <v>3805</v>
      </c>
    </row>
    <row r="428" spans="1:6">
      <c r="A428" t="s">
        <v>1472</v>
      </c>
      <c r="B428">
        <v>48</v>
      </c>
      <c r="C428" t="s">
        <v>1047</v>
      </c>
      <c r="D428">
        <v>5342</v>
      </c>
      <c r="E428">
        <v>2582</v>
      </c>
      <c r="F428">
        <v>3805</v>
      </c>
    </row>
    <row r="429" spans="1:6">
      <c r="A429" t="s">
        <v>1473</v>
      </c>
      <c r="B429">
        <v>48</v>
      </c>
      <c r="C429" t="s">
        <v>1049</v>
      </c>
      <c r="D429">
        <v>1603</v>
      </c>
      <c r="E429">
        <v>2582</v>
      </c>
      <c r="F429">
        <v>3805</v>
      </c>
    </row>
    <row r="430" spans="1:6">
      <c r="A430" t="s">
        <v>1474</v>
      </c>
      <c r="B430">
        <v>48</v>
      </c>
      <c r="C430" t="s">
        <v>745</v>
      </c>
      <c r="D430">
        <v>42732</v>
      </c>
      <c r="E430">
        <v>2582</v>
      </c>
      <c r="F430">
        <v>3805</v>
      </c>
    </row>
    <row r="431" spans="1:6">
      <c r="A431" t="s">
        <v>1475</v>
      </c>
      <c r="B431">
        <v>48</v>
      </c>
      <c r="C431" t="s">
        <v>1052</v>
      </c>
      <c r="D431">
        <v>96147</v>
      </c>
      <c r="E431">
        <v>2582</v>
      </c>
      <c r="F431">
        <v>3805</v>
      </c>
    </row>
    <row r="432" spans="1:6">
      <c r="A432" t="s">
        <v>1476</v>
      </c>
      <c r="B432">
        <v>48</v>
      </c>
      <c r="C432" t="s">
        <v>164</v>
      </c>
      <c r="D432">
        <v>758525</v>
      </c>
      <c r="E432">
        <v>3128</v>
      </c>
      <c r="F432">
        <v>3805</v>
      </c>
    </row>
    <row r="433" spans="1:6">
      <c r="A433" t="s">
        <v>1477</v>
      </c>
      <c r="B433">
        <v>48</v>
      </c>
      <c r="C433" t="s">
        <v>651</v>
      </c>
      <c r="D433">
        <v>379263</v>
      </c>
      <c r="E433">
        <v>3128</v>
      </c>
      <c r="F433">
        <v>3805</v>
      </c>
    </row>
    <row r="434" spans="1:6">
      <c r="A434" t="s">
        <v>1478</v>
      </c>
      <c r="B434">
        <v>49</v>
      </c>
      <c r="C434" t="s">
        <v>154</v>
      </c>
      <c r="D434">
        <v>11033</v>
      </c>
      <c r="E434">
        <v>2647</v>
      </c>
      <c r="F434">
        <v>3890</v>
      </c>
    </row>
    <row r="435" spans="1:6">
      <c r="A435" t="s">
        <v>1479</v>
      </c>
      <c r="B435">
        <v>49</v>
      </c>
      <c r="C435" t="s">
        <v>1043</v>
      </c>
      <c r="D435">
        <v>33099</v>
      </c>
      <c r="E435">
        <v>2647</v>
      </c>
      <c r="F435">
        <v>3890</v>
      </c>
    </row>
    <row r="436" spans="1:6">
      <c r="A436" t="s">
        <v>1480</v>
      </c>
      <c r="B436">
        <v>49</v>
      </c>
      <c r="C436" t="s">
        <v>1045</v>
      </c>
      <c r="D436">
        <v>19860</v>
      </c>
      <c r="E436">
        <v>2647</v>
      </c>
      <c r="F436">
        <v>3890</v>
      </c>
    </row>
    <row r="437" spans="1:6">
      <c r="A437" t="s">
        <v>1481</v>
      </c>
      <c r="B437">
        <v>49</v>
      </c>
      <c r="C437" t="s">
        <v>1047</v>
      </c>
      <c r="D437">
        <v>5517</v>
      </c>
      <c r="E437">
        <v>2647</v>
      </c>
      <c r="F437">
        <v>3890</v>
      </c>
    </row>
    <row r="438" spans="1:6">
      <c r="A438" t="s">
        <v>1482</v>
      </c>
      <c r="B438">
        <v>49</v>
      </c>
      <c r="C438" t="s">
        <v>1049</v>
      </c>
      <c r="D438">
        <v>1655</v>
      </c>
      <c r="E438">
        <v>2647</v>
      </c>
      <c r="F438">
        <v>3890</v>
      </c>
    </row>
    <row r="439" spans="1:6">
      <c r="A439" t="s">
        <v>1483</v>
      </c>
      <c r="B439">
        <v>49</v>
      </c>
      <c r="C439" t="s">
        <v>745</v>
      </c>
      <c r="D439">
        <v>44132</v>
      </c>
      <c r="E439">
        <v>2647</v>
      </c>
      <c r="F439">
        <v>3890</v>
      </c>
    </row>
    <row r="440" spans="1:6">
      <c r="A440" t="s">
        <v>1484</v>
      </c>
      <c r="B440">
        <v>49</v>
      </c>
      <c r="C440" t="s">
        <v>1052</v>
      </c>
      <c r="D440">
        <v>99297</v>
      </c>
      <c r="E440">
        <v>2647</v>
      </c>
      <c r="F440">
        <v>3890</v>
      </c>
    </row>
    <row r="441" spans="1:6">
      <c r="A441" t="s">
        <v>1485</v>
      </c>
      <c r="B441">
        <v>49</v>
      </c>
      <c r="C441" t="s">
        <v>164</v>
      </c>
      <c r="D441">
        <v>782946</v>
      </c>
      <c r="E441">
        <v>3205</v>
      </c>
      <c r="F441">
        <v>3890</v>
      </c>
    </row>
    <row r="442" spans="1:6">
      <c r="A442" t="s">
        <v>1486</v>
      </c>
      <c r="B442">
        <v>49</v>
      </c>
      <c r="C442" t="s">
        <v>651</v>
      </c>
      <c r="D442">
        <v>391473</v>
      </c>
      <c r="E442">
        <v>3205</v>
      </c>
      <c r="F442">
        <v>3890</v>
      </c>
    </row>
    <row r="443" spans="1:6">
      <c r="A443" t="s">
        <v>1487</v>
      </c>
      <c r="B443">
        <v>50</v>
      </c>
      <c r="C443" t="s">
        <v>154</v>
      </c>
      <c r="D443">
        <v>11389</v>
      </c>
      <c r="E443">
        <v>2712</v>
      </c>
      <c r="F443">
        <v>3975</v>
      </c>
    </row>
    <row r="444" spans="1:6">
      <c r="A444" t="s">
        <v>1488</v>
      </c>
      <c r="B444">
        <v>50</v>
      </c>
      <c r="C444" t="s">
        <v>1043</v>
      </c>
      <c r="D444">
        <v>34167</v>
      </c>
      <c r="E444">
        <v>2712</v>
      </c>
      <c r="F444">
        <v>3975</v>
      </c>
    </row>
    <row r="445" spans="1:6">
      <c r="A445" t="s">
        <v>1489</v>
      </c>
      <c r="B445">
        <v>50</v>
      </c>
      <c r="C445" t="s">
        <v>1045</v>
      </c>
      <c r="D445">
        <v>20501</v>
      </c>
      <c r="E445">
        <v>2712</v>
      </c>
      <c r="F445">
        <v>3975</v>
      </c>
    </row>
    <row r="446" spans="1:6">
      <c r="A446" t="s">
        <v>1490</v>
      </c>
      <c r="B446">
        <v>50</v>
      </c>
      <c r="C446" t="s">
        <v>1047</v>
      </c>
      <c r="D446">
        <v>5695</v>
      </c>
      <c r="E446">
        <v>2712</v>
      </c>
      <c r="F446">
        <v>3975</v>
      </c>
    </row>
    <row r="447" spans="1:6">
      <c r="A447" t="s">
        <v>1491</v>
      </c>
      <c r="B447">
        <v>50</v>
      </c>
      <c r="C447" t="s">
        <v>1049</v>
      </c>
      <c r="D447">
        <v>1709</v>
      </c>
      <c r="E447">
        <v>2712</v>
      </c>
      <c r="F447">
        <v>3975</v>
      </c>
    </row>
    <row r="448" spans="1:6">
      <c r="A448" t="s">
        <v>1492</v>
      </c>
      <c r="B448">
        <v>50</v>
      </c>
      <c r="C448" t="s">
        <v>745</v>
      </c>
      <c r="D448">
        <v>45556</v>
      </c>
      <c r="E448">
        <v>2712</v>
      </c>
      <c r="F448">
        <v>3975</v>
      </c>
    </row>
    <row r="449" spans="1:6">
      <c r="A449" t="s">
        <v>1493</v>
      </c>
      <c r="B449">
        <v>50</v>
      </c>
      <c r="C449" t="s">
        <v>1052</v>
      </c>
      <c r="D449">
        <v>102501</v>
      </c>
      <c r="E449">
        <v>2712</v>
      </c>
      <c r="F449">
        <v>3975</v>
      </c>
    </row>
    <row r="450" spans="1:6">
      <c r="A450" t="s">
        <v>1494</v>
      </c>
      <c r="B450">
        <v>50</v>
      </c>
      <c r="C450" t="s">
        <v>164</v>
      </c>
      <c r="D450">
        <v>807834</v>
      </c>
      <c r="E450">
        <v>3281</v>
      </c>
      <c r="F450">
        <v>3975</v>
      </c>
    </row>
    <row r="451" spans="1:6">
      <c r="A451" t="s">
        <v>1495</v>
      </c>
      <c r="B451">
        <v>50</v>
      </c>
      <c r="C451" t="s">
        <v>651</v>
      </c>
      <c r="D451">
        <v>403917</v>
      </c>
      <c r="E451">
        <v>3281</v>
      </c>
      <c r="F451">
        <v>3975</v>
      </c>
    </row>
    <row r="452" spans="1:6">
      <c r="A452" t="s">
        <v>1496</v>
      </c>
      <c r="B452">
        <v>51</v>
      </c>
      <c r="C452" t="s">
        <v>154</v>
      </c>
      <c r="D452">
        <v>11750</v>
      </c>
      <c r="E452">
        <v>2777</v>
      </c>
      <c r="F452">
        <v>4061</v>
      </c>
    </row>
    <row r="453" spans="1:6">
      <c r="A453" t="s">
        <v>1497</v>
      </c>
      <c r="B453">
        <v>51</v>
      </c>
      <c r="C453" t="s">
        <v>1043</v>
      </c>
      <c r="D453">
        <v>35250</v>
      </c>
      <c r="E453">
        <v>2777</v>
      </c>
      <c r="F453">
        <v>4061</v>
      </c>
    </row>
    <row r="454" spans="1:6">
      <c r="A454" t="s">
        <v>1498</v>
      </c>
      <c r="B454">
        <v>51</v>
      </c>
      <c r="C454" t="s">
        <v>1045</v>
      </c>
      <c r="D454">
        <v>21150</v>
      </c>
      <c r="E454">
        <v>2777</v>
      </c>
      <c r="F454">
        <v>4061</v>
      </c>
    </row>
    <row r="455" spans="1:6">
      <c r="A455" t="s">
        <v>1499</v>
      </c>
      <c r="B455">
        <v>51</v>
      </c>
      <c r="C455" t="s">
        <v>1047</v>
      </c>
      <c r="D455">
        <v>5875</v>
      </c>
      <c r="E455">
        <v>2777</v>
      </c>
      <c r="F455">
        <v>4061</v>
      </c>
    </row>
    <row r="456" spans="1:6">
      <c r="A456" t="s">
        <v>1500</v>
      </c>
      <c r="B456">
        <v>51</v>
      </c>
      <c r="C456" t="s">
        <v>1049</v>
      </c>
      <c r="D456">
        <v>1763</v>
      </c>
      <c r="E456">
        <v>2777</v>
      </c>
      <c r="F456">
        <v>4061</v>
      </c>
    </row>
    <row r="457" spans="1:6">
      <c r="A457" t="s">
        <v>1501</v>
      </c>
      <c r="B457">
        <v>51</v>
      </c>
      <c r="C457" t="s">
        <v>745</v>
      </c>
      <c r="D457">
        <v>47000</v>
      </c>
      <c r="E457">
        <v>2777</v>
      </c>
      <c r="F457">
        <v>4061</v>
      </c>
    </row>
    <row r="458" spans="1:6">
      <c r="A458" t="s">
        <v>1502</v>
      </c>
      <c r="B458">
        <v>51</v>
      </c>
      <c r="C458" t="s">
        <v>1052</v>
      </c>
      <c r="D458">
        <v>105750</v>
      </c>
      <c r="E458">
        <v>2777</v>
      </c>
      <c r="F458">
        <v>4061</v>
      </c>
    </row>
    <row r="459" spans="1:6">
      <c r="A459" t="s">
        <v>1503</v>
      </c>
      <c r="B459">
        <v>51</v>
      </c>
      <c r="C459" t="s">
        <v>164</v>
      </c>
      <c r="D459">
        <v>833308</v>
      </c>
      <c r="E459">
        <v>3358</v>
      </c>
      <c r="F459">
        <v>4061</v>
      </c>
    </row>
    <row r="460" spans="1:6">
      <c r="A460" t="s">
        <v>1504</v>
      </c>
      <c r="B460">
        <v>51</v>
      </c>
      <c r="C460" t="s">
        <v>651</v>
      </c>
      <c r="D460">
        <v>416654</v>
      </c>
      <c r="E460">
        <v>3358</v>
      </c>
      <c r="F460">
        <v>4061</v>
      </c>
    </row>
    <row r="461" spans="1:6">
      <c r="A461" t="s">
        <v>1505</v>
      </c>
      <c r="B461">
        <v>52</v>
      </c>
      <c r="C461" t="s">
        <v>154</v>
      </c>
      <c r="D461">
        <v>12117</v>
      </c>
      <c r="E461">
        <v>2843</v>
      </c>
      <c r="F461">
        <v>4146</v>
      </c>
    </row>
    <row r="462" spans="1:6">
      <c r="A462" t="s">
        <v>1506</v>
      </c>
      <c r="B462">
        <v>52</v>
      </c>
      <c r="C462" t="s">
        <v>1043</v>
      </c>
      <c r="D462">
        <v>36351</v>
      </c>
      <c r="E462">
        <v>2843</v>
      </c>
      <c r="F462">
        <v>4146</v>
      </c>
    </row>
    <row r="463" spans="1:6">
      <c r="A463" t="s">
        <v>1507</v>
      </c>
      <c r="B463">
        <v>52</v>
      </c>
      <c r="C463" t="s">
        <v>1045</v>
      </c>
      <c r="D463">
        <v>21811</v>
      </c>
      <c r="E463">
        <v>2843</v>
      </c>
      <c r="F463">
        <v>4146</v>
      </c>
    </row>
    <row r="464" spans="1:6">
      <c r="A464" t="s">
        <v>1508</v>
      </c>
      <c r="B464">
        <v>52</v>
      </c>
      <c r="C464" t="s">
        <v>1047</v>
      </c>
      <c r="D464">
        <v>6059</v>
      </c>
      <c r="E464">
        <v>2843</v>
      </c>
      <c r="F464">
        <v>4146</v>
      </c>
    </row>
    <row r="465" spans="1:6">
      <c r="A465" t="s">
        <v>1509</v>
      </c>
      <c r="B465">
        <v>52</v>
      </c>
      <c r="C465" t="s">
        <v>1049</v>
      </c>
      <c r="D465">
        <v>1818</v>
      </c>
      <c r="E465">
        <v>2843</v>
      </c>
      <c r="F465">
        <v>4146</v>
      </c>
    </row>
    <row r="466" spans="1:6">
      <c r="A466" t="s">
        <v>1510</v>
      </c>
      <c r="B466">
        <v>52</v>
      </c>
      <c r="C466" t="s">
        <v>745</v>
      </c>
      <c r="D466">
        <v>48468</v>
      </c>
      <c r="E466">
        <v>2843</v>
      </c>
      <c r="F466">
        <v>4146</v>
      </c>
    </row>
    <row r="467" spans="1:6">
      <c r="A467" t="s">
        <v>1511</v>
      </c>
      <c r="B467">
        <v>52</v>
      </c>
      <c r="C467" t="s">
        <v>1052</v>
      </c>
      <c r="D467">
        <v>109053</v>
      </c>
      <c r="E467">
        <v>2843</v>
      </c>
      <c r="F467">
        <v>4146</v>
      </c>
    </row>
    <row r="468" spans="1:6">
      <c r="A468" t="s">
        <v>1512</v>
      </c>
      <c r="B468">
        <v>52</v>
      </c>
      <c r="C468" t="s">
        <v>164</v>
      </c>
      <c r="D468">
        <v>859313</v>
      </c>
      <c r="E468">
        <v>3436</v>
      </c>
      <c r="F468">
        <v>4146</v>
      </c>
    </row>
    <row r="469" spans="1:6">
      <c r="A469" t="s">
        <v>1513</v>
      </c>
      <c r="B469">
        <v>52</v>
      </c>
      <c r="C469" t="s">
        <v>651</v>
      </c>
      <c r="D469">
        <v>429657</v>
      </c>
      <c r="E469">
        <v>3436</v>
      </c>
      <c r="F469">
        <v>4146</v>
      </c>
    </row>
    <row r="470" spans="1:6">
      <c r="A470" t="s">
        <v>1514</v>
      </c>
      <c r="B470">
        <v>53</v>
      </c>
      <c r="C470" t="s">
        <v>154</v>
      </c>
      <c r="D470">
        <v>12490</v>
      </c>
      <c r="E470">
        <v>2909</v>
      </c>
      <c r="F470">
        <v>4232</v>
      </c>
    </row>
    <row r="471" spans="1:6">
      <c r="A471" t="s">
        <v>1515</v>
      </c>
      <c r="B471">
        <v>53</v>
      </c>
      <c r="C471" t="s">
        <v>1043</v>
      </c>
      <c r="D471">
        <v>37470</v>
      </c>
      <c r="E471">
        <v>2909</v>
      </c>
      <c r="F471">
        <v>4232</v>
      </c>
    </row>
    <row r="472" spans="1:6">
      <c r="A472" t="s">
        <v>1516</v>
      </c>
      <c r="B472">
        <v>53</v>
      </c>
      <c r="C472" t="s">
        <v>1045</v>
      </c>
      <c r="D472">
        <v>22482</v>
      </c>
      <c r="E472">
        <v>2909</v>
      </c>
      <c r="F472">
        <v>4232</v>
      </c>
    </row>
    <row r="473" spans="1:6">
      <c r="A473" t="s">
        <v>1517</v>
      </c>
      <c r="B473">
        <v>53</v>
      </c>
      <c r="C473" t="s">
        <v>1047</v>
      </c>
      <c r="D473">
        <v>6245</v>
      </c>
      <c r="E473">
        <v>2909</v>
      </c>
      <c r="F473">
        <v>4232</v>
      </c>
    </row>
    <row r="474" spans="1:6">
      <c r="A474" t="s">
        <v>1518</v>
      </c>
      <c r="B474">
        <v>53</v>
      </c>
      <c r="C474" t="s">
        <v>1049</v>
      </c>
      <c r="D474">
        <v>1874</v>
      </c>
      <c r="E474">
        <v>2909</v>
      </c>
      <c r="F474">
        <v>4232</v>
      </c>
    </row>
    <row r="475" spans="1:6">
      <c r="A475" t="s">
        <v>1519</v>
      </c>
      <c r="B475">
        <v>53</v>
      </c>
      <c r="C475" t="s">
        <v>745</v>
      </c>
      <c r="D475">
        <v>49960</v>
      </c>
      <c r="E475">
        <v>2909</v>
      </c>
      <c r="F475">
        <v>4232</v>
      </c>
    </row>
    <row r="476" spans="1:6">
      <c r="A476" t="s">
        <v>1520</v>
      </c>
      <c r="B476">
        <v>53</v>
      </c>
      <c r="C476" t="s">
        <v>1052</v>
      </c>
      <c r="D476">
        <v>112410</v>
      </c>
      <c r="E476">
        <v>2909</v>
      </c>
      <c r="F476">
        <v>4232</v>
      </c>
    </row>
    <row r="477" spans="1:6">
      <c r="A477" t="s">
        <v>1521</v>
      </c>
      <c r="B477">
        <v>53</v>
      </c>
      <c r="C477" t="s">
        <v>164</v>
      </c>
      <c r="D477">
        <v>885853</v>
      </c>
      <c r="E477">
        <v>3514</v>
      </c>
      <c r="F477">
        <v>4232</v>
      </c>
    </row>
    <row r="478" spans="1:6">
      <c r="A478" t="s">
        <v>1522</v>
      </c>
      <c r="B478">
        <v>53</v>
      </c>
      <c r="C478" t="s">
        <v>651</v>
      </c>
      <c r="D478">
        <v>442926</v>
      </c>
      <c r="E478">
        <v>3514</v>
      </c>
      <c r="F478">
        <v>4232</v>
      </c>
    </row>
    <row r="479" spans="1:6">
      <c r="A479" t="s">
        <v>1523</v>
      </c>
      <c r="B479">
        <v>54</v>
      </c>
      <c r="C479" t="s">
        <v>154</v>
      </c>
      <c r="D479">
        <v>12868</v>
      </c>
      <c r="E479">
        <v>2977</v>
      </c>
      <c r="F479">
        <v>4318</v>
      </c>
    </row>
    <row r="480" spans="1:6">
      <c r="A480" t="s">
        <v>1524</v>
      </c>
      <c r="B480">
        <v>54</v>
      </c>
      <c r="C480" t="s">
        <v>1043</v>
      </c>
      <c r="D480">
        <v>38604</v>
      </c>
      <c r="E480">
        <v>2977</v>
      </c>
      <c r="F480">
        <v>4318</v>
      </c>
    </row>
    <row r="481" spans="1:6">
      <c r="A481" t="s">
        <v>1525</v>
      </c>
      <c r="B481">
        <v>54</v>
      </c>
      <c r="C481" t="s">
        <v>1045</v>
      </c>
      <c r="D481">
        <v>23163</v>
      </c>
      <c r="E481">
        <v>2977</v>
      </c>
      <c r="F481">
        <v>4318</v>
      </c>
    </row>
    <row r="482" spans="1:6">
      <c r="A482" t="s">
        <v>1526</v>
      </c>
      <c r="B482">
        <v>54</v>
      </c>
      <c r="C482" t="s">
        <v>1047</v>
      </c>
      <c r="D482">
        <v>6434</v>
      </c>
      <c r="E482">
        <v>2977</v>
      </c>
      <c r="F482">
        <v>4318</v>
      </c>
    </row>
    <row r="483" spans="1:6">
      <c r="A483" t="s">
        <v>1527</v>
      </c>
      <c r="B483">
        <v>54</v>
      </c>
      <c r="C483" t="s">
        <v>1049</v>
      </c>
      <c r="D483">
        <v>1931</v>
      </c>
      <c r="E483">
        <v>2977</v>
      </c>
      <c r="F483">
        <v>4318</v>
      </c>
    </row>
    <row r="484" spans="1:6">
      <c r="A484" t="s">
        <v>1528</v>
      </c>
      <c r="B484">
        <v>54</v>
      </c>
      <c r="C484" t="s">
        <v>745</v>
      </c>
      <c r="D484">
        <v>51472</v>
      </c>
      <c r="E484">
        <v>2977</v>
      </c>
      <c r="F484">
        <v>4318</v>
      </c>
    </row>
    <row r="485" spans="1:6">
      <c r="A485" t="s">
        <v>1529</v>
      </c>
      <c r="B485">
        <v>54</v>
      </c>
      <c r="C485" t="s">
        <v>1052</v>
      </c>
      <c r="D485">
        <v>115812</v>
      </c>
      <c r="E485">
        <v>2977</v>
      </c>
      <c r="F485">
        <v>4318</v>
      </c>
    </row>
    <row r="486" spans="1:6">
      <c r="A486" t="s">
        <v>1530</v>
      </c>
      <c r="B486">
        <v>54</v>
      </c>
      <c r="C486" t="s">
        <v>164</v>
      </c>
      <c r="D486">
        <v>912985</v>
      </c>
      <c r="E486">
        <v>3593</v>
      </c>
      <c r="F486">
        <v>4318</v>
      </c>
    </row>
    <row r="487" spans="1:6">
      <c r="A487" t="s">
        <v>1531</v>
      </c>
      <c r="B487">
        <v>54</v>
      </c>
      <c r="C487" t="s">
        <v>651</v>
      </c>
      <c r="D487">
        <v>456493</v>
      </c>
      <c r="E487">
        <v>3593</v>
      </c>
      <c r="F487">
        <v>4318</v>
      </c>
    </row>
    <row r="488" spans="1:6">
      <c r="A488" t="s">
        <v>1532</v>
      </c>
      <c r="B488">
        <v>55</v>
      </c>
      <c r="C488" t="s">
        <v>154</v>
      </c>
      <c r="D488">
        <v>13252</v>
      </c>
      <c r="E488">
        <v>3044</v>
      </c>
      <c r="F488">
        <v>4404</v>
      </c>
    </row>
    <row r="489" spans="1:6">
      <c r="A489" t="s">
        <v>1533</v>
      </c>
      <c r="B489">
        <v>55</v>
      </c>
      <c r="C489" t="s">
        <v>1043</v>
      </c>
      <c r="D489">
        <v>39756</v>
      </c>
      <c r="E489">
        <v>3044</v>
      </c>
      <c r="F489">
        <v>4404</v>
      </c>
    </row>
    <row r="490" spans="1:6">
      <c r="A490" t="s">
        <v>1534</v>
      </c>
      <c r="B490">
        <v>55</v>
      </c>
      <c r="C490" t="s">
        <v>1045</v>
      </c>
      <c r="D490">
        <v>23854</v>
      </c>
      <c r="E490">
        <v>3044</v>
      </c>
      <c r="F490">
        <v>4404</v>
      </c>
    </row>
    <row r="491" spans="1:6">
      <c r="A491" t="s">
        <v>1535</v>
      </c>
      <c r="B491">
        <v>55</v>
      </c>
      <c r="C491" t="s">
        <v>1047</v>
      </c>
      <c r="D491">
        <v>6626</v>
      </c>
      <c r="E491">
        <v>3044</v>
      </c>
      <c r="F491">
        <v>4404</v>
      </c>
    </row>
    <row r="492" spans="1:6">
      <c r="A492" t="s">
        <v>1536</v>
      </c>
      <c r="B492">
        <v>55</v>
      </c>
      <c r="C492" t="s">
        <v>1049</v>
      </c>
      <c r="D492">
        <v>1988</v>
      </c>
      <c r="E492">
        <v>3044</v>
      </c>
      <c r="F492">
        <v>4404</v>
      </c>
    </row>
    <row r="493" spans="1:6">
      <c r="A493" t="s">
        <v>1537</v>
      </c>
      <c r="B493">
        <v>55</v>
      </c>
      <c r="C493" t="s">
        <v>745</v>
      </c>
      <c r="D493">
        <v>53008</v>
      </c>
      <c r="E493">
        <v>3044</v>
      </c>
      <c r="F493">
        <v>4404</v>
      </c>
    </row>
    <row r="494" spans="1:6">
      <c r="A494" t="s">
        <v>1538</v>
      </c>
      <c r="B494">
        <v>55</v>
      </c>
      <c r="C494" t="s">
        <v>1052</v>
      </c>
      <c r="D494">
        <v>119268</v>
      </c>
      <c r="E494">
        <v>3044</v>
      </c>
      <c r="F494">
        <v>4404</v>
      </c>
    </row>
    <row r="495" spans="1:6">
      <c r="A495" t="s">
        <v>1539</v>
      </c>
      <c r="B495">
        <v>55</v>
      </c>
      <c r="C495" t="s">
        <v>164</v>
      </c>
      <c r="D495">
        <v>940658</v>
      </c>
      <c r="E495">
        <v>3672</v>
      </c>
      <c r="F495">
        <v>4404</v>
      </c>
    </row>
    <row r="496" spans="1:6">
      <c r="A496" t="s">
        <v>1540</v>
      </c>
      <c r="B496">
        <v>55</v>
      </c>
      <c r="C496" t="s">
        <v>651</v>
      </c>
      <c r="D496">
        <v>470329</v>
      </c>
      <c r="E496">
        <v>3672</v>
      </c>
      <c r="F496">
        <v>4404</v>
      </c>
    </row>
    <row r="497" spans="1:6">
      <c r="A497" t="s">
        <v>1541</v>
      </c>
      <c r="B497">
        <v>56</v>
      </c>
      <c r="C497" t="s">
        <v>154</v>
      </c>
      <c r="D497">
        <v>13643</v>
      </c>
      <c r="E497">
        <v>3112</v>
      </c>
      <c r="F497">
        <v>4491</v>
      </c>
    </row>
    <row r="498" spans="1:6">
      <c r="A498" t="s">
        <v>1542</v>
      </c>
      <c r="B498">
        <v>56</v>
      </c>
      <c r="C498" t="s">
        <v>1043</v>
      </c>
      <c r="D498">
        <v>40929</v>
      </c>
      <c r="E498">
        <v>3112</v>
      </c>
      <c r="F498">
        <v>4491</v>
      </c>
    </row>
    <row r="499" spans="1:6">
      <c r="A499" t="s">
        <v>1543</v>
      </c>
      <c r="B499">
        <v>56</v>
      </c>
      <c r="C499" t="s">
        <v>1045</v>
      </c>
      <c r="D499">
        <v>24558</v>
      </c>
      <c r="E499">
        <v>3112</v>
      </c>
      <c r="F499">
        <v>4491</v>
      </c>
    </row>
    <row r="500" spans="1:6">
      <c r="A500" t="s">
        <v>1544</v>
      </c>
      <c r="B500">
        <v>56</v>
      </c>
      <c r="C500" t="s">
        <v>1047</v>
      </c>
      <c r="D500">
        <v>6822</v>
      </c>
      <c r="E500">
        <v>3112</v>
      </c>
      <c r="F500">
        <v>4491</v>
      </c>
    </row>
    <row r="501" spans="1:6">
      <c r="A501" t="s">
        <v>1545</v>
      </c>
      <c r="B501">
        <v>56</v>
      </c>
      <c r="C501" t="s">
        <v>1049</v>
      </c>
      <c r="D501">
        <v>2047</v>
      </c>
      <c r="E501">
        <v>3112</v>
      </c>
      <c r="F501">
        <v>4491</v>
      </c>
    </row>
    <row r="502" spans="1:6">
      <c r="A502" t="s">
        <v>1546</v>
      </c>
      <c r="B502">
        <v>56</v>
      </c>
      <c r="C502" t="s">
        <v>745</v>
      </c>
      <c r="D502">
        <v>54572</v>
      </c>
      <c r="E502">
        <v>3112</v>
      </c>
      <c r="F502">
        <v>4491</v>
      </c>
    </row>
    <row r="503" spans="1:6">
      <c r="A503" t="s">
        <v>1547</v>
      </c>
      <c r="B503">
        <v>56</v>
      </c>
      <c r="C503" t="s">
        <v>1052</v>
      </c>
      <c r="D503">
        <v>122787</v>
      </c>
      <c r="E503">
        <v>3112</v>
      </c>
      <c r="F503">
        <v>4491</v>
      </c>
    </row>
    <row r="504" spans="1:6">
      <c r="A504" t="s">
        <v>1548</v>
      </c>
      <c r="B504">
        <v>56</v>
      </c>
      <c r="C504" t="s">
        <v>164</v>
      </c>
      <c r="D504">
        <v>968929</v>
      </c>
      <c r="E504">
        <v>3752</v>
      </c>
      <c r="F504">
        <v>4491</v>
      </c>
    </row>
    <row r="505" spans="1:6">
      <c r="A505" t="s">
        <v>1549</v>
      </c>
      <c r="B505">
        <v>56</v>
      </c>
      <c r="C505" t="s">
        <v>651</v>
      </c>
      <c r="D505">
        <v>484465</v>
      </c>
      <c r="E505">
        <v>3752</v>
      </c>
      <c r="F505">
        <v>4491</v>
      </c>
    </row>
    <row r="506" spans="1:6">
      <c r="A506" t="s">
        <v>1550</v>
      </c>
      <c r="B506">
        <v>57</v>
      </c>
      <c r="C506" t="s">
        <v>154</v>
      </c>
      <c r="D506">
        <v>14039</v>
      </c>
      <c r="E506">
        <v>3180</v>
      </c>
      <c r="F506">
        <v>4577</v>
      </c>
    </row>
    <row r="507" spans="1:6">
      <c r="A507" t="s">
        <v>1551</v>
      </c>
      <c r="B507">
        <v>57</v>
      </c>
      <c r="C507" t="s">
        <v>1043</v>
      </c>
      <c r="D507">
        <v>42117</v>
      </c>
      <c r="E507">
        <v>3180</v>
      </c>
      <c r="F507">
        <v>4577</v>
      </c>
    </row>
    <row r="508" spans="1:6">
      <c r="A508" t="s">
        <v>1552</v>
      </c>
      <c r="B508">
        <v>57</v>
      </c>
      <c r="C508" t="s">
        <v>1045</v>
      </c>
      <c r="D508">
        <v>25271</v>
      </c>
      <c r="E508">
        <v>3180</v>
      </c>
      <c r="F508">
        <v>4577</v>
      </c>
    </row>
    <row r="509" spans="1:6">
      <c r="A509" t="s">
        <v>1553</v>
      </c>
      <c r="B509">
        <v>57</v>
      </c>
      <c r="C509" t="s">
        <v>1047</v>
      </c>
      <c r="D509">
        <v>7020</v>
      </c>
      <c r="E509">
        <v>3180</v>
      </c>
      <c r="F509">
        <v>4577</v>
      </c>
    </row>
    <row r="510" spans="1:6">
      <c r="A510" t="s">
        <v>1554</v>
      </c>
      <c r="B510">
        <v>57</v>
      </c>
      <c r="C510" t="s">
        <v>1049</v>
      </c>
      <c r="D510">
        <v>2106</v>
      </c>
      <c r="E510">
        <v>3180</v>
      </c>
      <c r="F510">
        <v>4577</v>
      </c>
    </row>
    <row r="511" spans="1:6">
      <c r="A511" t="s">
        <v>1555</v>
      </c>
      <c r="B511">
        <v>57</v>
      </c>
      <c r="C511" t="s">
        <v>745</v>
      </c>
      <c r="D511">
        <v>56156</v>
      </c>
      <c r="E511">
        <v>3180</v>
      </c>
      <c r="F511">
        <v>4577</v>
      </c>
    </row>
    <row r="512" spans="1:6">
      <c r="A512" t="s">
        <v>1556</v>
      </c>
      <c r="B512">
        <v>57</v>
      </c>
      <c r="C512" t="s">
        <v>1052</v>
      </c>
      <c r="D512">
        <v>126351</v>
      </c>
      <c r="E512">
        <v>3180</v>
      </c>
      <c r="F512">
        <v>4577</v>
      </c>
    </row>
    <row r="513" spans="1:6">
      <c r="A513" t="s">
        <v>1557</v>
      </c>
      <c r="B513">
        <v>57</v>
      </c>
      <c r="C513" t="s">
        <v>164</v>
      </c>
      <c r="D513">
        <v>997745</v>
      </c>
      <c r="E513">
        <v>3832</v>
      </c>
      <c r="F513">
        <v>4577</v>
      </c>
    </row>
    <row r="514" spans="1:6">
      <c r="A514" t="s">
        <v>1558</v>
      </c>
      <c r="B514">
        <v>57</v>
      </c>
      <c r="C514" t="s">
        <v>651</v>
      </c>
      <c r="D514">
        <v>498872</v>
      </c>
      <c r="E514">
        <v>3832</v>
      </c>
      <c r="F514">
        <v>4577</v>
      </c>
    </row>
    <row r="515" spans="1:6">
      <c r="A515" t="s">
        <v>1559</v>
      </c>
      <c r="B515">
        <v>58</v>
      </c>
      <c r="C515" t="s">
        <v>154</v>
      </c>
      <c r="D515">
        <v>14441</v>
      </c>
      <c r="E515">
        <v>3249</v>
      </c>
      <c r="F515">
        <v>4664</v>
      </c>
    </row>
    <row r="516" spans="1:6">
      <c r="A516" t="s">
        <v>1560</v>
      </c>
      <c r="B516">
        <v>58</v>
      </c>
      <c r="C516" t="s">
        <v>1043</v>
      </c>
      <c r="D516">
        <v>43323</v>
      </c>
      <c r="E516">
        <v>3249</v>
      </c>
      <c r="F516">
        <v>4664</v>
      </c>
    </row>
    <row r="517" spans="1:6">
      <c r="A517" t="s">
        <v>1561</v>
      </c>
      <c r="B517">
        <v>58</v>
      </c>
      <c r="C517" t="s">
        <v>1045</v>
      </c>
      <c r="D517">
        <v>25994</v>
      </c>
      <c r="E517">
        <v>3249</v>
      </c>
      <c r="F517">
        <v>4664</v>
      </c>
    </row>
    <row r="518" spans="1:6">
      <c r="A518" t="s">
        <v>1562</v>
      </c>
      <c r="B518">
        <v>58</v>
      </c>
      <c r="C518" t="s">
        <v>1047</v>
      </c>
      <c r="D518">
        <v>7221</v>
      </c>
      <c r="E518">
        <v>3249</v>
      </c>
      <c r="F518">
        <v>4664</v>
      </c>
    </row>
    <row r="519" spans="1:6">
      <c r="A519" t="s">
        <v>1563</v>
      </c>
      <c r="B519">
        <v>58</v>
      </c>
      <c r="C519" t="s">
        <v>1049</v>
      </c>
      <c r="D519">
        <v>2167</v>
      </c>
      <c r="E519">
        <v>3249</v>
      </c>
      <c r="F519">
        <v>4664</v>
      </c>
    </row>
    <row r="520" spans="1:6">
      <c r="A520" t="s">
        <v>1564</v>
      </c>
      <c r="B520">
        <v>58</v>
      </c>
      <c r="C520" t="s">
        <v>745</v>
      </c>
      <c r="D520">
        <v>57764</v>
      </c>
      <c r="E520">
        <v>3249</v>
      </c>
      <c r="F520">
        <v>4664</v>
      </c>
    </row>
    <row r="521" spans="1:6">
      <c r="A521" t="s">
        <v>1565</v>
      </c>
      <c r="B521">
        <v>58</v>
      </c>
      <c r="C521" t="s">
        <v>1052</v>
      </c>
      <c r="D521">
        <v>129969</v>
      </c>
      <c r="E521">
        <v>3249</v>
      </c>
      <c r="F521">
        <v>4664</v>
      </c>
    </row>
    <row r="522" spans="1:6">
      <c r="A522" t="s">
        <v>1566</v>
      </c>
      <c r="B522">
        <v>58</v>
      </c>
      <c r="C522" t="s">
        <v>164</v>
      </c>
      <c r="D522">
        <v>1027219</v>
      </c>
      <c r="E522">
        <v>3912</v>
      </c>
      <c r="F522">
        <v>4664</v>
      </c>
    </row>
    <row r="523" spans="1:6">
      <c r="A523" t="s">
        <v>1567</v>
      </c>
      <c r="B523">
        <v>58</v>
      </c>
      <c r="C523" t="s">
        <v>651</v>
      </c>
      <c r="D523">
        <v>513609</v>
      </c>
      <c r="E523">
        <v>3912</v>
      </c>
      <c r="F523">
        <v>4664</v>
      </c>
    </row>
    <row r="524" spans="1:6">
      <c r="A524" t="s">
        <v>1568</v>
      </c>
      <c r="B524">
        <v>59</v>
      </c>
      <c r="C524" t="s">
        <v>154</v>
      </c>
      <c r="D524">
        <v>14849</v>
      </c>
      <c r="E524">
        <v>3319</v>
      </c>
      <c r="F524">
        <v>4751</v>
      </c>
    </row>
    <row r="525" spans="1:6">
      <c r="A525" t="s">
        <v>1569</v>
      </c>
      <c r="B525">
        <v>59</v>
      </c>
      <c r="C525" t="s">
        <v>1043</v>
      </c>
      <c r="D525">
        <v>44547</v>
      </c>
      <c r="E525">
        <v>3319</v>
      </c>
      <c r="F525">
        <v>4751</v>
      </c>
    </row>
    <row r="526" spans="1:6">
      <c r="A526" t="s">
        <v>1570</v>
      </c>
      <c r="B526">
        <v>59</v>
      </c>
      <c r="C526" t="s">
        <v>1045</v>
      </c>
      <c r="D526">
        <v>26729</v>
      </c>
      <c r="E526">
        <v>3319</v>
      </c>
      <c r="F526">
        <v>4751</v>
      </c>
    </row>
    <row r="527" spans="1:6">
      <c r="A527" t="s">
        <v>1571</v>
      </c>
      <c r="B527">
        <v>59</v>
      </c>
      <c r="C527" t="s">
        <v>1047</v>
      </c>
      <c r="D527">
        <v>7425</v>
      </c>
      <c r="E527">
        <v>3319</v>
      </c>
      <c r="F527">
        <v>4751</v>
      </c>
    </row>
    <row r="528" spans="1:6">
      <c r="A528" t="s">
        <v>1572</v>
      </c>
      <c r="B528">
        <v>59</v>
      </c>
      <c r="C528" t="s">
        <v>1049</v>
      </c>
      <c r="D528">
        <v>2228</v>
      </c>
      <c r="E528">
        <v>3319</v>
      </c>
      <c r="F528">
        <v>4751</v>
      </c>
    </row>
    <row r="529" spans="1:6">
      <c r="A529" t="s">
        <v>1573</v>
      </c>
      <c r="B529">
        <v>59</v>
      </c>
      <c r="C529" t="s">
        <v>745</v>
      </c>
      <c r="D529">
        <v>59396</v>
      </c>
      <c r="E529">
        <v>3319</v>
      </c>
      <c r="F529">
        <v>4751</v>
      </c>
    </row>
    <row r="530" spans="1:6">
      <c r="A530" t="s">
        <v>1574</v>
      </c>
      <c r="B530">
        <v>59</v>
      </c>
      <c r="C530" t="s">
        <v>1052</v>
      </c>
      <c r="D530">
        <v>133641</v>
      </c>
      <c r="E530">
        <v>3319</v>
      </c>
      <c r="F530">
        <v>4751</v>
      </c>
    </row>
    <row r="531" spans="1:6">
      <c r="A531" t="s">
        <v>1575</v>
      </c>
      <c r="B531">
        <v>59</v>
      </c>
      <c r="C531" t="s">
        <v>164</v>
      </c>
      <c r="D531">
        <v>1057242</v>
      </c>
      <c r="E531">
        <v>3994</v>
      </c>
      <c r="F531">
        <v>4751</v>
      </c>
    </row>
    <row r="532" spans="1:6">
      <c r="A532" t="s">
        <v>1576</v>
      </c>
      <c r="B532">
        <v>59</v>
      </c>
      <c r="C532" t="s">
        <v>651</v>
      </c>
      <c r="D532">
        <v>528621</v>
      </c>
      <c r="E532">
        <v>3994</v>
      </c>
      <c r="F532">
        <v>4751</v>
      </c>
    </row>
    <row r="533" spans="1:6">
      <c r="A533" t="s">
        <v>1577</v>
      </c>
      <c r="B533">
        <v>60</v>
      </c>
      <c r="C533" t="s">
        <v>154</v>
      </c>
      <c r="D533">
        <v>15263</v>
      </c>
      <c r="E533">
        <v>3388</v>
      </c>
      <c r="F533">
        <v>4839</v>
      </c>
    </row>
    <row r="534" spans="1:6">
      <c r="A534" t="s">
        <v>1578</v>
      </c>
      <c r="B534">
        <v>60</v>
      </c>
      <c r="C534" t="s">
        <v>1043</v>
      </c>
      <c r="D534">
        <v>45789</v>
      </c>
      <c r="E534">
        <v>3388</v>
      </c>
      <c r="F534">
        <v>4839</v>
      </c>
    </row>
    <row r="535" spans="1:6">
      <c r="A535" t="s">
        <v>1579</v>
      </c>
      <c r="B535">
        <v>60</v>
      </c>
      <c r="C535" t="s">
        <v>1045</v>
      </c>
      <c r="D535">
        <v>27474</v>
      </c>
      <c r="E535">
        <v>3388</v>
      </c>
      <c r="F535">
        <v>4839</v>
      </c>
    </row>
    <row r="536" spans="1:6">
      <c r="A536" t="s">
        <v>1580</v>
      </c>
      <c r="B536">
        <v>60</v>
      </c>
      <c r="C536" t="s">
        <v>1047</v>
      </c>
      <c r="D536">
        <v>7632</v>
      </c>
      <c r="E536">
        <v>3388</v>
      </c>
      <c r="F536">
        <v>4839</v>
      </c>
    </row>
    <row r="537" spans="1:6">
      <c r="A537" t="s">
        <v>1581</v>
      </c>
      <c r="B537">
        <v>60</v>
      </c>
      <c r="C537" t="s">
        <v>1049</v>
      </c>
      <c r="D537">
        <v>2290</v>
      </c>
      <c r="E537">
        <v>3388</v>
      </c>
      <c r="F537">
        <v>4839</v>
      </c>
    </row>
    <row r="538" spans="1:6">
      <c r="A538" t="s">
        <v>1582</v>
      </c>
      <c r="B538">
        <v>60</v>
      </c>
      <c r="C538" t="s">
        <v>745</v>
      </c>
      <c r="D538">
        <v>61052</v>
      </c>
      <c r="E538">
        <v>3388</v>
      </c>
      <c r="F538">
        <v>4839</v>
      </c>
    </row>
    <row r="539" spans="1:6">
      <c r="A539" t="s">
        <v>1583</v>
      </c>
      <c r="B539">
        <v>60</v>
      </c>
      <c r="C539" t="s">
        <v>1052</v>
      </c>
      <c r="D539">
        <v>137367</v>
      </c>
      <c r="E539">
        <v>3388</v>
      </c>
      <c r="F539">
        <v>4839</v>
      </c>
    </row>
    <row r="540" spans="1:6">
      <c r="A540" t="s">
        <v>1584</v>
      </c>
      <c r="B540">
        <v>60</v>
      </c>
      <c r="C540" t="s">
        <v>164</v>
      </c>
      <c r="D540">
        <v>1087927</v>
      </c>
      <c r="E540">
        <v>4075</v>
      </c>
      <c r="F540">
        <v>4839</v>
      </c>
    </row>
    <row r="541" spans="1:6">
      <c r="A541" t="s">
        <v>1585</v>
      </c>
      <c r="B541">
        <v>60</v>
      </c>
      <c r="C541" t="s">
        <v>651</v>
      </c>
      <c r="D541">
        <v>543964</v>
      </c>
      <c r="E541">
        <v>4075</v>
      </c>
      <c r="F541">
        <v>4839</v>
      </c>
    </row>
    <row r="542" spans="1:6">
      <c r="A542" t="s">
        <v>1586</v>
      </c>
      <c r="B542">
        <v>61</v>
      </c>
      <c r="C542" t="s">
        <v>154</v>
      </c>
      <c r="D542">
        <v>15683</v>
      </c>
      <c r="E542">
        <v>3458</v>
      </c>
      <c r="F542">
        <v>4926</v>
      </c>
    </row>
    <row r="543" spans="1:6">
      <c r="A543" t="s">
        <v>1587</v>
      </c>
      <c r="B543">
        <v>61</v>
      </c>
      <c r="C543" t="s">
        <v>1043</v>
      </c>
      <c r="D543">
        <v>47049</v>
      </c>
      <c r="E543">
        <v>3458</v>
      </c>
      <c r="F543">
        <v>4926</v>
      </c>
    </row>
    <row r="544" spans="1:6">
      <c r="A544" t="s">
        <v>1588</v>
      </c>
      <c r="B544">
        <v>61</v>
      </c>
      <c r="C544" t="s">
        <v>1045</v>
      </c>
      <c r="D544">
        <v>28230</v>
      </c>
      <c r="E544">
        <v>3458</v>
      </c>
      <c r="F544">
        <v>4926</v>
      </c>
    </row>
    <row r="545" spans="1:6">
      <c r="A545" t="s">
        <v>1589</v>
      </c>
      <c r="B545">
        <v>61</v>
      </c>
      <c r="C545" t="s">
        <v>1047</v>
      </c>
      <c r="D545">
        <v>7842</v>
      </c>
      <c r="E545">
        <v>3458</v>
      </c>
      <c r="F545">
        <v>4926</v>
      </c>
    </row>
    <row r="546" spans="1:6">
      <c r="A546" t="s">
        <v>1590</v>
      </c>
      <c r="B546">
        <v>61</v>
      </c>
      <c r="C546" t="s">
        <v>1049</v>
      </c>
      <c r="D546">
        <v>2353</v>
      </c>
      <c r="E546">
        <v>3458</v>
      </c>
      <c r="F546">
        <v>4926</v>
      </c>
    </row>
    <row r="547" spans="1:6">
      <c r="A547" t="s">
        <v>1591</v>
      </c>
      <c r="B547">
        <v>61</v>
      </c>
      <c r="C547" t="s">
        <v>745</v>
      </c>
      <c r="D547">
        <v>62732</v>
      </c>
      <c r="E547">
        <v>3458</v>
      </c>
      <c r="F547">
        <v>4926</v>
      </c>
    </row>
    <row r="548" spans="1:6">
      <c r="A548" t="s">
        <v>1592</v>
      </c>
      <c r="B548">
        <v>61</v>
      </c>
      <c r="C548" t="s">
        <v>1052</v>
      </c>
      <c r="D548">
        <v>141147</v>
      </c>
      <c r="E548">
        <v>3458</v>
      </c>
      <c r="F548">
        <v>4926</v>
      </c>
    </row>
    <row r="549" spans="1:6">
      <c r="A549" t="s">
        <v>1593</v>
      </c>
      <c r="B549">
        <v>61</v>
      </c>
      <c r="C549" t="s">
        <v>164</v>
      </c>
      <c r="D549">
        <v>1119166</v>
      </c>
      <c r="E549">
        <v>4157</v>
      </c>
      <c r="F549">
        <v>4926</v>
      </c>
    </row>
    <row r="550" spans="1:6">
      <c r="A550" t="s">
        <v>1594</v>
      </c>
      <c r="B550">
        <v>61</v>
      </c>
      <c r="C550" t="s">
        <v>651</v>
      </c>
      <c r="D550">
        <v>559583</v>
      </c>
      <c r="E550">
        <v>4157</v>
      </c>
      <c r="F550">
        <v>4926</v>
      </c>
    </row>
    <row r="551" spans="1:6">
      <c r="A551" t="s">
        <v>1595</v>
      </c>
      <c r="B551">
        <v>62</v>
      </c>
      <c r="C551" t="s">
        <v>154</v>
      </c>
      <c r="D551">
        <v>16110</v>
      </c>
      <c r="E551">
        <v>3529</v>
      </c>
      <c r="F551">
        <v>5014</v>
      </c>
    </row>
    <row r="552" spans="1:6">
      <c r="A552" t="s">
        <v>1596</v>
      </c>
      <c r="B552">
        <v>62</v>
      </c>
      <c r="C552" t="s">
        <v>1043</v>
      </c>
      <c r="D552">
        <v>48330</v>
      </c>
      <c r="E552">
        <v>3529</v>
      </c>
      <c r="F552">
        <v>5014</v>
      </c>
    </row>
    <row r="553" spans="1:6">
      <c r="A553" t="s">
        <v>1597</v>
      </c>
      <c r="B553">
        <v>62</v>
      </c>
      <c r="C553" t="s">
        <v>1045</v>
      </c>
      <c r="D553">
        <v>28998</v>
      </c>
      <c r="E553">
        <v>3529</v>
      </c>
      <c r="F553">
        <v>5014</v>
      </c>
    </row>
    <row r="554" spans="1:6">
      <c r="A554" t="s">
        <v>1598</v>
      </c>
      <c r="B554">
        <v>62</v>
      </c>
      <c r="C554" t="s">
        <v>1047</v>
      </c>
      <c r="D554">
        <v>8055</v>
      </c>
      <c r="E554">
        <v>3529</v>
      </c>
      <c r="F554">
        <v>5014</v>
      </c>
    </row>
    <row r="555" spans="1:6">
      <c r="A555" t="s">
        <v>1599</v>
      </c>
      <c r="B555">
        <v>62</v>
      </c>
      <c r="C555" t="s">
        <v>1049</v>
      </c>
      <c r="D555">
        <v>2417</v>
      </c>
      <c r="E555">
        <v>3529</v>
      </c>
      <c r="F555">
        <v>5014</v>
      </c>
    </row>
    <row r="556" spans="1:6">
      <c r="A556" t="s">
        <v>1600</v>
      </c>
      <c r="B556">
        <v>62</v>
      </c>
      <c r="C556" t="s">
        <v>745</v>
      </c>
      <c r="D556">
        <v>64440</v>
      </c>
      <c r="E556">
        <v>3529</v>
      </c>
      <c r="F556">
        <v>5014</v>
      </c>
    </row>
    <row r="557" spans="1:6">
      <c r="A557" t="s">
        <v>1601</v>
      </c>
      <c r="B557">
        <v>62</v>
      </c>
      <c r="C557" t="s">
        <v>1052</v>
      </c>
      <c r="D557">
        <v>144990</v>
      </c>
      <c r="E557">
        <v>3529</v>
      </c>
      <c r="F557">
        <v>5014</v>
      </c>
    </row>
    <row r="558" spans="1:6">
      <c r="A558" t="s">
        <v>1602</v>
      </c>
      <c r="B558">
        <v>62</v>
      </c>
      <c r="C558" t="s">
        <v>164</v>
      </c>
      <c r="D558">
        <v>1151069</v>
      </c>
      <c r="E558">
        <v>4240</v>
      </c>
      <c r="F558">
        <v>5014</v>
      </c>
    </row>
    <row r="559" spans="1:6">
      <c r="A559" t="s">
        <v>1603</v>
      </c>
      <c r="B559">
        <v>62</v>
      </c>
      <c r="C559" t="s">
        <v>651</v>
      </c>
      <c r="D559">
        <v>575534</v>
      </c>
      <c r="E559">
        <v>4240</v>
      </c>
      <c r="F559">
        <v>5014</v>
      </c>
    </row>
    <row r="560" spans="1:6">
      <c r="A560" t="s">
        <v>1604</v>
      </c>
      <c r="B560">
        <v>63</v>
      </c>
      <c r="C560" t="s">
        <v>154</v>
      </c>
      <c r="D560">
        <v>16542</v>
      </c>
      <c r="E560">
        <v>3600</v>
      </c>
      <c r="F560">
        <v>5102</v>
      </c>
    </row>
    <row r="561" spans="1:6">
      <c r="A561" t="s">
        <v>1605</v>
      </c>
      <c r="B561">
        <v>63</v>
      </c>
      <c r="C561" t="s">
        <v>1043</v>
      </c>
      <c r="D561">
        <v>49626</v>
      </c>
      <c r="E561">
        <v>3600</v>
      </c>
      <c r="F561">
        <v>5102</v>
      </c>
    </row>
    <row r="562" spans="1:6">
      <c r="A562" t="s">
        <v>1606</v>
      </c>
      <c r="B562">
        <v>63</v>
      </c>
      <c r="C562" t="s">
        <v>1045</v>
      </c>
      <c r="D562">
        <v>29776</v>
      </c>
      <c r="E562">
        <v>3600</v>
      </c>
      <c r="F562">
        <v>5102</v>
      </c>
    </row>
    <row r="563" spans="1:6">
      <c r="A563" t="s">
        <v>1607</v>
      </c>
      <c r="B563">
        <v>63</v>
      </c>
      <c r="C563" t="s">
        <v>1047</v>
      </c>
      <c r="D563">
        <v>8271</v>
      </c>
      <c r="E563">
        <v>3600</v>
      </c>
      <c r="F563">
        <v>5102</v>
      </c>
    </row>
    <row r="564" spans="1:6">
      <c r="A564" t="s">
        <v>1608</v>
      </c>
      <c r="B564">
        <v>63</v>
      </c>
      <c r="C564" t="s">
        <v>1049</v>
      </c>
      <c r="D564">
        <v>2482</v>
      </c>
      <c r="E564">
        <v>3600</v>
      </c>
      <c r="F564">
        <v>5102</v>
      </c>
    </row>
    <row r="565" spans="1:6">
      <c r="A565" t="s">
        <v>1609</v>
      </c>
      <c r="B565">
        <v>63</v>
      </c>
      <c r="C565" t="s">
        <v>745</v>
      </c>
      <c r="D565">
        <v>66168</v>
      </c>
      <c r="E565">
        <v>3600</v>
      </c>
      <c r="F565">
        <v>5102</v>
      </c>
    </row>
    <row r="566" spans="1:6">
      <c r="A566" t="s">
        <v>1610</v>
      </c>
      <c r="B566">
        <v>63</v>
      </c>
      <c r="C566" t="s">
        <v>1052</v>
      </c>
      <c r="D566">
        <v>148878</v>
      </c>
      <c r="E566">
        <v>3600</v>
      </c>
      <c r="F566">
        <v>5102</v>
      </c>
    </row>
    <row r="567" spans="1:6">
      <c r="A567" t="s">
        <v>1611</v>
      </c>
      <c r="B567">
        <v>63</v>
      </c>
      <c r="C567" t="s">
        <v>164</v>
      </c>
      <c r="D567">
        <v>1183638</v>
      </c>
      <c r="E567">
        <v>4323</v>
      </c>
      <c r="F567">
        <v>5102</v>
      </c>
    </row>
    <row r="568" spans="1:6">
      <c r="A568" t="s">
        <v>1612</v>
      </c>
      <c r="B568">
        <v>63</v>
      </c>
      <c r="C568" t="s">
        <v>651</v>
      </c>
      <c r="D568">
        <v>591819</v>
      </c>
      <c r="E568">
        <v>4323</v>
      </c>
      <c r="F568">
        <v>5102</v>
      </c>
    </row>
    <row r="569" spans="1:6">
      <c r="A569" t="s">
        <v>1613</v>
      </c>
      <c r="B569">
        <v>64</v>
      </c>
      <c r="C569" t="s">
        <v>154</v>
      </c>
      <c r="D569">
        <v>16981</v>
      </c>
      <c r="E569">
        <v>3672</v>
      </c>
      <c r="F569">
        <v>5190</v>
      </c>
    </row>
    <row r="570" spans="1:6">
      <c r="A570" t="s">
        <v>1614</v>
      </c>
      <c r="B570">
        <v>64</v>
      </c>
      <c r="C570" t="s">
        <v>1043</v>
      </c>
      <c r="D570">
        <v>50943</v>
      </c>
      <c r="E570">
        <v>3672</v>
      </c>
      <c r="F570">
        <v>5190</v>
      </c>
    </row>
    <row r="571" spans="1:6">
      <c r="A571" t="s">
        <v>1615</v>
      </c>
      <c r="B571">
        <v>64</v>
      </c>
      <c r="C571" t="s">
        <v>1045</v>
      </c>
      <c r="D571">
        <v>30566</v>
      </c>
      <c r="E571">
        <v>3672</v>
      </c>
      <c r="F571">
        <v>5190</v>
      </c>
    </row>
    <row r="572" spans="1:6">
      <c r="A572" t="s">
        <v>1616</v>
      </c>
      <c r="B572">
        <v>64</v>
      </c>
      <c r="C572" t="s">
        <v>1047</v>
      </c>
      <c r="D572">
        <v>8491</v>
      </c>
      <c r="E572">
        <v>3672</v>
      </c>
      <c r="F572">
        <v>5190</v>
      </c>
    </row>
    <row r="573" spans="1:6">
      <c r="A573" t="s">
        <v>1617</v>
      </c>
      <c r="B573">
        <v>64</v>
      </c>
      <c r="C573" t="s">
        <v>1049</v>
      </c>
      <c r="D573">
        <v>2548</v>
      </c>
      <c r="E573">
        <v>3672</v>
      </c>
      <c r="F573">
        <v>5190</v>
      </c>
    </row>
    <row r="574" spans="1:6">
      <c r="A574" t="s">
        <v>1618</v>
      </c>
      <c r="B574">
        <v>64</v>
      </c>
      <c r="C574" t="s">
        <v>745</v>
      </c>
      <c r="D574">
        <v>67924</v>
      </c>
      <c r="E574">
        <v>3672</v>
      </c>
      <c r="F574">
        <v>5190</v>
      </c>
    </row>
    <row r="575" spans="1:6">
      <c r="A575" t="s">
        <v>1619</v>
      </c>
      <c r="B575">
        <v>64</v>
      </c>
      <c r="C575" t="s">
        <v>1052</v>
      </c>
      <c r="D575">
        <v>152829</v>
      </c>
      <c r="E575">
        <v>3672</v>
      </c>
      <c r="F575">
        <v>5190</v>
      </c>
    </row>
    <row r="576" spans="1:6">
      <c r="A576" t="s">
        <v>1620</v>
      </c>
      <c r="B576">
        <v>64</v>
      </c>
      <c r="C576" t="s">
        <v>164</v>
      </c>
      <c r="D576">
        <v>1216821</v>
      </c>
      <c r="E576">
        <v>4407</v>
      </c>
      <c r="F576">
        <v>5190</v>
      </c>
    </row>
    <row r="577" spans="1:6">
      <c r="A577" t="s">
        <v>1621</v>
      </c>
      <c r="B577">
        <v>64</v>
      </c>
      <c r="C577" t="s">
        <v>651</v>
      </c>
      <c r="D577">
        <v>608410</v>
      </c>
      <c r="E577">
        <v>4407</v>
      </c>
      <c r="F577">
        <v>5190</v>
      </c>
    </row>
    <row r="578" spans="1:6">
      <c r="A578" t="s">
        <v>1622</v>
      </c>
      <c r="B578">
        <v>65</v>
      </c>
      <c r="C578" t="s">
        <v>154</v>
      </c>
      <c r="D578">
        <v>17427</v>
      </c>
      <c r="E578">
        <v>3745</v>
      </c>
      <c r="F578">
        <v>5279</v>
      </c>
    </row>
    <row r="579" spans="1:6">
      <c r="A579" t="s">
        <v>1623</v>
      </c>
      <c r="B579">
        <v>65</v>
      </c>
      <c r="C579" t="s">
        <v>1043</v>
      </c>
      <c r="D579">
        <v>52281</v>
      </c>
      <c r="E579">
        <v>3745</v>
      </c>
      <c r="F579">
        <v>5279</v>
      </c>
    </row>
    <row r="580" spans="1:6">
      <c r="A580" t="s">
        <v>1624</v>
      </c>
      <c r="B580">
        <v>65</v>
      </c>
      <c r="C580" t="s">
        <v>1045</v>
      </c>
      <c r="D580">
        <v>31369</v>
      </c>
      <c r="E580">
        <v>3745</v>
      </c>
      <c r="F580">
        <v>5279</v>
      </c>
    </row>
    <row r="581" spans="1:6">
      <c r="A581" t="s">
        <v>1625</v>
      </c>
      <c r="B581">
        <v>65</v>
      </c>
      <c r="C581" t="s">
        <v>1047</v>
      </c>
      <c r="D581">
        <v>8714</v>
      </c>
      <c r="E581">
        <v>3745</v>
      </c>
      <c r="F581">
        <v>5279</v>
      </c>
    </row>
    <row r="582" spans="1:6">
      <c r="A582" t="s">
        <v>1626</v>
      </c>
      <c r="B582">
        <v>65</v>
      </c>
      <c r="C582" t="s">
        <v>1049</v>
      </c>
      <c r="D582">
        <v>2615</v>
      </c>
      <c r="E582">
        <v>3745</v>
      </c>
      <c r="F582">
        <v>5279</v>
      </c>
    </row>
    <row r="583" spans="1:6">
      <c r="A583" t="s">
        <v>1627</v>
      </c>
      <c r="B583">
        <v>65</v>
      </c>
      <c r="C583" t="s">
        <v>745</v>
      </c>
      <c r="D583">
        <v>69708</v>
      </c>
      <c r="E583">
        <v>3745</v>
      </c>
      <c r="F583">
        <v>5279</v>
      </c>
    </row>
    <row r="584" spans="1:6">
      <c r="A584" t="s">
        <v>1628</v>
      </c>
      <c r="B584">
        <v>65</v>
      </c>
      <c r="C584" t="s">
        <v>1052</v>
      </c>
      <c r="D584">
        <v>156843</v>
      </c>
      <c r="E584">
        <v>3745</v>
      </c>
      <c r="F584">
        <v>5279</v>
      </c>
    </row>
    <row r="585" spans="1:6">
      <c r="A585" t="s">
        <v>1629</v>
      </c>
      <c r="B585">
        <v>65</v>
      </c>
      <c r="C585" t="s">
        <v>164</v>
      </c>
      <c r="D585">
        <v>1250618</v>
      </c>
      <c r="E585">
        <v>4491</v>
      </c>
      <c r="F585">
        <v>5279</v>
      </c>
    </row>
    <row r="586" spans="1:6">
      <c r="A586" t="s">
        <v>1630</v>
      </c>
      <c r="B586">
        <v>65</v>
      </c>
      <c r="C586" t="s">
        <v>651</v>
      </c>
      <c r="D586">
        <v>625309</v>
      </c>
      <c r="E586">
        <v>4491</v>
      </c>
      <c r="F586">
        <v>5279</v>
      </c>
    </row>
    <row r="587" spans="1:6">
      <c r="A587" t="s">
        <v>1631</v>
      </c>
      <c r="B587">
        <v>66</v>
      </c>
      <c r="C587" t="s">
        <v>154</v>
      </c>
      <c r="D587">
        <v>17879</v>
      </c>
      <c r="E587">
        <v>3818</v>
      </c>
      <c r="F587">
        <v>5367</v>
      </c>
    </row>
    <row r="588" spans="1:6">
      <c r="A588" t="s">
        <v>1632</v>
      </c>
      <c r="B588">
        <v>66</v>
      </c>
      <c r="C588" t="s">
        <v>1043</v>
      </c>
      <c r="D588">
        <v>53637</v>
      </c>
      <c r="E588">
        <v>3818</v>
      </c>
      <c r="F588">
        <v>5367</v>
      </c>
    </row>
    <row r="589" spans="1:6">
      <c r="A589" t="s">
        <v>1633</v>
      </c>
      <c r="B589">
        <v>66</v>
      </c>
      <c r="C589" t="s">
        <v>1045</v>
      </c>
      <c r="D589">
        <v>32183</v>
      </c>
      <c r="E589">
        <v>3818</v>
      </c>
      <c r="F589">
        <v>5367</v>
      </c>
    </row>
    <row r="590" spans="1:6">
      <c r="A590" t="s">
        <v>1634</v>
      </c>
      <c r="B590">
        <v>66</v>
      </c>
      <c r="C590" t="s">
        <v>1047</v>
      </c>
      <c r="D590">
        <v>8940</v>
      </c>
      <c r="E590">
        <v>3818</v>
      </c>
      <c r="F590">
        <v>5367</v>
      </c>
    </row>
    <row r="591" spans="1:6">
      <c r="A591" t="s">
        <v>1635</v>
      </c>
      <c r="B591">
        <v>66</v>
      </c>
      <c r="C591" t="s">
        <v>1049</v>
      </c>
      <c r="D591">
        <v>2682</v>
      </c>
      <c r="E591">
        <v>3818</v>
      </c>
      <c r="F591">
        <v>5367</v>
      </c>
    </row>
    <row r="592" spans="1:6">
      <c r="A592" t="s">
        <v>1636</v>
      </c>
      <c r="B592">
        <v>66</v>
      </c>
      <c r="C592" t="s">
        <v>745</v>
      </c>
      <c r="D592">
        <v>71516</v>
      </c>
      <c r="E592">
        <v>3818</v>
      </c>
      <c r="F592">
        <v>5367</v>
      </c>
    </row>
    <row r="593" spans="1:6">
      <c r="A593" t="s">
        <v>1637</v>
      </c>
      <c r="B593">
        <v>66</v>
      </c>
      <c r="C593" t="s">
        <v>1052</v>
      </c>
      <c r="D593">
        <v>160911</v>
      </c>
      <c r="E593">
        <v>3818</v>
      </c>
      <c r="F593">
        <v>5367</v>
      </c>
    </row>
    <row r="594" spans="1:6">
      <c r="A594" t="s">
        <v>1638</v>
      </c>
      <c r="B594">
        <v>66</v>
      </c>
      <c r="C594" t="s">
        <v>164</v>
      </c>
      <c r="D594">
        <v>1285140</v>
      </c>
      <c r="E594">
        <v>4576</v>
      </c>
      <c r="F594">
        <v>5367</v>
      </c>
    </row>
    <row r="595" spans="1:6">
      <c r="A595" t="s">
        <v>1639</v>
      </c>
      <c r="B595">
        <v>66</v>
      </c>
      <c r="C595" t="s">
        <v>651</v>
      </c>
      <c r="D595">
        <v>642570</v>
      </c>
      <c r="E595">
        <v>4576</v>
      </c>
      <c r="F595">
        <v>5367</v>
      </c>
    </row>
    <row r="596" spans="1:6">
      <c r="A596" t="s">
        <v>1640</v>
      </c>
      <c r="B596">
        <v>67</v>
      </c>
      <c r="C596" t="s">
        <v>154</v>
      </c>
      <c r="D596">
        <v>18337</v>
      </c>
      <c r="E596">
        <v>3891</v>
      </c>
      <c r="F596">
        <v>5456</v>
      </c>
    </row>
    <row r="597" spans="1:6">
      <c r="A597" t="s">
        <v>1641</v>
      </c>
      <c r="B597">
        <v>67</v>
      </c>
      <c r="C597" t="s">
        <v>1043</v>
      </c>
      <c r="D597">
        <v>55011</v>
      </c>
      <c r="E597">
        <v>3891</v>
      </c>
      <c r="F597">
        <v>5456</v>
      </c>
    </row>
    <row r="598" spans="1:6">
      <c r="A598" t="s">
        <v>1642</v>
      </c>
      <c r="B598">
        <v>67</v>
      </c>
      <c r="C598" t="s">
        <v>1045</v>
      </c>
      <c r="D598">
        <v>33007</v>
      </c>
      <c r="E598">
        <v>3891</v>
      </c>
      <c r="F598">
        <v>5456</v>
      </c>
    </row>
    <row r="599" spans="1:6">
      <c r="A599" t="s">
        <v>1643</v>
      </c>
      <c r="B599">
        <v>67</v>
      </c>
      <c r="C599" t="s">
        <v>1047</v>
      </c>
      <c r="D599">
        <v>9169</v>
      </c>
      <c r="E599">
        <v>3891</v>
      </c>
      <c r="F599">
        <v>5456</v>
      </c>
    </row>
    <row r="600" spans="1:6">
      <c r="A600" t="s">
        <v>1644</v>
      </c>
      <c r="B600">
        <v>67</v>
      </c>
      <c r="C600" t="s">
        <v>1049</v>
      </c>
      <c r="D600">
        <v>2751</v>
      </c>
      <c r="E600">
        <v>3891</v>
      </c>
      <c r="F600">
        <v>5456</v>
      </c>
    </row>
    <row r="601" spans="1:6">
      <c r="A601" t="s">
        <v>1645</v>
      </c>
      <c r="B601">
        <v>67</v>
      </c>
      <c r="C601" t="s">
        <v>745</v>
      </c>
      <c r="D601">
        <v>73348</v>
      </c>
      <c r="E601">
        <v>3891</v>
      </c>
      <c r="F601">
        <v>5456</v>
      </c>
    </row>
    <row r="602" spans="1:6">
      <c r="A602" t="s">
        <v>1646</v>
      </c>
      <c r="B602">
        <v>67</v>
      </c>
      <c r="C602" t="s">
        <v>1052</v>
      </c>
      <c r="D602">
        <v>165033</v>
      </c>
      <c r="E602">
        <v>3891</v>
      </c>
      <c r="F602">
        <v>5456</v>
      </c>
    </row>
    <row r="603" spans="1:6">
      <c r="A603" t="s">
        <v>1647</v>
      </c>
      <c r="B603">
        <v>67</v>
      </c>
      <c r="C603" t="s">
        <v>164</v>
      </c>
      <c r="D603">
        <v>1320279</v>
      </c>
      <c r="E603">
        <v>4661</v>
      </c>
      <c r="F603">
        <v>5456</v>
      </c>
    </row>
    <row r="604" spans="1:6">
      <c r="A604" t="s">
        <v>1648</v>
      </c>
      <c r="B604">
        <v>67</v>
      </c>
      <c r="C604" t="s">
        <v>651</v>
      </c>
      <c r="D604">
        <v>660139</v>
      </c>
      <c r="E604">
        <v>4661</v>
      </c>
      <c r="F604">
        <v>5456</v>
      </c>
    </row>
    <row r="605" spans="1:6">
      <c r="A605" t="s">
        <v>1649</v>
      </c>
      <c r="B605">
        <v>68</v>
      </c>
      <c r="C605" t="s">
        <v>154</v>
      </c>
      <c r="D605">
        <v>18802</v>
      </c>
      <c r="E605">
        <v>3965</v>
      </c>
      <c r="F605">
        <v>5546</v>
      </c>
    </row>
    <row r="606" spans="1:6">
      <c r="A606" t="s">
        <v>1650</v>
      </c>
      <c r="B606">
        <v>68</v>
      </c>
      <c r="C606" t="s">
        <v>1043</v>
      </c>
      <c r="D606">
        <v>56406</v>
      </c>
      <c r="E606">
        <v>3965</v>
      </c>
      <c r="F606">
        <v>5546</v>
      </c>
    </row>
    <row r="607" spans="1:6">
      <c r="A607" t="s">
        <v>1651</v>
      </c>
      <c r="B607">
        <v>68</v>
      </c>
      <c r="C607" t="s">
        <v>1045</v>
      </c>
      <c r="D607">
        <v>33844</v>
      </c>
      <c r="E607">
        <v>3965</v>
      </c>
      <c r="F607">
        <v>5546</v>
      </c>
    </row>
    <row r="608" spans="1:6">
      <c r="A608" t="s">
        <v>1652</v>
      </c>
      <c r="B608">
        <v>68</v>
      </c>
      <c r="C608" t="s">
        <v>1047</v>
      </c>
      <c r="D608">
        <v>9401</v>
      </c>
      <c r="E608">
        <v>3965</v>
      </c>
      <c r="F608">
        <v>5546</v>
      </c>
    </row>
    <row r="609" spans="1:6">
      <c r="A609" t="s">
        <v>1653</v>
      </c>
      <c r="B609">
        <v>68</v>
      </c>
      <c r="C609" t="s">
        <v>1049</v>
      </c>
      <c r="D609">
        <v>2821</v>
      </c>
      <c r="E609">
        <v>3965</v>
      </c>
      <c r="F609">
        <v>5546</v>
      </c>
    </row>
    <row r="610" spans="1:6">
      <c r="A610" t="s">
        <v>1654</v>
      </c>
      <c r="B610">
        <v>68</v>
      </c>
      <c r="C610" t="s">
        <v>745</v>
      </c>
      <c r="D610">
        <v>75208</v>
      </c>
      <c r="E610">
        <v>3965</v>
      </c>
      <c r="F610">
        <v>5546</v>
      </c>
    </row>
    <row r="611" spans="1:6">
      <c r="A611" t="s">
        <v>1655</v>
      </c>
      <c r="B611">
        <v>68</v>
      </c>
      <c r="C611" t="s">
        <v>1052</v>
      </c>
      <c r="D611">
        <v>169218</v>
      </c>
      <c r="E611">
        <v>3965</v>
      </c>
      <c r="F611">
        <v>5546</v>
      </c>
    </row>
    <row r="612" spans="1:6">
      <c r="A612" t="s">
        <v>1656</v>
      </c>
      <c r="B612">
        <v>68</v>
      </c>
      <c r="C612" t="s">
        <v>164</v>
      </c>
      <c r="D612">
        <v>1356090</v>
      </c>
      <c r="E612">
        <v>4747</v>
      </c>
      <c r="F612">
        <v>5546</v>
      </c>
    </row>
    <row r="613" spans="1:6">
      <c r="A613" t="s">
        <v>1657</v>
      </c>
      <c r="B613">
        <v>68</v>
      </c>
      <c r="C613" t="s">
        <v>651</v>
      </c>
      <c r="D613">
        <v>678045</v>
      </c>
      <c r="E613">
        <v>4747</v>
      </c>
      <c r="F613">
        <v>5546</v>
      </c>
    </row>
    <row r="614" spans="1:6">
      <c r="A614" t="s">
        <v>1658</v>
      </c>
      <c r="B614">
        <v>69</v>
      </c>
      <c r="C614" t="s">
        <v>154</v>
      </c>
      <c r="D614">
        <v>19273</v>
      </c>
      <c r="E614">
        <v>4040</v>
      </c>
      <c r="F614">
        <v>5635</v>
      </c>
    </row>
    <row r="615" spans="1:6">
      <c r="A615" t="s">
        <v>1659</v>
      </c>
      <c r="B615">
        <v>69</v>
      </c>
      <c r="C615" t="s">
        <v>1043</v>
      </c>
      <c r="D615">
        <v>57819</v>
      </c>
      <c r="E615">
        <v>4040</v>
      </c>
      <c r="F615">
        <v>5635</v>
      </c>
    </row>
    <row r="616" spans="1:6">
      <c r="A616" t="s">
        <v>1660</v>
      </c>
      <c r="B616">
        <v>69</v>
      </c>
      <c r="C616" t="s">
        <v>1045</v>
      </c>
      <c r="D616">
        <v>34692</v>
      </c>
      <c r="E616">
        <v>4040</v>
      </c>
      <c r="F616">
        <v>5635</v>
      </c>
    </row>
    <row r="617" spans="1:6">
      <c r="A617" t="s">
        <v>1661</v>
      </c>
      <c r="B617">
        <v>69</v>
      </c>
      <c r="C617" t="s">
        <v>1047</v>
      </c>
      <c r="D617">
        <v>9637</v>
      </c>
      <c r="E617">
        <v>4040</v>
      </c>
      <c r="F617">
        <v>5635</v>
      </c>
    </row>
    <row r="618" spans="1:6">
      <c r="A618" t="s">
        <v>1662</v>
      </c>
      <c r="B618">
        <v>69</v>
      </c>
      <c r="C618" t="s">
        <v>1049</v>
      </c>
      <c r="D618">
        <v>2891</v>
      </c>
      <c r="E618">
        <v>4040</v>
      </c>
      <c r="F618">
        <v>5635</v>
      </c>
    </row>
    <row r="619" spans="1:6">
      <c r="A619" t="s">
        <v>1663</v>
      </c>
      <c r="B619">
        <v>69</v>
      </c>
      <c r="C619" t="s">
        <v>745</v>
      </c>
      <c r="D619">
        <v>77092</v>
      </c>
      <c r="E619">
        <v>4040</v>
      </c>
      <c r="F619">
        <v>5635</v>
      </c>
    </row>
    <row r="620" spans="1:6">
      <c r="A620" t="s">
        <v>1664</v>
      </c>
      <c r="B620">
        <v>69</v>
      </c>
      <c r="C620" t="s">
        <v>1052</v>
      </c>
      <c r="D620">
        <v>173457</v>
      </c>
      <c r="E620">
        <v>4040</v>
      </c>
      <c r="F620">
        <v>5635</v>
      </c>
    </row>
    <row r="621" spans="1:6">
      <c r="A621" t="s">
        <v>1665</v>
      </c>
      <c r="B621">
        <v>69</v>
      </c>
      <c r="C621" t="s">
        <v>164</v>
      </c>
      <c r="D621">
        <v>1392627</v>
      </c>
      <c r="E621">
        <v>4834</v>
      </c>
      <c r="F621">
        <v>5635</v>
      </c>
    </row>
    <row r="622" spans="1:6">
      <c r="A622" t="s">
        <v>1666</v>
      </c>
      <c r="B622">
        <v>69</v>
      </c>
      <c r="C622" t="s">
        <v>651</v>
      </c>
      <c r="D622">
        <v>696314</v>
      </c>
      <c r="E622">
        <v>4834</v>
      </c>
      <c r="F622">
        <v>5635</v>
      </c>
    </row>
    <row r="623" spans="1:6">
      <c r="A623" t="s">
        <v>1667</v>
      </c>
      <c r="B623">
        <v>70</v>
      </c>
      <c r="C623" t="s">
        <v>154</v>
      </c>
      <c r="D623">
        <v>19751</v>
      </c>
      <c r="E623">
        <v>4115</v>
      </c>
      <c r="F623">
        <v>5725</v>
      </c>
    </row>
    <row r="624" spans="1:6">
      <c r="A624" t="s">
        <v>1668</v>
      </c>
      <c r="B624">
        <v>70</v>
      </c>
      <c r="C624" t="s">
        <v>1043</v>
      </c>
      <c r="D624">
        <v>59253</v>
      </c>
      <c r="E624">
        <v>4115</v>
      </c>
      <c r="F624">
        <v>5725</v>
      </c>
    </row>
    <row r="625" spans="1:6">
      <c r="A625" t="s">
        <v>1669</v>
      </c>
      <c r="B625">
        <v>70</v>
      </c>
      <c r="C625" t="s">
        <v>1045</v>
      </c>
      <c r="D625">
        <v>35552</v>
      </c>
      <c r="E625">
        <v>4115</v>
      </c>
      <c r="F625">
        <v>5725</v>
      </c>
    </row>
    <row r="626" spans="1:6">
      <c r="A626" t="s">
        <v>1670</v>
      </c>
      <c r="B626">
        <v>70</v>
      </c>
      <c r="C626" t="s">
        <v>1047</v>
      </c>
      <c r="D626">
        <v>9876</v>
      </c>
      <c r="E626">
        <v>4115</v>
      </c>
      <c r="F626">
        <v>5725</v>
      </c>
    </row>
    <row r="627" spans="1:6">
      <c r="A627" t="s">
        <v>1671</v>
      </c>
      <c r="B627">
        <v>70</v>
      </c>
      <c r="C627" t="s">
        <v>1049</v>
      </c>
      <c r="D627">
        <v>2963</v>
      </c>
      <c r="E627">
        <v>4115</v>
      </c>
      <c r="F627">
        <v>5725</v>
      </c>
    </row>
    <row r="628" spans="1:6">
      <c r="A628" t="s">
        <v>1672</v>
      </c>
      <c r="B628">
        <v>70</v>
      </c>
      <c r="C628" t="s">
        <v>745</v>
      </c>
      <c r="D628">
        <v>79004</v>
      </c>
      <c r="E628">
        <v>4115</v>
      </c>
      <c r="F628">
        <v>5725</v>
      </c>
    </row>
    <row r="629" spans="1:6">
      <c r="A629" t="s">
        <v>1673</v>
      </c>
      <c r="B629">
        <v>70</v>
      </c>
      <c r="C629" t="s">
        <v>1052</v>
      </c>
      <c r="D629">
        <v>177759</v>
      </c>
      <c r="E629">
        <v>4115</v>
      </c>
      <c r="F629">
        <v>5725</v>
      </c>
    </row>
    <row r="630" spans="1:6">
      <c r="A630" t="s">
        <v>1674</v>
      </c>
      <c r="B630">
        <v>70</v>
      </c>
      <c r="C630" t="s">
        <v>164</v>
      </c>
      <c r="D630">
        <v>1429839</v>
      </c>
      <c r="E630">
        <v>4921</v>
      </c>
      <c r="F630">
        <v>5725</v>
      </c>
    </row>
    <row r="631" spans="1:6">
      <c r="A631" t="s">
        <v>1675</v>
      </c>
      <c r="B631">
        <v>70</v>
      </c>
      <c r="C631" t="s">
        <v>651</v>
      </c>
      <c r="D631">
        <v>714920</v>
      </c>
      <c r="E631">
        <v>4921</v>
      </c>
      <c r="F631">
        <v>5725</v>
      </c>
    </row>
    <row r="632" spans="1:6">
      <c r="A632" t="s">
        <v>1676</v>
      </c>
      <c r="B632">
        <v>71</v>
      </c>
      <c r="C632" t="s">
        <v>154</v>
      </c>
      <c r="D632">
        <v>20236</v>
      </c>
      <c r="E632">
        <v>4190</v>
      </c>
      <c r="F632">
        <v>5814</v>
      </c>
    </row>
    <row r="633" spans="1:6">
      <c r="A633" t="s">
        <v>1677</v>
      </c>
      <c r="B633">
        <v>71</v>
      </c>
      <c r="C633" t="s">
        <v>1043</v>
      </c>
      <c r="D633">
        <v>60708</v>
      </c>
      <c r="E633">
        <v>4190</v>
      </c>
      <c r="F633">
        <v>5814</v>
      </c>
    </row>
    <row r="634" spans="1:6">
      <c r="A634" t="s">
        <v>1678</v>
      </c>
      <c r="B634">
        <v>71</v>
      </c>
      <c r="C634" t="s">
        <v>1045</v>
      </c>
      <c r="D634">
        <v>36425</v>
      </c>
      <c r="E634">
        <v>4190</v>
      </c>
      <c r="F634">
        <v>5814</v>
      </c>
    </row>
    <row r="635" spans="1:6">
      <c r="A635" t="s">
        <v>1679</v>
      </c>
      <c r="B635">
        <v>71</v>
      </c>
      <c r="C635" t="s">
        <v>1047</v>
      </c>
      <c r="D635">
        <v>10118</v>
      </c>
      <c r="E635">
        <v>4190</v>
      </c>
      <c r="F635">
        <v>5814</v>
      </c>
    </row>
    <row r="636" spans="1:6">
      <c r="A636" t="s">
        <v>1680</v>
      </c>
      <c r="B636">
        <v>71</v>
      </c>
      <c r="C636" t="s">
        <v>1049</v>
      </c>
      <c r="D636">
        <v>3036</v>
      </c>
      <c r="E636">
        <v>4190</v>
      </c>
      <c r="F636">
        <v>5814</v>
      </c>
    </row>
    <row r="637" spans="1:6">
      <c r="A637" t="s">
        <v>1681</v>
      </c>
      <c r="B637">
        <v>71</v>
      </c>
      <c r="C637" t="s">
        <v>745</v>
      </c>
      <c r="D637">
        <v>80944</v>
      </c>
      <c r="E637">
        <v>4190</v>
      </c>
      <c r="F637">
        <v>5814</v>
      </c>
    </row>
    <row r="638" spans="1:6">
      <c r="A638" t="s">
        <v>1682</v>
      </c>
      <c r="B638">
        <v>71</v>
      </c>
      <c r="C638" t="s">
        <v>1052</v>
      </c>
      <c r="D638">
        <v>182124</v>
      </c>
      <c r="E638">
        <v>4190</v>
      </c>
      <c r="F638">
        <v>5814</v>
      </c>
    </row>
    <row r="639" spans="1:6">
      <c r="A639" t="s">
        <v>1683</v>
      </c>
      <c r="B639">
        <v>71</v>
      </c>
      <c r="C639" t="s">
        <v>164</v>
      </c>
      <c r="D639">
        <v>1467726</v>
      </c>
      <c r="E639">
        <v>5008</v>
      </c>
      <c r="F639">
        <v>5814</v>
      </c>
    </row>
    <row r="640" spans="1:6">
      <c r="A640" t="s">
        <v>1684</v>
      </c>
      <c r="B640">
        <v>71</v>
      </c>
      <c r="C640" t="s">
        <v>651</v>
      </c>
      <c r="D640">
        <v>733863</v>
      </c>
      <c r="E640">
        <v>5008</v>
      </c>
      <c r="F640">
        <v>5814</v>
      </c>
    </row>
    <row r="641" spans="1:6">
      <c r="A641" t="s">
        <v>1685</v>
      </c>
      <c r="B641">
        <v>72</v>
      </c>
      <c r="C641" t="s">
        <v>154</v>
      </c>
      <c r="D641">
        <v>20727</v>
      </c>
      <c r="E641">
        <v>4266</v>
      </c>
      <c r="F641">
        <v>5905</v>
      </c>
    </row>
    <row r="642" spans="1:6">
      <c r="A642" t="s">
        <v>1686</v>
      </c>
      <c r="B642">
        <v>72</v>
      </c>
      <c r="C642" t="s">
        <v>1043</v>
      </c>
      <c r="D642">
        <v>62181</v>
      </c>
      <c r="E642">
        <v>4266</v>
      </c>
      <c r="F642">
        <v>5905</v>
      </c>
    </row>
    <row r="643" spans="1:6">
      <c r="A643" t="s">
        <v>1687</v>
      </c>
      <c r="B643">
        <v>72</v>
      </c>
      <c r="C643" t="s">
        <v>1045</v>
      </c>
      <c r="D643">
        <v>37309</v>
      </c>
      <c r="E643">
        <v>4266</v>
      </c>
      <c r="F643">
        <v>5905</v>
      </c>
    </row>
    <row r="644" spans="1:6">
      <c r="A644" t="s">
        <v>1688</v>
      </c>
      <c r="B644">
        <v>72</v>
      </c>
      <c r="C644" t="s">
        <v>1047</v>
      </c>
      <c r="D644">
        <v>10364</v>
      </c>
      <c r="E644">
        <v>4266</v>
      </c>
      <c r="F644">
        <v>5905</v>
      </c>
    </row>
    <row r="645" spans="1:6">
      <c r="A645" t="s">
        <v>1689</v>
      </c>
      <c r="B645">
        <v>72</v>
      </c>
      <c r="C645" t="s">
        <v>1049</v>
      </c>
      <c r="D645">
        <v>3110</v>
      </c>
      <c r="E645">
        <v>4266</v>
      </c>
      <c r="F645">
        <v>5905</v>
      </c>
    </row>
    <row r="646" spans="1:6">
      <c r="A646" t="s">
        <v>1690</v>
      </c>
      <c r="B646">
        <v>72</v>
      </c>
      <c r="C646" t="s">
        <v>745</v>
      </c>
      <c r="D646">
        <v>82908</v>
      </c>
      <c r="E646">
        <v>4266</v>
      </c>
      <c r="F646">
        <v>5905</v>
      </c>
    </row>
    <row r="647" spans="1:6">
      <c r="A647" t="s">
        <v>1691</v>
      </c>
      <c r="B647">
        <v>72</v>
      </c>
      <c r="C647" t="s">
        <v>1052</v>
      </c>
      <c r="D647">
        <v>186543</v>
      </c>
      <c r="E647">
        <v>4266</v>
      </c>
      <c r="F647">
        <v>5905</v>
      </c>
    </row>
    <row r="648" spans="1:6">
      <c r="A648" t="s">
        <v>1692</v>
      </c>
      <c r="B648">
        <v>72</v>
      </c>
      <c r="C648" t="s">
        <v>164</v>
      </c>
      <c r="D648">
        <v>1506289</v>
      </c>
      <c r="E648">
        <v>5096</v>
      </c>
      <c r="F648">
        <v>5905</v>
      </c>
    </row>
    <row r="649" spans="1:6">
      <c r="A649" t="s">
        <v>1693</v>
      </c>
      <c r="B649">
        <v>72</v>
      </c>
      <c r="C649" t="s">
        <v>651</v>
      </c>
      <c r="D649">
        <v>753145</v>
      </c>
      <c r="E649">
        <v>5096</v>
      </c>
      <c r="F649">
        <v>5905</v>
      </c>
    </row>
    <row r="650" spans="1:6">
      <c r="A650" t="s">
        <v>1694</v>
      </c>
      <c r="B650">
        <v>73</v>
      </c>
      <c r="C650" t="s">
        <v>154</v>
      </c>
      <c r="D650">
        <v>21225</v>
      </c>
      <c r="E650">
        <v>4343</v>
      </c>
      <c r="F650">
        <v>5995</v>
      </c>
    </row>
    <row r="651" spans="1:6">
      <c r="A651" t="s">
        <v>1695</v>
      </c>
      <c r="B651">
        <v>73</v>
      </c>
      <c r="C651" t="s">
        <v>1043</v>
      </c>
      <c r="D651">
        <v>63675</v>
      </c>
      <c r="E651">
        <v>4343</v>
      </c>
      <c r="F651">
        <v>5995</v>
      </c>
    </row>
    <row r="652" spans="1:6">
      <c r="A652" t="s">
        <v>1696</v>
      </c>
      <c r="B652">
        <v>73</v>
      </c>
      <c r="C652" t="s">
        <v>1045</v>
      </c>
      <c r="D652">
        <v>38205</v>
      </c>
      <c r="E652">
        <v>4343</v>
      </c>
      <c r="F652">
        <v>5995</v>
      </c>
    </row>
    <row r="653" spans="1:6">
      <c r="A653" t="s">
        <v>1697</v>
      </c>
      <c r="B653">
        <v>73</v>
      </c>
      <c r="C653" t="s">
        <v>1047</v>
      </c>
      <c r="D653">
        <v>10613</v>
      </c>
      <c r="E653">
        <v>4343</v>
      </c>
      <c r="F653">
        <v>5995</v>
      </c>
    </row>
    <row r="654" spans="1:6">
      <c r="A654" t="s">
        <v>1698</v>
      </c>
      <c r="B654">
        <v>73</v>
      </c>
      <c r="C654" t="s">
        <v>1049</v>
      </c>
      <c r="D654">
        <v>3184</v>
      </c>
      <c r="E654">
        <v>4343</v>
      </c>
      <c r="F654">
        <v>5995</v>
      </c>
    </row>
    <row r="655" spans="1:6">
      <c r="A655" t="s">
        <v>1699</v>
      </c>
      <c r="B655">
        <v>73</v>
      </c>
      <c r="C655" t="s">
        <v>745</v>
      </c>
      <c r="D655">
        <v>84900</v>
      </c>
      <c r="E655">
        <v>4343</v>
      </c>
      <c r="F655">
        <v>5995</v>
      </c>
    </row>
    <row r="656" spans="1:6">
      <c r="A656" t="s">
        <v>1700</v>
      </c>
      <c r="B656">
        <v>73</v>
      </c>
      <c r="C656" t="s">
        <v>1052</v>
      </c>
      <c r="D656">
        <v>191025</v>
      </c>
      <c r="E656">
        <v>4343</v>
      </c>
      <c r="F656">
        <v>5995</v>
      </c>
    </row>
    <row r="657" spans="1:6">
      <c r="A657" t="s">
        <v>1701</v>
      </c>
      <c r="B657">
        <v>73</v>
      </c>
      <c r="C657" t="s">
        <v>164</v>
      </c>
      <c r="D657">
        <v>1545582</v>
      </c>
      <c r="E657">
        <v>5185</v>
      </c>
      <c r="F657">
        <v>5995</v>
      </c>
    </row>
    <row r="658" spans="1:6">
      <c r="A658" t="s">
        <v>1702</v>
      </c>
      <c r="B658">
        <v>73</v>
      </c>
      <c r="C658" t="s">
        <v>651</v>
      </c>
      <c r="D658">
        <v>772791</v>
      </c>
      <c r="E658">
        <v>5185</v>
      </c>
      <c r="F658">
        <v>5995</v>
      </c>
    </row>
    <row r="659" spans="1:6">
      <c r="A659" t="s">
        <v>1703</v>
      </c>
      <c r="B659">
        <v>74</v>
      </c>
      <c r="C659" t="s">
        <v>154</v>
      </c>
      <c r="D659">
        <v>21730</v>
      </c>
      <c r="E659">
        <v>4420</v>
      </c>
      <c r="F659">
        <v>6085</v>
      </c>
    </row>
    <row r="660" spans="1:6">
      <c r="A660" t="s">
        <v>1704</v>
      </c>
      <c r="B660">
        <v>74</v>
      </c>
      <c r="C660" t="s">
        <v>1043</v>
      </c>
      <c r="D660">
        <v>65190</v>
      </c>
      <c r="E660">
        <v>4420</v>
      </c>
      <c r="F660">
        <v>6085</v>
      </c>
    </row>
    <row r="661" spans="1:6">
      <c r="A661" t="s">
        <v>1705</v>
      </c>
      <c r="B661">
        <v>74</v>
      </c>
      <c r="C661" t="s">
        <v>1045</v>
      </c>
      <c r="D661">
        <v>39114</v>
      </c>
      <c r="E661">
        <v>4420</v>
      </c>
      <c r="F661">
        <v>6085</v>
      </c>
    </row>
    <row r="662" spans="1:6">
      <c r="A662" t="s">
        <v>1706</v>
      </c>
      <c r="B662">
        <v>74</v>
      </c>
      <c r="C662" t="s">
        <v>1047</v>
      </c>
      <c r="D662">
        <v>10865</v>
      </c>
      <c r="E662">
        <v>4420</v>
      </c>
      <c r="F662">
        <v>6085</v>
      </c>
    </row>
    <row r="663" spans="1:6">
      <c r="A663" t="s">
        <v>1707</v>
      </c>
      <c r="B663">
        <v>74</v>
      </c>
      <c r="C663" t="s">
        <v>1049</v>
      </c>
      <c r="D663">
        <v>3260</v>
      </c>
      <c r="E663">
        <v>4420</v>
      </c>
      <c r="F663">
        <v>6085</v>
      </c>
    </row>
    <row r="664" spans="1:6">
      <c r="A664" t="s">
        <v>1708</v>
      </c>
      <c r="B664">
        <v>74</v>
      </c>
      <c r="C664" t="s">
        <v>745</v>
      </c>
      <c r="D664">
        <v>86920</v>
      </c>
      <c r="E664">
        <v>4420</v>
      </c>
      <c r="F664">
        <v>6085</v>
      </c>
    </row>
    <row r="665" spans="1:6">
      <c r="A665" t="s">
        <v>1709</v>
      </c>
      <c r="B665">
        <v>74</v>
      </c>
      <c r="C665" t="s">
        <v>1052</v>
      </c>
      <c r="D665">
        <v>195570</v>
      </c>
      <c r="E665">
        <v>4420</v>
      </c>
      <c r="F665">
        <v>6085</v>
      </c>
    </row>
    <row r="666" spans="1:6">
      <c r="A666" t="s">
        <v>1710</v>
      </c>
      <c r="B666">
        <v>74</v>
      </c>
      <c r="C666" t="s">
        <v>164</v>
      </c>
      <c r="D666">
        <v>1585604</v>
      </c>
      <c r="E666">
        <v>5274</v>
      </c>
      <c r="F666">
        <v>6085</v>
      </c>
    </row>
    <row r="667" spans="1:6">
      <c r="A667" t="s">
        <v>1711</v>
      </c>
      <c r="B667">
        <v>74</v>
      </c>
      <c r="C667" t="s">
        <v>651</v>
      </c>
      <c r="D667">
        <v>792802</v>
      </c>
      <c r="E667">
        <v>5274</v>
      </c>
      <c r="F667">
        <v>6085</v>
      </c>
    </row>
    <row r="668" spans="1:6">
      <c r="A668" t="s">
        <v>1712</v>
      </c>
      <c r="B668">
        <v>75</v>
      </c>
      <c r="C668" t="s">
        <v>154</v>
      </c>
      <c r="D668">
        <v>22242</v>
      </c>
      <c r="E668">
        <v>4497</v>
      </c>
      <c r="F668">
        <v>6176</v>
      </c>
    </row>
    <row r="669" spans="1:6">
      <c r="A669" t="s">
        <v>1713</v>
      </c>
      <c r="B669">
        <v>75</v>
      </c>
      <c r="C669" t="s">
        <v>1043</v>
      </c>
      <c r="D669">
        <v>66726</v>
      </c>
      <c r="E669">
        <v>4497</v>
      </c>
      <c r="F669">
        <v>6176</v>
      </c>
    </row>
    <row r="670" spans="1:6">
      <c r="A670" t="s">
        <v>1714</v>
      </c>
      <c r="B670">
        <v>75</v>
      </c>
      <c r="C670" t="s">
        <v>1045</v>
      </c>
      <c r="D670">
        <v>40036</v>
      </c>
      <c r="E670">
        <v>4497</v>
      </c>
      <c r="F670">
        <v>6176</v>
      </c>
    </row>
    <row r="671" spans="1:6">
      <c r="A671" t="s">
        <v>1715</v>
      </c>
      <c r="B671">
        <v>75</v>
      </c>
      <c r="C671" t="s">
        <v>1047</v>
      </c>
      <c r="D671">
        <v>11121</v>
      </c>
      <c r="E671">
        <v>4497</v>
      </c>
      <c r="F671">
        <v>6176</v>
      </c>
    </row>
    <row r="672" spans="1:6">
      <c r="A672" t="s">
        <v>1716</v>
      </c>
      <c r="B672">
        <v>75</v>
      </c>
      <c r="C672" t="s">
        <v>1049</v>
      </c>
      <c r="D672">
        <v>3337</v>
      </c>
      <c r="E672">
        <v>4497</v>
      </c>
      <c r="F672">
        <v>6176</v>
      </c>
    </row>
    <row r="673" spans="1:6">
      <c r="A673" t="s">
        <v>1717</v>
      </c>
      <c r="B673">
        <v>75</v>
      </c>
      <c r="C673" t="s">
        <v>745</v>
      </c>
      <c r="D673">
        <v>88968</v>
      </c>
      <c r="E673">
        <v>4497</v>
      </c>
      <c r="F673">
        <v>6176</v>
      </c>
    </row>
    <row r="674" spans="1:6">
      <c r="A674" t="s">
        <v>1718</v>
      </c>
      <c r="B674">
        <v>75</v>
      </c>
      <c r="C674" t="s">
        <v>1052</v>
      </c>
      <c r="D674">
        <v>200178</v>
      </c>
      <c r="E674">
        <v>4497</v>
      </c>
      <c r="F674">
        <v>6176</v>
      </c>
    </row>
    <row r="675" spans="1:6">
      <c r="A675" t="s">
        <v>1719</v>
      </c>
      <c r="B675">
        <v>75</v>
      </c>
      <c r="C675" t="s">
        <v>164</v>
      </c>
      <c r="D675">
        <v>1626358</v>
      </c>
      <c r="E675">
        <v>5363</v>
      </c>
      <c r="F675">
        <v>6176</v>
      </c>
    </row>
    <row r="676" spans="1:6">
      <c r="A676" t="s">
        <v>1720</v>
      </c>
      <c r="B676">
        <v>75</v>
      </c>
      <c r="C676" t="s">
        <v>651</v>
      </c>
      <c r="D676">
        <v>813179</v>
      </c>
      <c r="E676">
        <v>5363</v>
      </c>
      <c r="F676">
        <v>6176</v>
      </c>
    </row>
    <row r="677" spans="1:6">
      <c r="A677" t="s">
        <v>1721</v>
      </c>
      <c r="B677">
        <v>76</v>
      </c>
      <c r="C677" t="s">
        <v>154</v>
      </c>
      <c r="D677">
        <v>22762</v>
      </c>
      <c r="E677">
        <v>4576</v>
      </c>
      <c r="F677">
        <v>6267</v>
      </c>
    </row>
    <row r="678" spans="1:6">
      <c r="A678" t="s">
        <v>1722</v>
      </c>
      <c r="B678">
        <v>76</v>
      </c>
      <c r="C678" t="s">
        <v>1043</v>
      </c>
      <c r="D678">
        <v>68286</v>
      </c>
      <c r="E678">
        <v>4576</v>
      </c>
      <c r="F678">
        <v>6267</v>
      </c>
    </row>
    <row r="679" spans="1:6">
      <c r="A679" t="s">
        <v>1723</v>
      </c>
      <c r="B679">
        <v>76</v>
      </c>
      <c r="C679" t="s">
        <v>1045</v>
      </c>
      <c r="D679">
        <v>40972</v>
      </c>
      <c r="E679">
        <v>4576</v>
      </c>
      <c r="F679">
        <v>6267</v>
      </c>
    </row>
    <row r="680" spans="1:6">
      <c r="A680" t="s">
        <v>1724</v>
      </c>
      <c r="B680">
        <v>76</v>
      </c>
      <c r="C680" t="s">
        <v>1047</v>
      </c>
      <c r="D680">
        <v>11381</v>
      </c>
      <c r="E680">
        <v>4576</v>
      </c>
      <c r="F680">
        <v>6267</v>
      </c>
    </row>
    <row r="681" spans="1:6">
      <c r="A681" t="s">
        <v>1725</v>
      </c>
      <c r="B681">
        <v>76</v>
      </c>
      <c r="C681" t="s">
        <v>1049</v>
      </c>
      <c r="D681">
        <v>3415</v>
      </c>
      <c r="E681">
        <v>4576</v>
      </c>
      <c r="F681">
        <v>6267</v>
      </c>
    </row>
    <row r="682" spans="1:6">
      <c r="A682" t="s">
        <v>1726</v>
      </c>
      <c r="B682">
        <v>76</v>
      </c>
      <c r="C682" t="s">
        <v>745</v>
      </c>
      <c r="D682">
        <v>91048</v>
      </c>
      <c r="E682">
        <v>4576</v>
      </c>
      <c r="F682">
        <v>6267</v>
      </c>
    </row>
    <row r="683" spans="1:6">
      <c r="A683" t="s">
        <v>1727</v>
      </c>
      <c r="B683">
        <v>76</v>
      </c>
      <c r="C683" t="s">
        <v>1052</v>
      </c>
      <c r="D683">
        <v>204858</v>
      </c>
      <c r="E683">
        <v>4576</v>
      </c>
      <c r="F683">
        <v>6267</v>
      </c>
    </row>
    <row r="684" spans="1:6">
      <c r="A684" t="s">
        <v>1728</v>
      </c>
      <c r="B684">
        <v>76</v>
      </c>
      <c r="C684" t="s">
        <v>164</v>
      </c>
      <c r="D684">
        <v>1667789</v>
      </c>
      <c r="E684">
        <v>5454</v>
      </c>
      <c r="F684">
        <v>6267</v>
      </c>
    </row>
    <row r="685" spans="1:6">
      <c r="A685" t="s">
        <v>1729</v>
      </c>
      <c r="B685">
        <v>76</v>
      </c>
      <c r="C685" t="s">
        <v>651</v>
      </c>
      <c r="D685">
        <v>833895</v>
      </c>
      <c r="E685">
        <v>5454</v>
      </c>
      <c r="F685">
        <v>6267</v>
      </c>
    </row>
    <row r="686" spans="1:6">
      <c r="A686" t="s">
        <v>1730</v>
      </c>
      <c r="B686">
        <v>77</v>
      </c>
      <c r="C686" t="s">
        <v>154</v>
      </c>
      <c r="D686">
        <v>23288</v>
      </c>
      <c r="E686">
        <v>4654</v>
      </c>
      <c r="F686">
        <v>6358</v>
      </c>
    </row>
    <row r="687" spans="1:6">
      <c r="A687" t="s">
        <v>1731</v>
      </c>
      <c r="B687">
        <v>77</v>
      </c>
      <c r="C687" t="s">
        <v>1043</v>
      </c>
      <c r="D687">
        <v>69864</v>
      </c>
      <c r="E687">
        <v>4654</v>
      </c>
      <c r="F687">
        <v>6358</v>
      </c>
    </row>
    <row r="688" spans="1:6">
      <c r="A688" t="s">
        <v>1732</v>
      </c>
      <c r="B688">
        <v>77</v>
      </c>
      <c r="C688" t="s">
        <v>1045</v>
      </c>
      <c r="D688">
        <v>41919</v>
      </c>
      <c r="E688">
        <v>4654</v>
      </c>
      <c r="F688">
        <v>6358</v>
      </c>
    </row>
    <row r="689" spans="1:6">
      <c r="A689" t="s">
        <v>1733</v>
      </c>
      <c r="B689">
        <v>77</v>
      </c>
      <c r="C689" t="s">
        <v>1047</v>
      </c>
      <c r="D689">
        <v>11644</v>
      </c>
      <c r="E689">
        <v>4654</v>
      </c>
      <c r="F689">
        <v>6358</v>
      </c>
    </row>
    <row r="690" spans="1:6">
      <c r="A690" t="s">
        <v>1734</v>
      </c>
      <c r="B690">
        <v>77</v>
      </c>
      <c r="C690" t="s">
        <v>1049</v>
      </c>
      <c r="D690">
        <v>3494</v>
      </c>
      <c r="E690">
        <v>4654</v>
      </c>
      <c r="F690">
        <v>6358</v>
      </c>
    </row>
    <row r="691" spans="1:6">
      <c r="A691" t="s">
        <v>1735</v>
      </c>
      <c r="B691">
        <v>77</v>
      </c>
      <c r="C691" t="s">
        <v>745</v>
      </c>
      <c r="D691">
        <v>93152</v>
      </c>
      <c r="E691">
        <v>4654</v>
      </c>
      <c r="F691">
        <v>6358</v>
      </c>
    </row>
    <row r="692" spans="1:6">
      <c r="A692" t="s">
        <v>1736</v>
      </c>
      <c r="B692">
        <v>77</v>
      </c>
      <c r="C692" t="s">
        <v>1052</v>
      </c>
      <c r="D692">
        <v>209592</v>
      </c>
      <c r="E692">
        <v>4654</v>
      </c>
      <c r="F692">
        <v>6358</v>
      </c>
    </row>
    <row r="693" spans="1:6">
      <c r="A693" t="s">
        <v>1737</v>
      </c>
      <c r="B693">
        <v>77</v>
      </c>
      <c r="C693" t="s">
        <v>164</v>
      </c>
      <c r="D693">
        <v>1710005</v>
      </c>
      <c r="E693">
        <v>5544</v>
      </c>
      <c r="F693">
        <v>6358</v>
      </c>
    </row>
    <row r="694" spans="1:6">
      <c r="A694" t="s">
        <v>1738</v>
      </c>
      <c r="B694">
        <v>77</v>
      </c>
      <c r="C694" t="s">
        <v>651</v>
      </c>
      <c r="D694">
        <v>855003</v>
      </c>
      <c r="E694">
        <v>5544</v>
      </c>
      <c r="F694">
        <v>6358</v>
      </c>
    </row>
    <row r="695" spans="1:6">
      <c r="A695" t="s">
        <v>1739</v>
      </c>
      <c r="B695">
        <v>78</v>
      </c>
      <c r="C695" t="s">
        <v>154</v>
      </c>
      <c r="D695">
        <v>23821</v>
      </c>
      <c r="E695">
        <v>4734</v>
      </c>
      <c r="F695">
        <v>6450</v>
      </c>
    </row>
    <row r="696" spans="1:6">
      <c r="A696" t="s">
        <v>1740</v>
      </c>
      <c r="B696">
        <v>78</v>
      </c>
      <c r="C696" t="s">
        <v>1043</v>
      </c>
      <c r="D696">
        <v>71463</v>
      </c>
      <c r="E696">
        <v>4734</v>
      </c>
      <c r="F696">
        <v>6450</v>
      </c>
    </row>
    <row r="697" spans="1:6">
      <c r="A697" t="s">
        <v>1741</v>
      </c>
      <c r="B697">
        <v>78</v>
      </c>
      <c r="C697" t="s">
        <v>1045</v>
      </c>
      <c r="D697">
        <v>42878</v>
      </c>
      <c r="E697">
        <v>4734</v>
      </c>
      <c r="F697">
        <v>6450</v>
      </c>
    </row>
    <row r="698" spans="1:6">
      <c r="A698" t="s">
        <v>1742</v>
      </c>
      <c r="B698">
        <v>78</v>
      </c>
      <c r="C698" t="s">
        <v>1047</v>
      </c>
      <c r="D698">
        <v>11911</v>
      </c>
      <c r="E698">
        <v>4734</v>
      </c>
      <c r="F698">
        <v>6450</v>
      </c>
    </row>
    <row r="699" spans="1:6">
      <c r="A699" t="s">
        <v>1743</v>
      </c>
      <c r="B699">
        <v>78</v>
      </c>
      <c r="C699" t="s">
        <v>1049</v>
      </c>
      <c r="D699">
        <v>3574</v>
      </c>
      <c r="E699">
        <v>4734</v>
      </c>
      <c r="F699">
        <v>6450</v>
      </c>
    </row>
    <row r="700" spans="1:6">
      <c r="A700" t="s">
        <v>1744</v>
      </c>
      <c r="B700">
        <v>78</v>
      </c>
      <c r="C700" t="s">
        <v>745</v>
      </c>
      <c r="D700">
        <v>95284</v>
      </c>
      <c r="E700">
        <v>4734</v>
      </c>
      <c r="F700">
        <v>6450</v>
      </c>
    </row>
    <row r="701" spans="1:6">
      <c r="A701" t="s">
        <v>1745</v>
      </c>
      <c r="B701">
        <v>78</v>
      </c>
      <c r="C701" t="s">
        <v>1052</v>
      </c>
      <c r="D701">
        <v>214389</v>
      </c>
      <c r="E701">
        <v>4734</v>
      </c>
      <c r="F701">
        <v>6450</v>
      </c>
    </row>
    <row r="702" spans="1:6">
      <c r="A702" t="s">
        <v>1746</v>
      </c>
      <c r="B702">
        <v>78</v>
      </c>
      <c r="C702" t="s">
        <v>164</v>
      </c>
      <c r="D702">
        <v>1752953</v>
      </c>
      <c r="E702">
        <v>5636</v>
      </c>
      <c r="F702">
        <v>6450</v>
      </c>
    </row>
    <row r="703" spans="1:6">
      <c r="A703" t="s">
        <v>1747</v>
      </c>
      <c r="B703">
        <v>78</v>
      </c>
      <c r="C703" t="s">
        <v>651</v>
      </c>
      <c r="D703">
        <v>876477</v>
      </c>
      <c r="E703">
        <v>5636</v>
      </c>
      <c r="F703">
        <v>6450</v>
      </c>
    </row>
    <row r="704" spans="1:6">
      <c r="A704" t="s">
        <v>1748</v>
      </c>
      <c r="B704">
        <v>79</v>
      </c>
      <c r="C704" t="s">
        <v>154</v>
      </c>
      <c r="D704">
        <v>24362</v>
      </c>
      <c r="E704">
        <v>4814</v>
      </c>
      <c r="F704">
        <v>6542</v>
      </c>
    </row>
    <row r="705" spans="1:6">
      <c r="A705" t="s">
        <v>1749</v>
      </c>
      <c r="B705">
        <v>79</v>
      </c>
      <c r="C705" t="s">
        <v>1043</v>
      </c>
      <c r="D705">
        <v>73086</v>
      </c>
      <c r="E705">
        <v>4814</v>
      </c>
      <c r="F705">
        <v>6542</v>
      </c>
    </row>
    <row r="706" spans="1:6">
      <c r="A706" t="s">
        <v>1750</v>
      </c>
      <c r="B706">
        <v>79</v>
      </c>
      <c r="C706" t="s">
        <v>1045</v>
      </c>
      <c r="D706">
        <v>43852</v>
      </c>
      <c r="E706">
        <v>4814</v>
      </c>
      <c r="F706">
        <v>6542</v>
      </c>
    </row>
    <row r="707" spans="1:6">
      <c r="A707" t="s">
        <v>1751</v>
      </c>
      <c r="B707">
        <v>79</v>
      </c>
      <c r="C707" t="s">
        <v>1047</v>
      </c>
      <c r="D707">
        <v>12181</v>
      </c>
      <c r="E707">
        <v>4814</v>
      </c>
      <c r="F707">
        <v>6542</v>
      </c>
    </row>
    <row r="708" spans="1:6">
      <c r="A708" t="s">
        <v>1752</v>
      </c>
      <c r="B708">
        <v>79</v>
      </c>
      <c r="C708" t="s">
        <v>1049</v>
      </c>
      <c r="D708">
        <v>3655</v>
      </c>
      <c r="E708">
        <v>4814</v>
      </c>
      <c r="F708">
        <v>6542</v>
      </c>
    </row>
    <row r="709" spans="1:6">
      <c r="A709" t="s">
        <v>1753</v>
      </c>
      <c r="B709">
        <v>79</v>
      </c>
      <c r="C709" t="s">
        <v>745</v>
      </c>
      <c r="D709">
        <v>97448</v>
      </c>
      <c r="E709">
        <v>4814</v>
      </c>
      <c r="F709">
        <v>6542</v>
      </c>
    </row>
    <row r="710" spans="1:6">
      <c r="A710" t="s">
        <v>1754</v>
      </c>
      <c r="B710">
        <v>79</v>
      </c>
      <c r="C710" t="s">
        <v>1052</v>
      </c>
      <c r="D710">
        <v>219258</v>
      </c>
      <c r="E710">
        <v>4814</v>
      </c>
      <c r="F710">
        <v>6542</v>
      </c>
    </row>
    <row r="711" spans="1:6">
      <c r="A711" t="s">
        <v>1755</v>
      </c>
      <c r="B711">
        <v>79</v>
      </c>
      <c r="C711" t="s">
        <v>164</v>
      </c>
      <c r="D711">
        <v>1796633</v>
      </c>
      <c r="E711">
        <v>5728</v>
      </c>
      <c r="F711">
        <v>6542</v>
      </c>
    </row>
    <row r="712" spans="1:6">
      <c r="A712" t="s">
        <v>1756</v>
      </c>
      <c r="B712">
        <v>79</v>
      </c>
      <c r="C712" t="s">
        <v>651</v>
      </c>
      <c r="D712">
        <v>898317</v>
      </c>
      <c r="E712">
        <v>5728</v>
      </c>
      <c r="F712">
        <v>6542</v>
      </c>
    </row>
    <row r="713" spans="1:6">
      <c r="A713" t="s">
        <v>1757</v>
      </c>
      <c r="B713">
        <v>80</v>
      </c>
      <c r="C713" t="s">
        <v>154</v>
      </c>
      <c r="D713">
        <v>24910</v>
      </c>
      <c r="E713">
        <v>4893</v>
      </c>
      <c r="F713">
        <v>6633</v>
      </c>
    </row>
    <row r="714" spans="1:6">
      <c r="A714" t="s">
        <v>1758</v>
      </c>
      <c r="B714">
        <v>80</v>
      </c>
      <c r="C714" t="s">
        <v>1043</v>
      </c>
      <c r="D714">
        <v>74730</v>
      </c>
      <c r="E714">
        <v>4893</v>
      </c>
      <c r="F714">
        <v>6633</v>
      </c>
    </row>
    <row r="715" spans="1:6">
      <c r="A715" t="s">
        <v>1759</v>
      </c>
      <c r="B715">
        <v>80</v>
      </c>
      <c r="C715" t="s">
        <v>1045</v>
      </c>
      <c r="D715">
        <v>44838</v>
      </c>
      <c r="E715">
        <v>4893</v>
      </c>
      <c r="F715">
        <v>6633</v>
      </c>
    </row>
    <row r="716" spans="1:6">
      <c r="A716" t="s">
        <v>1760</v>
      </c>
      <c r="B716">
        <v>80</v>
      </c>
      <c r="C716" t="s">
        <v>1047</v>
      </c>
      <c r="D716">
        <v>12455</v>
      </c>
      <c r="E716">
        <v>4893</v>
      </c>
      <c r="F716">
        <v>6633</v>
      </c>
    </row>
    <row r="717" spans="1:6">
      <c r="A717" t="s">
        <v>1761</v>
      </c>
      <c r="B717">
        <v>80</v>
      </c>
      <c r="C717" t="s">
        <v>1049</v>
      </c>
      <c r="D717">
        <v>3737</v>
      </c>
      <c r="E717">
        <v>4893</v>
      </c>
      <c r="F717">
        <v>6633</v>
      </c>
    </row>
    <row r="718" spans="1:6">
      <c r="A718" t="s">
        <v>1762</v>
      </c>
      <c r="B718">
        <v>80</v>
      </c>
      <c r="C718" t="s">
        <v>745</v>
      </c>
      <c r="D718">
        <v>99640</v>
      </c>
      <c r="E718">
        <v>4893</v>
      </c>
      <c r="F718">
        <v>6633</v>
      </c>
    </row>
    <row r="719" spans="1:6">
      <c r="A719" t="s">
        <v>1763</v>
      </c>
      <c r="B719">
        <v>80</v>
      </c>
      <c r="C719" t="s">
        <v>1052</v>
      </c>
      <c r="D719">
        <v>224190</v>
      </c>
      <c r="E719">
        <v>4893</v>
      </c>
      <c r="F719">
        <v>6633</v>
      </c>
    </row>
    <row r="720" spans="1:6">
      <c r="A720" t="s">
        <v>1764</v>
      </c>
      <c r="B720">
        <v>80</v>
      </c>
      <c r="C720" t="s">
        <v>164</v>
      </c>
      <c r="D720">
        <v>1841099</v>
      </c>
      <c r="E720">
        <v>5820</v>
      </c>
      <c r="F720">
        <v>6633</v>
      </c>
    </row>
    <row r="721" spans="1:6">
      <c r="A721" t="s">
        <v>1765</v>
      </c>
      <c r="B721">
        <v>80</v>
      </c>
      <c r="C721" t="s">
        <v>651</v>
      </c>
      <c r="D721">
        <v>920549</v>
      </c>
      <c r="E721">
        <v>5820</v>
      </c>
      <c r="F721">
        <v>6633</v>
      </c>
    </row>
    <row r="722" spans="1:6">
      <c r="A722" t="s">
        <v>1766</v>
      </c>
      <c r="B722">
        <v>81</v>
      </c>
      <c r="C722" t="s">
        <v>154</v>
      </c>
      <c r="D722">
        <v>25465</v>
      </c>
      <c r="E722">
        <v>4974</v>
      </c>
      <c r="F722">
        <v>6726</v>
      </c>
    </row>
    <row r="723" spans="1:6">
      <c r="A723" t="s">
        <v>1767</v>
      </c>
      <c r="B723">
        <v>81</v>
      </c>
      <c r="C723" t="s">
        <v>1043</v>
      </c>
      <c r="D723">
        <v>76395</v>
      </c>
      <c r="E723">
        <v>4974</v>
      </c>
      <c r="F723">
        <v>6726</v>
      </c>
    </row>
    <row r="724" spans="1:6">
      <c r="A724" t="s">
        <v>1768</v>
      </c>
      <c r="B724">
        <v>81</v>
      </c>
      <c r="C724" t="s">
        <v>1045</v>
      </c>
      <c r="D724">
        <v>45837</v>
      </c>
      <c r="E724">
        <v>4974</v>
      </c>
      <c r="F724">
        <v>6726</v>
      </c>
    </row>
    <row r="725" spans="1:6">
      <c r="A725" t="s">
        <v>1769</v>
      </c>
      <c r="B725">
        <v>81</v>
      </c>
      <c r="C725" t="s">
        <v>1047</v>
      </c>
      <c r="D725">
        <v>12733</v>
      </c>
      <c r="E725">
        <v>4974</v>
      </c>
      <c r="F725">
        <v>6726</v>
      </c>
    </row>
    <row r="726" spans="1:6">
      <c r="A726" t="s">
        <v>1770</v>
      </c>
      <c r="B726">
        <v>81</v>
      </c>
      <c r="C726" t="s">
        <v>1049</v>
      </c>
      <c r="D726">
        <v>3820</v>
      </c>
      <c r="E726">
        <v>4974</v>
      </c>
      <c r="F726">
        <v>6726</v>
      </c>
    </row>
    <row r="727" spans="1:6">
      <c r="A727" t="s">
        <v>1771</v>
      </c>
      <c r="B727">
        <v>81</v>
      </c>
      <c r="C727" t="s">
        <v>745</v>
      </c>
      <c r="D727">
        <v>101860</v>
      </c>
      <c r="E727">
        <v>4974</v>
      </c>
      <c r="F727">
        <v>6726</v>
      </c>
    </row>
    <row r="728" spans="1:6">
      <c r="A728" t="s">
        <v>1772</v>
      </c>
      <c r="B728">
        <v>81</v>
      </c>
      <c r="C728" t="s">
        <v>1052</v>
      </c>
      <c r="D728">
        <v>229185</v>
      </c>
      <c r="E728">
        <v>4974</v>
      </c>
      <c r="F728">
        <v>6726</v>
      </c>
    </row>
    <row r="729" spans="1:6">
      <c r="A729" t="s">
        <v>1773</v>
      </c>
      <c r="B729">
        <v>81</v>
      </c>
      <c r="C729" t="s">
        <v>164</v>
      </c>
      <c r="D729">
        <v>1886297</v>
      </c>
      <c r="E729">
        <v>5913</v>
      </c>
      <c r="F729">
        <v>6726</v>
      </c>
    </row>
    <row r="730" spans="1:6">
      <c r="A730" t="s">
        <v>1774</v>
      </c>
      <c r="B730">
        <v>81</v>
      </c>
      <c r="C730" t="s">
        <v>651</v>
      </c>
      <c r="D730">
        <v>943148</v>
      </c>
      <c r="E730">
        <v>5913</v>
      </c>
      <c r="F730">
        <v>6726</v>
      </c>
    </row>
    <row r="731" spans="1:6">
      <c r="A731" t="s">
        <v>1775</v>
      </c>
      <c r="B731">
        <v>82</v>
      </c>
      <c r="C731" t="s">
        <v>154</v>
      </c>
      <c r="D731">
        <v>26027</v>
      </c>
      <c r="E731">
        <v>5056</v>
      </c>
      <c r="F731">
        <v>6818</v>
      </c>
    </row>
    <row r="732" spans="1:6">
      <c r="A732" t="s">
        <v>1776</v>
      </c>
      <c r="B732">
        <v>82</v>
      </c>
      <c r="C732" t="s">
        <v>1043</v>
      </c>
      <c r="D732">
        <v>78081</v>
      </c>
      <c r="E732">
        <v>5056</v>
      </c>
      <c r="F732">
        <v>6818</v>
      </c>
    </row>
    <row r="733" spans="1:6">
      <c r="A733" t="s">
        <v>1777</v>
      </c>
      <c r="B733">
        <v>82</v>
      </c>
      <c r="C733" t="s">
        <v>1045</v>
      </c>
      <c r="D733">
        <v>46849</v>
      </c>
      <c r="E733">
        <v>5056</v>
      </c>
      <c r="F733">
        <v>6818</v>
      </c>
    </row>
    <row r="734" spans="1:6">
      <c r="A734" t="s">
        <v>1778</v>
      </c>
      <c r="B734">
        <v>82</v>
      </c>
      <c r="C734" t="s">
        <v>1047</v>
      </c>
      <c r="D734">
        <v>13014</v>
      </c>
      <c r="E734">
        <v>5056</v>
      </c>
      <c r="F734">
        <v>6818</v>
      </c>
    </row>
    <row r="735" spans="1:6">
      <c r="A735" t="s">
        <v>1779</v>
      </c>
      <c r="B735">
        <v>82</v>
      </c>
      <c r="C735" t="s">
        <v>1049</v>
      </c>
      <c r="D735">
        <v>3905</v>
      </c>
      <c r="E735">
        <v>5056</v>
      </c>
      <c r="F735">
        <v>6818</v>
      </c>
    </row>
    <row r="736" spans="1:6">
      <c r="A736" t="s">
        <v>1780</v>
      </c>
      <c r="B736">
        <v>82</v>
      </c>
      <c r="C736" t="s">
        <v>745</v>
      </c>
      <c r="D736">
        <v>104108</v>
      </c>
      <c r="E736">
        <v>5056</v>
      </c>
      <c r="F736">
        <v>6818</v>
      </c>
    </row>
    <row r="737" spans="1:6">
      <c r="A737" t="s">
        <v>1781</v>
      </c>
      <c r="B737">
        <v>82</v>
      </c>
      <c r="C737" t="s">
        <v>1052</v>
      </c>
      <c r="D737">
        <v>234243</v>
      </c>
      <c r="E737">
        <v>5056</v>
      </c>
      <c r="F737">
        <v>6818</v>
      </c>
    </row>
    <row r="738" spans="1:6">
      <c r="A738" t="s">
        <v>1782</v>
      </c>
      <c r="B738">
        <v>82</v>
      </c>
      <c r="C738" t="s">
        <v>164</v>
      </c>
      <c r="D738">
        <v>1932332</v>
      </c>
      <c r="E738">
        <v>6007</v>
      </c>
      <c r="F738">
        <v>6818</v>
      </c>
    </row>
    <row r="739" spans="1:6">
      <c r="A739" t="s">
        <v>1783</v>
      </c>
      <c r="B739">
        <v>82</v>
      </c>
      <c r="C739" t="s">
        <v>651</v>
      </c>
      <c r="D739">
        <v>966166</v>
      </c>
      <c r="E739">
        <v>6007</v>
      </c>
      <c r="F739">
        <v>6818</v>
      </c>
    </row>
    <row r="740" spans="1:6">
      <c r="A740" t="s">
        <v>1784</v>
      </c>
      <c r="B740">
        <v>83</v>
      </c>
      <c r="C740" t="s">
        <v>154</v>
      </c>
      <c r="D740">
        <v>26598</v>
      </c>
      <c r="E740">
        <v>5138</v>
      </c>
      <c r="F740">
        <v>6911</v>
      </c>
    </row>
    <row r="741" spans="1:6">
      <c r="A741" t="s">
        <v>1785</v>
      </c>
      <c r="B741">
        <v>83</v>
      </c>
      <c r="C741" t="s">
        <v>1043</v>
      </c>
      <c r="D741">
        <v>79794</v>
      </c>
      <c r="E741">
        <v>5138</v>
      </c>
      <c r="F741">
        <v>6911</v>
      </c>
    </row>
    <row r="742" spans="1:6">
      <c r="A742" t="s">
        <v>1786</v>
      </c>
      <c r="B742">
        <v>83</v>
      </c>
      <c r="C742" t="s">
        <v>1045</v>
      </c>
      <c r="D742">
        <v>47877</v>
      </c>
      <c r="E742">
        <v>5138</v>
      </c>
      <c r="F742">
        <v>6911</v>
      </c>
    </row>
    <row r="743" spans="1:6">
      <c r="A743" t="s">
        <v>1787</v>
      </c>
      <c r="B743">
        <v>83</v>
      </c>
      <c r="C743" t="s">
        <v>1047</v>
      </c>
      <c r="D743">
        <v>13299</v>
      </c>
      <c r="E743">
        <v>5138</v>
      </c>
      <c r="F743">
        <v>6911</v>
      </c>
    </row>
    <row r="744" spans="1:6">
      <c r="A744" t="s">
        <v>1788</v>
      </c>
      <c r="B744">
        <v>83</v>
      </c>
      <c r="C744" t="s">
        <v>1049</v>
      </c>
      <c r="D744">
        <v>3990</v>
      </c>
      <c r="E744">
        <v>5138</v>
      </c>
      <c r="F744">
        <v>6911</v>
      </c>
    </row>
    <row r="745" spans="1:6">
      <c r="A745" t="s">
        <v>1789</v>
      </c>
      <c r="B745">
        <v>83</v>
      </c>
      <c r="C745" t="s">
        <v>745</v>
      </c>
      <c r="D745">
        <v>106392</v>
      </c>
      <c r="E745">
        <v>5138</v>
      </c>
      <c r="F745">
        <v>6911</v>
      </c>
    </row>
    <row r="746" spans="1:6">
      <c r="A746" t="s">
        <v>1790</v>
      </c>
      <c r="B746">
        <v>83</v>
      </c>
      <c r="C746" t="s">
        <v>1052</v>
      </c>
      <c r="D746">
        <v>239382</v>
      </c>
      <c r="E746">
        <v>5138</v>
      </c>
      <c r="F746">
        <v>6911</v>
      </c>
    </row>
    <row r="747" spans="1:6">
      <c r="A747" t="s">
        <v>1791</v>
      </c>
      <c r="B747">
        <v>83</v>
      </c>
      <c r="C747" t="s">
        <v>164</v>
      </c>
      <c r="D747">
        <v>1979049</v>
      </c>
      <c r="E747">
        <v>6101</v>
      </c>
      <c r="F747">
        <v>6911</v>
      </c>
    </row>
    <row r="748" spans="1:6">
      <c r="A748" t="s">
        <v>1792</v>
      </c>
      <c r="B748">
        <v>83</v>
      </c>
      <c r="C748" t="s">
        <v>651</v>
      </c>
      <c r="D748">
        <v>989525</v>
      </c>
      <c r="E748">
        <v>6101</v>
      </c>
      <c r="F748">
        <v>6911</v>
      </c>
    </row>
    <row r="749" spans="1:6">
      <c r="A749" t="s">
        <v>1793</v>
      </c>
      <c r="B749">
        <v>84</v>
      </c>
      <c r="C749" t="s">
        <v>154</v>
      </c>
      <c r="D749">
        <v>27175</v>
      </c>
      <c r="E749">
        <v>5221</v>
      </c>
      <c r="F749">
        <v>7003</v>
      </c>
    </row>
    <row r="750" spans="1:6">
      <c r="A750" t="s">
        <v>1794</v>
      </c>
      <c r="B750">
        <v>84</v>
      </c>
      <c r="C750" t="s">
        <v>1043</v>
      </c>
      <c r="D750">
        <v>81525</v>
      </c>
      <c r="E750">
        <v>5221</v>
      </c>
      <c r="F750">
        <v>7003</v>
      </c>
    </row>
    <row r="751" spans="1:6">
      <c r="A751" t="s">
        <v>1795</v>
      </c>
      <c r="B751">
        <v>84</v>
      </c>
      <c r="C751" t="s">
        <v>1045</v>
      </c>
      <c r="D751">
        <v>48915</v>
      </c>
      <c r="E751">
        <v>5221</v>
      </c>
      <c r="F751">
        <v>7003</v>
      </c>
    </row>
    <row r="752" spans="1:6">
      <c r="A752" t="s">
        <v>1796</v>
      </c>
      <c r="B752">
        <v>84</v>
      </c>
      <c r="C752" t="s">
        <v>1047</v>
      </c>
      <c r="D752">
        <v>13588</v>
      </c>
      <c r="E752">
        <v>5221</v>
      </c>
      <c r="F752">
        <v>7003</v>
      </c>
    </row>
    <row r="753" spans="1:6">
      <c r="A753" t="s">
        <v>1797</v>
      </c>
      <c r="B753">
        <v>84</v>
      </c>
      <c r="C753" t="s">
        <v>1049</v>
      </c>
      <c r="D753">
        <v>4077</v>
      </c>
      <c r="E753">
        <v>5221</v>
      </c>
      <c r="F753">
        <v>7003</v>
      </c>
    </row>
    <row r="754" spans="1:6">
      <c r="A754" t="s">
        <v>1798</v>
      </c>
      <c r="B754">
        <v>84</v>
      </c>
      <c r="C754" t="s">
        <v>745</v>
      </c>
      <c r="D754">
        <v>108700</v>
      </c>
      <c r="E754">
        <v>5221</v>
      </c>
      <c r="F754">
        <v>7003</v>
      </c>
    </row>
    <row r="755" spans="1:6">
      <c r="A755" t="s">
        <v>1799</v>
      </c>
      <c r="B755">
        <v>84</v>
      </c>
      <c r="C755" t="s">
        <v>1052</v>
      </c>
      <c r="D755">
        <v>244575</v>
      </c>
      <c r="E755">
        <v>5221</v>
      </c>
      <c r="F755">
        <v>7003</v>
      </c>
    </row>
    <row r="756" spans="1:6">
      <c r="A756" t="s">
        <v>1800</v>
      </c>
      <c r="B756">
        <v>84</v>
      </c>
      <c r="C756" t="s">
        <v>164</v>
      </c>
      <c r="D756">
        <v>2026603</v>
      </c>
      <c r="E756">
        <v>6196</v>
      </c>
      <c r="F756">
        <v>7003</v>
      </c>
    </row>
    <row r="757" spans="1:6">
      <c r="A757" t="s">
        <v>1801</v>
      </c>
      <c r="B757">
        <v>84</v>
      </c>
      <c r="C757" t="s">
        <v>651</v>
      </c>
      <c r="D757">
        <v>1013302</v>
      </c>
      <c r="E757">
        <v>6196</v>
      </c>
      <c r="F757">
        <v>7003</v>
      </c>
    </row>
    <row r="758" spans="1:6">
      <c r="A758" t="s">
        <v>1802</v>
      </c>
      <c r="B758">
        <v>85</v>
      </c>
      <c r="C758" t="s">
        <v>154</v>
      </c>
      <c r="D758">
        <v>27760</v>
      </c>
      <c r="E758">
        <v>5304</v>
      </c>
      <c r="F758">
        <v>7096</v>
      </c>
    </row>
    <row r="759" spans="1:6">
      <c r="A759" t="s">
        <v>1803</v>
      </c>
      <c r="B759">
        <v>85</v>
      </c>
      <c r="C759" t="s">
        <v>1043</v>
      </c>
      <c r="D759">
        <v>83280</v>
      </c>
      <c r="E759">
        <v>5304</v>
      </c>
      <c r="F759">
        <v>7096</v>
      </c>
    </row>
    <row r="760" spans="1:6">
      <c r="A760" t="s">
        <v>1804</v>
      </c>
      <c r="B760">
        <v>85</v>
      </c>
      <c r="C760" t="s">
        <v>1045</v>
      </c>
      <c r="D760">
        <v>49968</v>
      </c>
      <c r="E760">
        <v>5304</v>
      </c>
      <c r="F760">
        <v>7096</v>
      </c>
    </row>
    <row r="761" spans="1:6">
      <c r="A761" t="s">
        <v>1805</v>
      </c>
      <c r="B761">
        <v>85</v>
      </c>
      <c r="C761" t="s">
        <v>1047</v>
      </c>
      <c r="D761">
        <v>13880</v>
      </c>
      <c r="E761">
        <v>5304</v>
      </c>
      <c r="F761">
        <v>7096</v>
      </c>
    </row>
    <row r="762" spans="1:6">
      <c r="A762" t="s">
        <v>1806</v>
      </c>
      <c r="B762">
        <v>85</v>
      </c>
      <c r="C762" t="s">
        <v>1049</v>
      </c>
      <c r="D762">
        <v>4164</v>
      </c>
      <c r="E762">
        <v>5304</v>
      </c>
      <c r="F762">
        <v>7096</v>
      </c>
    </row>
    <row r="763" spans="1:6">
      <c r="A763" t="s">
        <v>1807</v>
      </c>
      <c r="B763">
        <v>85</v>
      </c>
      <c r="C763" t="s">
        <v>745</v>
      </c>
      <c r="D763">
        <v>111040</v>
      </c>
      <c r="E763">
        <v>5304</v>
      </c>
      <c r="F763">
        <v>7096</v>
      </c>
    </row>
    <row r="764" spans="1:6">
      <c r="A764" t="s">
        <v>1808</v>
      </c>
      <c r="B764">
        <v>85</v>
      </c>
      <c r="C764" t="s">
        <v>1052</v>
      </c>
      <c r="D764">
        <v>249840</v>
      </c>
      <c r="E764">
        <v>5304</v>
      </c>
      <c r="F764">
        <v>7096</v>
      </c>
    </row>
    <row r="765" spans="1:6">
      <c r="A765" t="s">
        <v>1809</v>
      </c>
      <c r="B765">
        <v>85</v>
      </c>
      <c r="C765" t="s">
        <v>164</v>
      </c>
      <c r="D765">
        <v>2074943</v>
      </c>
      <c r="E765">
        <v>6291</v>
      </c>
      <c r="F765">
        <v>7096</v>
      </c>
    </row>
    <row r="766" spans="1:6">
      <c r="A766" t="s">
        <v>1810</v>
      </c>
      <c r="B766">
        <v>85</v>
      </c>
      <c r="C766" t="s">
        <v>651</v>
      </c>
      <c r="D766">
        <v>1037472</v>
      </c>
      <c r="E766">
        <v>6291</v>
      </c>
      <c r="F766">
        <v>7096</v>
      </c>
    </row>
    <row r="767" spans="1:6">
      <c r="A767" t="s">
        <v>1811</v>
      </c>
      <c r="B767">
        <v>86</v>
      </c>
      <c r="C767" t="s">
        <v>154</v>
      </c>
      <c r="D767">
        <v>28353</v>
      </c>
      <c r="E767">
        <v>5388</v>
      </c>
      <c r="F767">
        <v>7190</v>
      </c>
    </row>
    <row r="768" spans="1:6">
      <c r="A768" t="s">
        <v>1812</v>
      </c>
      <c r="B768">
        <v>86</v>
      </c>
      <c r="C768" t="s">
        <v>1043</v>
      </c>
      <c r="D768">
        <v>85059</v>
      </c>
      <c r="E768">
        <v>5388</v>
      </c>
      <c r="F768">
        <v>7190</v>
      </c>
    </row>
    <row r="769" spans="1:6">
      <c r="A769" t="s">
        <v>1813</v>
      </c>
      <c r="B769">
        <v>86</v>
      </c>
      <c r="C769" t="s">
        <v>1045</v>
      </c>
      <c r="D769">
        <v>51036</v>
      </c>
      <c r="E769">
        <v>5388</v>
      </c>
      <c r="F769">
        <v>7190</v>
      </c>
    </row>
    <row r="770" spans="1:6">
      <c r="A770" t="s">
        <v>1814</v>
      </c>
      <c r="B770">
        <v>86</v>
      </c>
      <c r="C770" t="s">
        <v>1047</v>
      </c>
      <c r="D770">
        <v>14177</v>
      </c>
      <c r="E770">
        <v>5388</v>
      </c>
      <c r="F770">
        <v>7190</v>
      </c>
    </row>
    <row r="771" spans="1:6">
      <c r="A771" t="s">
        <v>1815</v>
      </c>
      <c r="B771">
        <v>86</v>
      </c>
      <c r="C771" t="s">
        <v>1049</v>
      </c>
      <c r="D771">
        <v>4253</v>
      </c>
      <c r="E771">
        <v>5388</v>
      </c>
      <c r="F771">
        <v>7190</v>
      </c>
    </row>
    <row r="772" spans="1:6">
      <c r="A772" t="s">
        <v>1816</v>
      </c>
      <c r="B772">
        <v>86</v>
      </c>
      <c r="C772" t="s">
        <v>745</v>
      </c>
      <c r="D772">
        <v>113412</v>
      </c>
      <c r="E772">
        <v>5388</v>
      </c>
      <c r="F772">
        <v>7190</v>
      </c>
    </row>
    <row r="773" spans="1:6">
      <c r="A773" t="s">
        <v>1817</v>
      </c>
      <c r="B773">
        <v>86</v>
      </c>
      <c r="C773" t="s">
        <v>1052</v>
      </c>
      <c r="D773">
        <v>255177</v>
      </c>
      <c r="E773">
        <v>5388</v>
      </c>
      <c r="F773">
        <v>7190</v>
      </c>
    </row>
    <row r="774" spans="1:6">
      <c r="A774" t="s">
        <v>1818</v>
      </c>
      <c r="B774">
        <v>86</v>
      </c>
      <c r="C774" t="s">
        <v>164</v>
      </c>
      <c r="D774">
        <v>2124121</v>
      </c>
      <c r="E774">
        <v>6387</v>
      </c>
      <c r="F774">
        <v>7190</v>
      </c>
    </row>
    <row r="775" spans="1:6">
      <c r="A775" t="s">
        <v>1819</v>
      </c>
      <c r="B775">
        <v>86</v>
      </c>
      <c r="C775" t="s">
        <v>651</v>
      </c>
      <c r="D775">
        <v>1062060</v>
      </c>
      <c r="E775">
        <v>6387</v>
      </c>
      <c r="F775">
        <v>7190</v>
      </c>
    </row>
    <row r="776" spans="1:6">
      <c r="A776" t="s">
        <v>1820</v>
      </c>
      <c r="B776">
        <v>87</v>
      </c>
      <c r="C776" t="s">
        <v>154</v>
      </c>
      <c r="D776">
        <v>28954</v>
      </c>
      <c r="E776">
        <v>5471</v>
      </c>
      <c r="F776">
        <v>7283</v>
      </c>
    </row>
    <row r="777" spans="1:6">
      <c r="A777" t="s">
        <v>1821</v>
      </c>
      <c r="B777">
        <v>87</v>
      </c>
      <c r="C777" t="s">
        <v>1043</v>
      </c>
      <c r="D777">
        <v>86862</v>
      </c>
      <c r="E777">
        <v>5471</v>
      </c>
      <c r="F777">
        <v>7283</v>
      </c>
    </row>
    <row r="778" spans="1:6">
      <c r="A778" t="s">
        <v>1822</v>
      </c>
      <c r="B778">
        <v>87</v>
      </c>
      <c r="C778" t="s">
        <v>1045</v>
      </c>
      <c r="D778">
        <v>52118</v>
      </c>
      <c r="E778">
        <v>5471</v>
      </c>
      <c r="F778">
        <v>7283</v>
      </c>
    </row>
    <row r="779" spans="1:6">
      <c r="A779" t="s">
        <v>1823</v>
      </c>
      <c r="B779">
        <v>87</v>
      </c>
      <c r="C779" t="s">
        <v>1047</v>
      </c>
      <c r="D779">
        <v>14477</v>
      </c>
      <c r="E779">
        <v>5471</v>
      </c>
      <c r="F779">
        <v>7283</v>
      </c>
    </row>
    <row r="780" spans="1:6">
      <c r="A780" t="s">
        <v>1824</v>
      </c>
      <c r="B780">
        <v>87</v>
      </c>
      <c r="C780" t="s">
        <v>1049</v>
      </c>
      <c r="D780">
        <v>4344</v>
      </c>
      <c r="E780">
        <v>5471</v>
      </c>
      <c r="F780">
        <v>7283</v>
      </c>
    </row>
    <row r="781" spans="1:6">
      <c r="A781" t="s">
        <v>1825</v>
      </c>
      <c r="B781">
        <v>87</v>
      </c>
      <c r="C781" t="s">
        <v>745</v>
      </c>
      <c r="D781">
        <v>115816</v>
      </c>
      <c r="E781">
        <v>5471</v>
      </c>
      <c r="F781">
        <v>7283</v>
      </c>
    </row>
    <row r="782" spans="1:6">
      <c r="A782" t="s">
        <v>1826</v>
      </c>
      <c r="B782">
        <v>87</v>
      </c>
      <c r="C782" t="s">
        <v>1052</v>
      </c>
      <c r="D782">
        <v>260586</v>
      </c>
      <c r="E782">
        <v>5471</v>
      </c>
      <c r="F782">
        <v>7283</v>
      </c>
    </row>
    <row r="783" spans="1:6">
      <c r="A783" t="s">
        <v>1827</v>
      </c>
      <c r="B783">
        <v>87</v>
      </c>
      <c r="C783" t="s">
        <v>164</v>
      </c>
      <c r="D783">
        <v>2174032</v>
      </c>
      <c r="E783">
        <v>6483</v>
      </c>
      <c r="F783">
        <v>7283</v>
      </c>
    </row>
    <row r="784" spans="1:6">
      <c r="A784" t="s">
        <v>1828</v>
      </c>
      <c r="B784">
        <v>87</v>
      </c>
      <c r="C784" t="s">
        <v>651</v>
      </c>
      <c r="D784">
        <v>1087016</v>
      </c>
      <c r="E784">
        <v>6483</v>
      </c>
      <c r="F784">
        <v>7283</v>
      </c>
    </row>
    <row r="785" spans="1:6">
      <c r="A785" t="s">
        <v>1829</v>
      </c>
      <c r="B785">
        <v>88</v>
      </c>
      <c r="C785" t="s">
        <v>154</v>
      </c>
      <c r="D785">
        <v>29563</v>
      </c>
      <c r="E785">
        <v>5557</v>
      </c>
      <c r="F785">
        <v>7377</v>
      </c>
    </row>
    <row r="786" spans="1:6">
      <c r="A786" t="s">
        <v>1830</v>
      </c>
      <c r="B786">
        <v>88</v>
      </c>
      <c r="C786" t="s">
        <v>1043</v>
      </c>
      <c r="D786">
        <v>88689</v>
      </c>
      <c r="E786">
        <v>5557</v>
      </c>
      <c r="F786">
        <v>7377</v>
      </c>
    </row>
    <row r="787" spans="1:6">
      <c r="A787" t="s">
        <v>1831</v>
      </c>
      <c r="B787">
        <v>88</v>
      </c>
      <c r="C787" t="s">
        <v>1045</v>
      </c>
      <c r="D787">
        <v>53214</v>
      </c>
      <c r="E787">
        <v>5557</v>
      </c>
      <c r="F787">
        <v>7377</v>
      </c>
    </row>
    <row r="788" spans="1:6">
      <c r="A788" t="s">
        <v>1832</v>
      </c>
      <c r="B788">
        <v>88</v>
      </c>
      <c r="C788" t="s">
        <v>1047</v>
      </c>
      <c r="D788">
        <v>14782</v>
      </c>
      <c r="E788">
        <v>5557</v>
      </c>
      <c r="F788">
        <v>7377</v>
      </c>
    </row>
    <row r="789" spans="1:6">
      <c r="A789" t="s">
        <v>1833</v>
      </c>
      <c r="B789">
        <v>88</v>
      </c>
      <c r="C789" t="s">
        <v>1049</v>
      </c>
      <c r="D789">
        <v>4435</v>
      </c>
      <c r="E789">
        <v>5557</v>
      </c>
      <c r="F789">
        <v>7377</v>
      </c>
    </row>
    <row r="790" spans="1:6">
      <c r="A790" t="s">
        <v>1834</v>
      </c>
      <c r="B790">
        <v>88</v>
      </c>
      <c r="C790" t="s">
        <v>745</v>
      </c>
      <c r="D790">
        <v>118252</v>
      </c>
      <c r="E790">
        <v>5557</v>
      </c>
      <c r="F790">
        <v>7377</v>
      </c>
    </row>
    <row r="791" spans="1:6">
      <c r="A791" t="s">
        <v>1835</v>
      </c>
      <c r="B791">
        <v>88</v>
      </c>
      <c r="C791" t="s">
        <v>1052</v>
      </c>
      <c r="D791">
        <v>266067</v>
      </c>
      <c r="E791">
        <v>5557</v>
      </c>
      <c r="F791">
        <v>7377</v>
      </c>
    </row>
    <row r="792" spans="1:6">
      <c r="A792" t="s">
        <v>1836</v>
      </c>
      <c r="B792">
        <v>88</v>
      </c>
      <c r="C792" t="s">
        <v>164</v>
      </c>
      <c r="D792">
        <v>2224832</v>
      </c>
      <c r="E792">
        <v>6581</v>
      </c>
      <c r="F792">
        <v>7377</v>
      </c>
    </row>
    <row r="793" spans="1:6">
      <c r="A793" t="s">
        <v>1837</v>
      </c>
      <c r="B793">
        <v>88</v>
      </c>
      <c r="C793" t="s">
        <v>651</v>
      </c>
      <c r="D793">
        <v>1112416</v>
      </c>
      <c r="E793">
        <v>6581</v>
      </c>
      <c r="F793">
        <v>7377</v>
      </c>
    </row>
    <row r="794" spans="1:6">
      <c r="A794" t="s">
        <v>1838</v>
      </c>
      <c r="B794">
        <v>89</v>
      </c>
      <c r="C794" t="s">
        <v>154</v>
      </c>
      <c r="D794">
        <v>30179</v>
      </c>
      <c r="E794">
        <v>5642</v>
      </c>
      <c r="F794">
        <v>7471</v>
      </c>
    </row>
    <row r="795" spans="1:6">
      <c r="A795" t="s">
        <v>1839</v>
      </c>
      <c r="B795">
        <v>89</v>
      </c>
      <c r="C795" t="s">
        <v>1043</v>
      </c>
      <c r="D795">
        <v>90537</v>
      </c>
      <c r="E795">
        <v>5642</v>
      </c>
      <c r="F795">
        <v>7471</v>
      </c>
    </row>
    <row r="796" spans="1:6">
      <c r="A796" t="s">
        <v>1840</v>
      </c>
      <c r="B796">
        <v>89</v>
      </c>
      <c r="C796" t="s">
        <v>1045</v>
      </c>
      <c r="D796">
        <v>54323</v>
      </c>
      <c r="E796">
        <v>5642</v>
      </c>
      <c r="F796">
        <v>7471</v>
      </c>
    </row>
    <row r="797" spans="1:6">
      <c r="A797" t="s">
        <v>1841</v>
      </c>
      <c r="B797">
        <v>89</v>
      </c>
      <c r="C797" t="s">
        <v>1047</v>
      </c>
      <c r="D797">
        <v>15090</v>
      </c>
      <c r="E797">
        <v>5642</v>
      </c>
      <c r="F797">
        <v>7471</v>
      </c>
    </row>
    <row r="798" spans="1:6">
      <c r="A798" t="s">
        <v>1842</v>
      </c>
      <c r="B798">
        <v>89</v>
      </c>
      <c r="C798" t="s">
        <v>1049</v>
      </c>
      <c r="D798">
        <v>4527</v>
      </c>
      <c r="E798">
        <v>5642</v>
      </c>
      <c r="F798">
        <v>7471</v>
      </c>
    </row>
    <row r="799" spans="1:6">
      <c r="A799" t="s">
        <v>1843</v>
      </c>
      <c r="B799">
        <v>89</v>
      </c>
      <c r="C799" t="s">
        <v>745</v>
      </c>
      <c r="D799">
        <v>120716</v>
      </c>
      <c r="E799">
        <v>5642</v>
      </c>
      <c r="F799">
        <v>7471</v>
      </c>
    </row>
    <row r="800" spans="1:6">
      <c r="A800" t="s">
        <v>1844</v>
      </c>
      <c r="B800">
        <v>89</v>
      </c>
      <c r="C800" t="s">
        <v>1052</v>
      </c>
      <c r="D800">
        <v>271611</v>
      </c>
      <c r="E800">
        <v>5642</v>
      </c>
      <c r="F800">
        <v>7471</v>
      </c>
    </row>
    <row r="801" spans="1:6">
      <c r="A801" t="s">
        <v>1845</v>
      </c>
      <c r="B801">
        <v>89</v>
      </c>
      <c r="C801" t="s">
        <v>164</v>
      </c>
      <c r="D801">
        <v>2276366</v>
      </c>
      <c r="E801">
        <v>6678</v>
      </c>
      <c r="F801">
        <v>7471</v>
      </c>
    </row>
    <row r="802" spans="1:6">
      <c r="A802" t="s">
        <v>1846</v>
      </c>
      <c r="B802">
        <v>89</v>
      </c>
      <c r="C802" t="s">
        <v>651</v>
      </c>
      <c r="D802">
        <v>1138183</v>
      </c>
      <c r="E802">
        <v>6678</v>
      </c>
      <c r="F802">
        <v>7471</v>
      </c>
    </row>
    <row r="803" spans="1:6">
      <c r="A803" t="s">
        <v>1847</v>
      </c>
      <c r="B803">
        <v>90</v>
      </c>
      <c r="C803" t="s">
        <v>154</v>
      </c>
      <c r="D803">
        <v>30804</v>
      </c>
      <c r="E803">
        <v>5728</v>
      </c>
      <c r="F803">
        <v>7565</v>
      </c>
    </row>
    <row r="804" spans="1:6">
      <c r="A804" t="s">
        <v>1848</v>
      </c>
      <c r="B804">
        <v>90</v>
      </c>
      <c r="C804" t="s">
        <v>1043</v>
      </c>
      <c r="D804">
        <v>92412</v>
      </c>
      <c r="E804">
        <v>5728</v>
      </c>
      <c r="F804">
        <v>7565</v>
      </c>
    </row>
    <row r="805" spans="1:6">
      <c r="A805" t="s">
        <v>1849</v>
      </c>
      <c r="B805">
        <v>90</v>
      </c>
      <c r="C805" t="s">
        <v>1045</v>
      </c>
      <c r="D805">
        <v>55448</v>
      </c>
      <c r="E805">
        <v>5728</v>
      </c>
      <c r="F805">
        <v>7565</v>
      </c>
    </row>
    <row r="806" spans="1:6">
      <c r="A806" t="s">
        <v>1850</v>
      </c>
      <c r="B806">
        <v>90</v>
      </c>
      <c r="C806" t="s">
        <v>1047</v>
      </c>
      <c r="D806">
        <v>15402</v>
      </c>
      <c r="E806">
        <v>5728</v>
      </c>
      <c r="F806">
        <v>7565</v>
      </c>
    </row>
    <row r="807" spans="1:6">
      <c r="A807" t="s">
        <v>1851</v>
      </c>
      <c r="B807">
        <v>90</v>
      </c>
      <c r="C807" t="s">
        <v>1049</v>
      </c>
      <c r="D807">
        <v>4621</v>
      </c>
      <c r="E807">
        <v>5728</v>
      </c>
      <c r="F807">
        <v>7565</v>
      </c>
    </row>
    <row r="808" spans="1:6">
      <c r="A808" t="s">
        <v>1852</v>
      </c>
      <c r="B808">
        <v>90</v>
      </c>
      <c r="C808" t="s">
        <v>745</v>
      </c>
      <c r="D808">
        <v>123216</v>
      </c>
      <c r="E808">
        <v>5728</v>
      </c>
      <c r="F808">
        <v>7565</v>
      </c>
    </row>
    <row r="809" spans="1:6">
      <c r="A809" t="s">
        <v>1853</v>
      </c>
      <c r="B809">
        <v>90</v>
      </c>
      <c r="C809" t="s">
        <v>1052</v>
      </c>
      <c r="D809">
        <v>277236</v>
      </c>
      <c r="E809">
        <v>5728</v>
      </c>
      <c r="F809">
        <v>7565</v>
      </c>
    </row>
    <row r="810" spans="1:6">
      <c r="A810" t="s">
        <v>1854</v>
      </c>
      <c r="B810">
        <v>90</v>
      </c>
      <c r="C810" t="s">
        <v>164</v>
      </c>
      <c r="D810">
        <v>2328789</v>
      </c>
      <c r="E810">
        <v>6776</v>
      </c>
      <c r="F810">
        <v>7565</v>
      </c>
    </row>
    <row r="811" spans="1:6">
      <c r="A811" t="s">
        <v>1855</v>
      </c>
      <c r="B811">
        <v>90</v>
      </c>
      <c r="C811" t="s">
        <v>651</v>
      </c>
      <c r="D811">
        <v>1164394</v>
      </c>
      <c r="E811">
        <v>6776</v>
      </c>
      <c r="F811">
        <v>7565</v>
      </c>
    </row>
    <row r="812" spans="1:6">
      <c r="A812" t="s">
        <v>1856</v>
      </c>
      <c r="B812">
        <v>91</v>
      </c>
      <c r="C812" t="s">
        <v>154</v>
      </c>
      <c r="D812">
        <v>31436</v>
      </c>
      <c r="E812">
        <v>5815</v>
      </c>
      <c r="F812">
        <v>7659</v>
      </c>
    </row>
    <row r="813" spans="1:6">
      <c r="A813" t="s">
        <v>1857</v>
      </c>
      <c r="B813">
        <v>91</v>
      </c>
      <c r="C813" t="s">
        <v>1043</v>
      </c>
      <c r="D813">
        <v>94308</v>
      </c>
      <c r="E813">
        <v>5815</v>
      </c>
      <c r="F813">
        <v>7659</v>
      </c>
    </row>
    <row r="814" spans="1:6">
      <c r="A814" t="s">
        <v>1858</v>
      </c>
      <c r="B814">
        <v>91</v>
      </c>
      <c r="C814" t="s">
        <v>1045</v>
      </c>
      <c r="D814">
        <v>56585</v>
      </c>
      <c r="E814">
        <v>5815</v>
      </c>
      <c r="F814">
        <v>7659</v>
      </c>
    </row>
    <row r="815" spans="1:6">
      <c r="A815" t="s">
        <v>1859</v>
      </c>
      <c r="B815">
        <v>91</v>
      </c>
      <c r="C815" t="s">
        <v>1047</v>
      </c>
      <c r="D815">
        <v>15718</v>
      </c>
      <c r="E815">
        <v>5815</v>
      </c>
      <c r="F815">
        <v>7659</v>
      </c>
    </row>
    <row r="816" spans="1:6">
      <c r="A816" t="s">
        <v>1860</v>
      </c>
      <c r="B816">
        <v>91</v>
      </c>
      <c r="C816" t="s">
        <v>1049</v>
      </c>
      <c r="D816">
        <v>4716</v>
      </c>
      <c r="E816">
        <v>5815</v>
      </c>
      <c r="F816">
        <v>7659</v>
      </c>
    </row>
    <row r="817" spans="1:6">
      <c r="A817" t="s">
        <v>1861</v>
      </c>
      <c r="B817">
        <v>91</v>
      </c>
      <c r="C817" t="s">
        <v>745</v>
      </c>
      <c r="D817">
        <v>125744</v>
      </c>
      <c r="E817">
        <v>5815</v>
      </c>
      <c r="F817">
        <v>7659</v>
      </c>
    </row>
    <row r="818" spans="1:6">
      <c r="A818" t="s">
        <v>1862</v>
      </c>
      <c r="B818">
        <v>91</v>
      </c>
      <c r="C818" t="s">
        <v>1052</v>
      </c>
      <c r="D818">
        <v>282924</v>
      </c>
      <c r="E818">
        <v>5815</v>
      </c>
      <c r="F818">
        <v>7659</v>
      </c>
    </row>
    <row r="819" spans="1:6">
      <c r="A819" t="s">
        <v>1863</v>
      </c>
      <c r="B819">
        <v>91</v>
      </c>
      <c r="C819" t="s">
        <v>164</v>
      </c>
      <c r="D819">
        <v>2382049</v>
      </c>
      <c r="E819">
        <v>6875</v>
      </c>
      <c r="F819">
        <v>7659</v>
      </c>
    </row>
    <row r="820" spans="1:6">
      <c r="A820" t="s">
        <v>1864</v>
      </c>
      <c r="B820">
        <v>91</v>
      </c>
      <c r="C820" t="s">
        <v>651</v>
      </c>
      <c r="D820">
        <v>1191024</v>
      </c>
      <c r="E820">
        <v>6875</v>
      </c>
      <c r="F820">
        <v>7659</v>
      </c>
    </row>
    <row r="821" spans="1:6">
      <c r="A821" t="s">
        <v>1865</v>
      </c>
      <c r="B821">
        <v>92</v>
      </c>
      <c r="C821" t="s">
        <v>154</v>
      </c>
      <c r="D821">
        <v>32077</v>
      </c>
      <c r="E821">
        <v>5902</v>
      </c>
      <c r="F821">
        <v>7754</v>
      </c>
    </row>
    <row r="822" spans="1:6">
      <c r="A822" t="s">
        <v>1866</v>
      </c>
      <c r="B822">
        <v>92</v>
      </c>
      <c r="C822" t="s">
        <v>1043</v>
      </c>
      <c r="D822">
        <v>96231</v>
      </c>
      <c r="E822">
        <v>5902</v>
      </c>
      <c r="F822">
        <v>7754</v>
      </c>
    </row>
    <row r="823" spans="1:6">
      <c r="A823" t="s">
        <v>1867</v>
      </c>
      <c r="B823">
        <v>92</v>
      </c>
      <c r="C823" t="s">
        <v>1045</v>
      </c>
      <c r="D823">
        <v>57739</v>
      </c>
      <c r="E823">
        <v>5902</v>
      </c>
      <c r="F823">
        <v>7754</v>
      </c>
    </row>
    <row r="824" spans="1:6">
      <c r="A824" t="s">
        <v>1868</v>
      </c>
      <c r="B824">
        <v>92</v>
      </c>
      <c r="C824" t="s">
        <v>1047</v>
      </c>
      <c r="D824">
        <v>16039</v>
      </c>
      <c r="E824">
        <v>5902</v>
      </c>
      <c r="F824">
        <v>7754</v>
      </c>
    </row>
    <row r="825" spans="1:6">
      <c r="A825" t="s">
        <v>1869</v>
      </c>
      <c r="B825">
        <v>92</v>
      </c>
      <c r="C825" t="s">
        <v>1049</v>
      </c>
      <c r="D825">
        <v>4812</v>
      </c>
      <c r="E825">
        <v>5902</v>
      </c>
      <c r="F825">
        <v>7754</v>
      </c>
    </row>
    <row r="826" spans="1:6">
      <c r="A826" t="s">
        <v>1870</v>
      </c>
      <c r="B826">
        <v>92</v>
      </c>
      <c r="C826" t="s">
        <v>745</v>
      </c>
      <c r="D826">
        <v>128308</v>
      </c>
      <c r="E826">
        <v>5902</v>
      </c>
      <c r="F826">
        <v>7754</v>
      </c>
    </row>
    <row r="827" spans="1:6">
      <c r="A827" t="s">
        <v>1871</v>
      </c>
      <c r="B827">
        <v>92</v>
      </c>
      <c r="C827" t="s">
        <v>1052</v>
      </c>
      <c r="D827">
        <v>288693</v>
      </c>
      <c r="E827">
        <v>5902</v>
      </c>
      <c r="F827">
        <v>7754</v>
      </c>
    </row>
    <row r="828" spans="1:6">
      <c r="A828" t="s">
        <v>1872</v>
      </c>
      <c r="B828">
        <v>92</v>
      </c>
      <c r="C828" t="s">
        <v>164</v>
      </c>
      <c r="D828">
        <v>2436094</v>
      </c>
      <c r="E828">
        <v>6975</v>
      </c>
      <c r="F828">
        <v>7754</v>
      </c>
    </row>
    <row r="829" spans="1:6">
      <c r="A829" t="s">
        <v>1873</v>
      </c>
      <c r="B829">
        <v>92</v>
      </c>
      <c r="C829" t="s">
        <v>651</v>
      </c>
      <c r="D829">
        <v>1218047</v>
      </c>
      <c r="E829">
        <v>6975</v>
      </c>
      <c r="F829">
        <v>7754</v>
      </c>
    </row>
    <row r="830" spans="1:6">
      <c r="A830" t="s">
        <v>1874</v>
      </c>
      <c r="B830">
        <v>93</v>
      </c>
      <c r="C830" t="s">
        <v>154</v>
      </c>
      <c r="D830">
        <v>32725</v>
      </c>
      <c r="E830">
        <v>5990</v>
      </c>
      <c r="F830">
        <v>7849</v>
      </c>
    </row>
    <row r="831" spans="1:6">
      <c r="A831" t="s">
        <v>1875</v>
      </c>
      <c r="B831">
        <v>93</v>
      </c>
      <c r="C831" t="s">
        <v>1043</v>
      </c>
      <c r="D831">
        <v>98175</v>
      </c>
      <c r="E831">
        <v>5990</v>
      </c>
      <c r="F831">
        <v>7849</v>
      </c>
    </row>
    <row r="832" spans="1:6">
      <c r="A832" t="s">
        <v>1876</v>
      </c>
      <c r="B832">
        <v>93</v>
      </c>
      <c r="C832" t="s">
        <v>1045</v>
      </c>
      <c r="D832">
        <v>58905</v>
      </c>
      <c r="E832">
        <v>5990</v>
      </c>
      <c r="F832">
        <v>7849</v>
      </c>
    </row>
    <row r="833" spans="1:6">
      <c r="A833" t="s">
        <v>1877</v>
      </c>
      <c r="B833">
        <v>93</v>
      </c>
      <c r="C833" t="s">
        <v>1047</v>
      </c>
      <c r="D833">
        <v>16363</v>
      </c>
      <c r="E833">
        <v>5990</v>
      </c>
      <c r="F833">
        <v>7849</v>
      </c>
    </row>
    <row r="834" spans="1:6">
      <c r="A834" t="s">
        <v>1878</v>
      </c>
      <c r="B834">
        <v>93</v>
      </c>
      <c r="C834" t="s">
        <v>1049</v>
      </c>
      <c r="D834">
        <v>4909</v>
      </c>
      <c r="E834">
        <v>5990</v>
      </c>
      <c r="F834">
        <v>7849</v>
      </c>
    </row>
    <row r="835" spans="1:6">
      <c r="A835" t="s">
        <v>1879</v>
      </c>
      <c r="B835">
        <v>93</v>
      </c>
      <c r="C835" t="s">
        <v>745</v>
      </c>
      <c r="D835">
        <v>130900</v>
      </c>
      <c r="E835">
        <v>5990</v>
      </c>
      <c r="F835">
        <v>7849</v>
      </c>
    </row>
    <row r="836" spans="1:6">
      <c r="A836" t="s">
        <v>1880</v>
      </c>
      <c r="B836">
        <v>93</v>
      </c>
      <c r="C836" t="s">
        <v>1052</v>
      </c>
      <c r="D836">
        <v>294525</v>
      </c>
      <c r="E836">
        <v>5990</v>
      </c>
      <c r="F836">
        <v>7849</v>
      </c>
    </row>
    <row r="837" spans="1:6">
      <c r="A837" t="s">
        <v>1881</v>
      </c>
      <c r="B837">
        <v>93</v>
      </c>
      <c r="C837" t="s">
        <v>164</v>
      </c>
      <c r="D837">
        <v>2491028</v>
      </c>
      <c r="E837">
        <v>7075</v>
      </c>
      <c r="F837">
        <v>7849</v>
      </c>
    </row>
    <row r="838" spans="1:6">
      <c r="A838" t="s">
        <v>1882</v>
      </c>
      <c r="B838">
        <v>93</v>
      </c>
      <c r="C838" t="s">
        <v>651</v>
      </c>
      <c r="D838">
        <v>1245514</v>
      </c>
      <c r="E838">
        <v>7075</v>
      </c>
      <c r="F838">
        <v>7849</v>
      </c>
    </row>
    <row r="839" spans="1:6">
      <c r="A839" t="s">
        <v>1883</v>
      </c>
      <c r="B839">
        <v>94</v>
      </c>
      <c r="C839" t="s">
        <v>154</v>
      </c>
      <c r="D839">
        <v>33383</v>
      </c>
      <c r="E839">
        <v>6079</v>
      </c>
      <c r="F839">
        <v>7944</v>
      </c>
    </row>
    <row r="840" spans="1:6">
      <c r="A840" t="s">
        <v>1884</v>
      </c>
      <c r="B840">
        <v>94</v>
      </c>
      <c r="C840" t="s">
        <v>1043</v>
      </c>
      <c r="D840">
        <v>100149</v>
      </c>
      <c r="E840">
        <v>6079</v>
      </c>
      <c r="F840">
        <v>7944</v>
      </c>
    </row>
    <row r="841" spans="1:6">
      <c r="A841" t="s">
        <v>1885</v>
      </c>
      <c r="B841">
        <v>94</v>
      </c>
      <c r="C841" t="s">
        <v>1045</v>
      </c>
      <c r="D841">
        <v>60090</v>
      </c>
      <c r="E841">
        <v>6079</v>
      </c>
      <c r="F841">
        <v>7944</v>
      </c>
    </row>
    <row r="842" spans="1:6">
      <c r="A842" t="s">
        <v>1886</v>
      </c>
      <c r="B842">
        <v>94</v>
      </c>
      <c r="C842" t="s">
        <v>1047</v>
      </c>
      <c r="D842">
        <v>16692</v>
      </c>
      <c r="E842">
        <v>6079</v>
      </c>
      <c r="F842">
        <v>7944</v>
      </c>
    </row>
    <row r="843" spans="1:6">
      <c r="A843" t="s">
        <v>1887</v>
      </c>
      <c r="B843">
        <v>94</v>
      </c>
      <c r="C843" t="s">
        <v>1049</v>
      </c>
      <c r="D843">
        <v>5008</v>
      </c>
      <c r="E843">
        <v>6079</v>
      </c>
      <c r="F843">
        <v>7944</v>
      </c>
    </row>
    <row r="844" spans="1:6">
      <c r="A844" t="s">
        <v>1888</v>
      </c>
      <c r="B844">
        <v>94</v>
      </c>
      <c r="C844" t="s">
        <v>745</v>
      </c>
      <c r="D844">
        <v>133532</v>
      </c>
      <c r="E844">
        <v>6079</v>
      </c>
      <c r="F844">
        <v>7944</v>
      </c>
    </row>
    <row r="845" spans="1:6">
      <c r="A845" t="s">
        <v>1889</v>
      </c>
      <c r="B845">
        <v>94</v>
      </c>
      <c r="C845" t="s">
        <v>1052</v>
      </c>
      <c r="D845">
        <v>300447</v>
      </c>
      <c r="E845">
        <v>6079</v>
      </c>
      <c r="F845">
        <v>7944</v>
      </c>
    </row>
    <row r="846" spans="1:6">
      <c r="A846" t="s">
        <v>1890</v>
      </c>
      <c r="B846">
        <v>94</v>
      </c>
      <c r="C846" t="s">
        <v>164</v>
      </c>
      <c r="D846">
        <v>2546798</v>
      </c>
      <c r="E846">
        <v>7176</v>
      </c>
      <c r="F846">
        <v>7944</v>
      </c>
    </row>
    <row r="847" spans="1:6">
      <c r="A847" t="s">
        <v>1891</v>
      </c>
      <c r="B847">
        <v>94</v>
      </c>
      <c r="C847" t="s">
        <v>651</v>
      </c>
      <c r="D847">
        <v>1273399</v>
      </c>
      <c r="E847">
        <v>7176</v>
      </c>
      <c r="F847">
        <v>7944</v>
      </c>
    </row>
    <row r="848" spans="1:6">
      <c r="A848" t="s">
        <v>1892</v>
      </c>
      <c r="B848">
        <v>95</v>
      </c>
      <c r="C848" t="s">
        <v>154</v>
      </c>
      <c r="D848">
        <v>34048</v>
      </c>
      <c r="E848">
        <v>6167</v>
      </c>
      <c r="F848">
        <v>8039</v>
      </c>
    </row>
    <row r="849" spans="1:6">
      <c r="A849" t="s">
        <v>1893</v>
      </c>
      <c r="B849">
        <v>95</v>
      </c>
      <c r="C849" t="s">
        <v>1043</v>
      </c>
      <c r="D849">
        <v>102144</v>
      </c>
      <c r="E849">
        <v>6167</v>
      </c>
      <c r="F849">
        <v>8039</v>
      </c>
    </row>
    <row r="850" spans="1:6">
      <c r="A850" t="s">
        <v>1894</v>
      </c>
      <c r="B850">
        <v>95</v>
      </c>
      <c r="C850" t="s">
        <v>1045</v>
      </c>
      <c r="D850">
        <v>61287</v>
      </c>
      <c r="E850">
        <v>6167</v>
      </c>
      <c r="F850">
        <v>8039</v>
      </c>
    </row>
    <row r="851" spans="1:6">
      <c r="A851" t="s">
        <v>1895</v>
      </c>
      <c r="B851">
        <v>95</v>
      </c>
      <c r="C851" t="s">
        <v>1047</v>
      </c>
      <c r="D851">
        <v>17024</v>
      </c>
      <c r="E851">
        <v>6167</v>
      </c>
      <c r="F851">
        <v>8039</v>
      </c>
    </row>
    <row r="852" spans="1:6">
      <c r="A852" t="s">
        <v>1896</v>
      </c>
      <c r="B852">
        <v>95</v>
      </c>
      <c r="C852" t="s">
        <v>1049</v>
      </c>
      <c r="D852">
        <v>5108</v>
      </c>
      <c r="E852">
        <v>6167</v>
      </c>
      <c r="F852">
        <v>8039</v>
      </c>
    </row>
    <row r="853" spans="1:6">
      <c r="A853" t="s">
        <v>1897</v>
      </c>
      <c r="B853">
        <v>95</v>
      </c>
      <c r="C853" t="s">
        <v>745</v>
      </c>
      <c r="D853">
        <v>136192</v>
      </c>
      <c r="E853">
        <v>6167</v>
      </c>
      <c r="F853">
        <v>8039</v>
      </c>
    </row>
    <row r="854" spans="1:6">
      <c r="A854" t="s">
        <v>1898</v>
      </c>
      <c r="B854">
        <v>95</v>
      </c>
      <c r="C854" t="s">
        <v>1052</v>
      </c>
      <c r="D854">
        <v>306432</v>
      </c>
      <c r="E854">
        <v>6167</v>
      </c>
      <c r="F854">
        <v>8039</v>
      </c>
    </row>
    <row r="855" spans="1:6">
      <c r="A855" t="s">
        <v>1899</v>
      </c>
      <c r="B855">
        <v>95</v>
      </c>
      <c r="C855" t="s">
        <v>164</v>
      </c>
      <c r="D855">
        <v>2603456</v>
      </c>
      <c r="E855">
        <v>7277</v>
      </c>
      <c r="F855">
        <v>8039</v>
      </c>
    </row>
    <row r="856" spans="1:6">
      <c r="A856" t="s">
        <v>1900</v>
      </c>
      <c r="B856">
        <v>95</v>
      </c>
      <c r="C856" t="s">
        <v>651</v>
      </c>
      <c r="D856">
        <v>1301728</v>
      </c>
      <c r="E856">
        <v>7277</v>
      </c>
      <c r="F856">
        <v>8039</v>
      </c>
    </row>
    <row r="857" spans="1:6">
      <c r="A857" t="s">
        <v>1901</v>
      </c>
      <c r="B857">
        <v>96</v>
      </c>
      <c r="C857" t="s">
        <v>154</v>
      </c>
      <c r="D857">
        <v>34722</v>
      </c>
      <c r="E857">
        <v>6257</v>
      </c>
      <c r="F857">
        <v>8135</v>
      </c>
    </row>
    <row r="858" spans="1:6">
      <c r="A858" t="s">
        <v>1902</v>
      </c>
      <c r="B858">
        <v>96</v>
      </c>
      <c r="C858" t="s">
        <v>1043</v>
      </c>
      <c r="D858">
        <v>104166</v>
      </c>
      <c r="E858">
        <v>6257</v>
      </c>
      <c r="F858">
        <v>8135</v>
      </c>
    </row>
    <row r="859" spans="1:6">
      <c r="A859" t="s">
        <v>1903</v>
      </c>
      <c r="B859">
        <v>96</v>
      </c>
      <c r="C859" t="s">
        <v>1045</v>
      </c>
      <c r="D859">
        <v>62500</v>
      </c>
      <c r="E859">
        <v>6257</v>
      </c>
      <c r="F859">
        <v>8135</v>
      </c>
    </row>
    <row r="860" spans="1:6">
      <c r="A860" t="s">
        <v>1904</v>
      </c>
      <c r="B860">
        <v>96</v>
      </c>
      <c r="C860" t="s">
        <v>1047</v>
      </c>
      <c r="D860">
        <v>17361</v>
      </c>
      <c r="E860">
        <v>6257</v>
      </c>
      <c r="F860">
        <v>8135</v>
      </c>
    </row>
    <row r="861" spans="1:6">
      <c r="A861" t="s">
        <v>1905</v>
      </c>
      <c r="B861">
        <v>96</v>
      </c>
      <c r="C861" t="s">
        <v>1049</v>
      </c>
      <c r="D861">
        <v>5209</v>
      </c>
      <c r="E861">
        <v>6257</v>
      </c>
      <c r="F861">
        <v>8135</v>
      </c>
    </row>
    <row r="862" spans="1:6">
      <c r="A862" t="s">
        <v>1906</v>
      </c>
      <c r="B862">
        <v>96</v>
      </c>
      <c r="C862" t="s">
        <v>745</v>
      </c>
      <c r="D862">
        <v>138888</v>
      </c>
      <c r="E862">
        <v>6257</v>
      </c>
      <c r="F862">
        <v>8135</v>
      </c>
    </row>
    <row r="863" spans="1:6">
      <c r="A863" t="s">
        <v>1907</v>
      </c>
      <c r="B863">
        <v>96</v>
      </c>
      <c r="C863" t="s">
        <v>1052</v>
      </c>
      <c r="D863">
        <v>312498</v>
      </c>
      <c r="E863">
        <v>6257</v>
      </c>
      <c r="F863">
        <v>8135</v>
      </c>
    </row>
    <row r="864" spans="1:6">
      <c r="A864" t="s">
        <v>1908</v>
      </c>
      <c r="B864">
        <v>96</v>
      </c>
      <c r="C864" t="s">
        <v>164</v>
      </c>
      <c r="D864">
        <v>2660951</v>
      </c>
      <c r="E864">
        <v>7379</v>
      </c>
      <c r="F864">
        <v>8135</v>
      </c>
    </row>
    <row r="865" spans="1:6">
      <c r="A865" t="s">
        <v>1909</v>
      </c>
      <c r="B865">
        <v>96</v>
      </c>
      <c r="C865" t="s">
        <v>651</v>
      </c>
      <c r="D865">
        <v>1330475</v>
      </c>
      <c r="E865">
        <v>7379</v>
      </c>
      <c r="F865">
        <v>8135</v>
      </c>
    </row>
    <row r="866" spans="1:6">
      <c r="A866" t="s">
        <v>1910</v>
      </c>
      <c r="B866">
        <v>97</v>
      </c>
      <c r="C866" t="s">
        <v>154</v>
      </c>
      <c r="D866">
        <v>35404</v>
      </c>
      <c r="E866">
        <v>6347</v>
      </c>
      <c r="F866">
        <v>8231</v>
      </c>
    </row>
    <row r="867" spans="1:6">
      <c r="A867" t="s">
        <v>1911</v>
      </c>
      <c r="B867">
        <v>97</v>
      </c>
      <c r="C867" t="s">
        <v>1043</v>
      </c>
      <c r="D867">
        <v>106212</v>
      </c>
      <c r="E867">
        <v>6347</v>
      </c>
      <c r="F867">
        <v>8231</v>
      </c>
    </row>
    <row r="868" spans="1:6">
      <c r="A868" t="s">
        <v>1912</v>
      </c>
      <c r="B868">
        <v>97</v>
      </c>
      <c r="C868" t="s">
        <v>1045</v>
      </c>
      <c r="D868">
        <v>63728</v>
      </c>
      <c r="E868">
        <v>6347</v>
      </c>
      <c r="F868">
        <v>8231</v>
      </c>
    </row>
    <row r="869" spans="1:6">
      <c r="A869" t="s">
        <v>1913</v>
      </c>
      <c r="B869">
        <v>97</v>
      </c>
      <c r="C869" t="s">
        <v>1047</v>
      </c>
      <c r="D869">
        <v>17702</v>
      </c>
      <c r="E869">
        <v>6347</v>
      </c>
      <c r="F869">
        <v>8231</v>
      </c>
    </row>
    <row r="870" spans="1:6">
      <c r="A870" t="s">
        <v>1914</v>
      </c>
      <c r="B870">
        <v>97</v>
      </c>
      <c r="C870" t="s">
        <v>1049</v>
      </c>
      <c r="D870">
        <v>5311</v>
      </c>
      <c r="E870">
        <v>6347</v>
      </c>
      <c r="F870">
        <v>8231</v>
      </c>
    </row>
    <row r="871" spans="1:6">
      <c r="A871" t="s">
        <v>1915</v>
      </c>
      <c r="B871">
        <v>97</v>
      </c>
      <c r="C871" t="s">
        <v>745</v>
      </c>
      <c r="D871">
        <v>141616</v>
      </c>
      <c r="E871">
        <v>6347</v>
      </c>
      <c r="F871">
        <v>8231</v>
      </c>
    </row>
    <row r="872" spans="1:6">
      <c r="A872" t="s">
        <v>1916</v>
      </c>
      <c r="B872">
        <v>97</v>
      </c>
      <c r="C872" t="s">
        <v>1052</v>
      </c>
      <c r="D872">
        <v>318636</v>
      </c>
      <c r="E872">
        <v>6347</v>
      </c>
      <c r="F872">
        <v>8231</v>
      </c>
    </row>
    <row r="873" spans="1:6">
      <c r="A873" t="s">
        <v>1917</v>
      </c>
      <c r="B873">
        <v>97</v>
      </c>
      <c r="C873" t="s">
        <v>164</v>
      </c>
      <c r="D873">
        <v>2719333</v>
      </c>
      <c r="E873">
        <v>7481</v>
      </c>
      <c r="F873">
        <v>8231</v>
      </c>
    </row>
    <row r="874" spans="1:6">
      <c r="A874" t="s">
        <v>1918</v>
      </c>
      <c r="B874">
        <v>97</v>
      </c>
      <c r="C874" t="s">
        <v>651</v>
      </c>
      <c r="D874">
        <v>1359666</v>
      </c>
      <c r="E874">
        <v>7481</v>
      </c>
      <c r="F874">
        <v>8231</v>
      </c>
    </row>
    <row r="875" spans="1:6">
      <c r="A875" t="s">
        <v>1919</v>
      </c>
      <c r="B875">
        <v>98</v>
      </c>
      <c r="C875" t="s">
        <v>154</v>
      </c>
      <c r="D875">
        <v>36095</v>
      </c>
      <c r="E875">
        <v>6438</v>
      </c>
      <c r="F875">
        <v>8327</v>
      </c>
    </row>
    <row r="876" spans="1:6">
      <c r="A876" t="s">
        <v>1920</v>
      </c>
      <c r="B876">
        <v>98</v>
      </c>
      <c r="C876" t="s">
        <v>1043</v>
      </c>
      <c r="D876">
        <v>108285</v>
      </c>
      <c r="E876">
        <v>6438</v>
      </c>
      <c r="F876">
        <v>8327</v>
      </c>
    </row>
    <row r="877" spans="1:6">
      <c r="A877" t="s">
        <v>1921</v>
      </c>
      <c r="B877">
        <v>98</v>
      </c>
      <c r="C877" t="s">
        <v>1045</v>
      </c>
      <c r="D877">
        <v>64971</v>
      </c>
      <c r="E877">
        <v>6438</v>
      </c>
      <c r="F877">
        <v>8327</v>
      </c>
    </row>
    <row r="878" spans="1:6">
      <c r="A878" t="s">
        <v>1922</v>
      </c>
      <c r="B878">
        <v>98</v>
      </c>
      <c r="C878" t="s">
        <v>1047</v>
      </c>
      <c r="D878">
        <v>18048</v>
      </c>
      <c r="E878">
        <v>6438</v>
      </c>
      <c r="F878">
        <v>8327</v>
      </c>
    </row>
    <row r="879" spans="1:6">
      <c r="A879" t="s">
        <v>1923</v>
      </c>
      <c r="B879">
        <v>98</v>
      </c>
      <c r="C879" t="s">
        <v>1049</v>
      </c>
      <c r="D879">
        <v>5415</v>
      </c>
      <c r="E879">
        <v>6438</v>
      </c>
      <c r="F879">
        <v>8327</v>
      </c>
    </row>
    <row r="880" spans="1:6">
      <c r="A880" t="s">
        <v>1924</v>
      </c>
      <c r="B880">
        <v>98</v>
      </c>
      <c r="C880" t="s">
        <v>745</v>
      </c>
      <c r="D880">
        <v>144380</v>
      </c>
      <c r="E880">
        <v>6438</v>
      </c>
      <c r="F880">
        <v>8327</v>
      </c>
    </row>
    <row r="881" spans="1:6">
      <c r="A881" t="s">
        <v>1925</v>
      </c>
      <c r="B881">
        <v>98</v>
      </c>
      <c r="C881" t="s">
        <v>1052</v>
      </c>
      <c r="D881">
        <v>324855</v>
      </c>
      <c r="E881">
        <v>6438</v>
      </c>
      <c r="F881">
        <v>8327</v>
      </c>
    </row>
    <row r="882" spans="1:6">
      <c r="A882" t="s">
        <v>1926</v>
      </c>
      <c r="B882">
        <v>98</v>
      </c>
      <c r="C882" t="s">
        <v>164</v>
      </c>
      <c r="D882">
        <v>2778550</v>
      </c>
      <c r="E882">
        <v>7585</v>
      </c>
      <c r="F882">
        <v>8327</v>
      </c>
    </row>
    <row r="883" spans="1:6">
      <c r="A883" t="s">
        <v>1927</v>
      </c>
      <c r="B883">
        <v>98</v>
      </c>
      <c r="C883" t="s">
        <v>651</v>
      </c>
      <c r="D883">
        <v>1389275</v>
      </c>
      <c r="E883">
        <v>7585</v>
      </c>
      <c r="F883">
        <v>8327</v>
      </c>
    </row>
    <row r="884" spans="1:6">
      <c r="A884" t="s">
        <v>1928</v>
      </c>
      <c r="B884">
        <v>99</v>
      </c>
      <c r="C884" t="s">
        <v>154</v>
      </c>
      <c r="D884">
        <v>36794</v>
      </c>
      <c r="E884">
        <v>6529</v>
      </c>
      <c r="F884">
        <v>8423</v>
      </c>
    </row>
    <row r="885" spans="1:6">
      <c r="A885" t="s">
        <v>1929</v>
      </c>
      <c r="B885">
        <v>99</v>
      </c>
      <c r="C885" t="s">
        <v>1043</v>
      </c>
      <c r="D885">
        <v>110382</v>
      </c>
      <c r="E885">
        <v>6529</v>
      </c>
      <c r="F885">
        <v>8423</v>
      </c>
    </row>
    <row r="886" spans="1:6">
      <c r="A886" t="s">
        <v>1930</v>
      </c>
      <c r="B886">
        <v>99</v>
      </c>
      <c r="C886" t="s">
        <v>1045</v>
      </c>
      <c r="D886">
        <v>66230</v>
      </c>
      <c r="E886">
        <v>6529</v>
      </c>
      <c r="F886">
        <v>8423</v>
      </c>
    </row>
    <row r="887" spans="1:6">
      <c r="A887" t="s">
        <v>1931</v>
      </c>
      <c r="B887">
        <v>99</v>
      </c>
      <c r="C887" t="s">
        <v>1047</v>
      </c>
      <c r="D887">
        <v>18397</v>
      </c>
      <c r="E887">
        <v>6529</v>
      </c>
      <c r="F887">
        <v>8423</v>
      </c>
    </row>
    <row r="888" spans="1:6">
      <c r="A888" t="s">
        <v>1932</v>
      </c>
      <c r="B888">
        <v>99</v>
      </c>
      <c r="C888" t="s">
        <v>1049</v>
      </c>
      <c r="D888">
        <v>5520</v>
      </c>
      <c r="E888">
        <v>6529</v>
      </c>
      <c r="F888">
        <v>8423</v>
      </c>
    </row>
    <row r="889" spans="1:6">
      <c r="A889" t="s">
        <v>1933</v>
      </c>
      <c r="B889">
        <v>99</v>
      </c>
      <c r="C889" t="s">
        <v>745</v>
      </c>
      <c r="D889">
        <v>147176</v>
      </c>
      <c r="E889">
        <v>6529</v>
      </c>
      <c r="F889">
        <v>8423</v>
      </c>
    </row>
    <row r="890" spans="1:6">
      <c r="A890" t="s">
        <v>1934</v>
      </c>
      <c r="B890">
        <v>99</v>
      </c>
      <c r="C890" t="s">
        <v>1052</v>
      </c>
      <c r="D890">
        <v>331146</v>
      </c>
      <c r="E890">
        <v>6529</v>
      </c>
      <c r="F890">
        <v>8423</v>
      </c>
    </row>
    <row r="891" spans="1:6">
      <c r="A891" t="s">
        <v>1935</v>
      </c>
      <c r="B891">
        <v>99</v>
      </c>
      <c r="C891" t="s">
        <v>164</v>
      </c>
      <c r="D891">
        <v>2838706</v>
      </c>
      <c r="E891">
        <v>7688</v>
      </c>
      <c r="F891">
        <v>8423</v>
      </c>
    </row>
    <row r="892" spans="1:6">
      <c r="A892" t="s">
        <v>1936</v>
      </c>
      <c r="B892">
        <v>99</v>
      </c>
      <c r="C892" t="s">
        <v>651</v>
      </c>
      <c r="D892">
        <v>1419353</v>
      </c>
      <c r="E892">
        <v>7688</v>
      </c>
      <c r="F892">
        <v>8423</v>
      </c>
    </row>
    <row r="893" spans="1:6">
      <c r="A893" t="s">
        <v>1937</v>
      </c>
      <c r="B893">
        <v>100</v>
      </c>
      <c r="C893" t="s">
        <v>154</v>
      </c>
      <c r="D893">
        <v>37502</v>
      </c>
      <c r="E893">
        <v>6622</v>
      </c>
      <c r="F893">
        <v>8519</v>
      </c>
    </row>
    <row r="894" spans="1:6">
      <c r="A894" t="s">
        <v>1938</v>
      </c>
      <c r="B894">
        <v>100</v>
      </c>
      <c r="C894" t="s">
        <v>1043</v>
      </c>
      <c r="D894">
        <v>112506</v>
      </c>
      <c r="E894">
        <v>6622</v>
      </c>
      <c r="F894">
        <v>8519</v>
      </c>
    </row>
    <row r="895" spans="1:6">
      <c r="A895" t="s">
        <v>1939</v>
      </c>
      <c r="B895">
        <v>100</v>
      </c>
      <c r="C895" t="s">
        <v>1045</v>
      </c>
      <c r="D895">
        <v>67504</v>
      </c>
      <c r="E895">
        <v>6622</v>
      </c>
      <c r="F895">
        <v>8519</v>
      </c>
    </row>
    <row r="896" spans="1:6">
      <c r="A896" t="s">
        <v>1940</v>
      </c>
      <c r="B896">
        <v>100</v>
      </c>
      <c r="C896" t="s">
        <v>1047</v>
      </c>
      <c r="D896">
        <v>18751</v>
      </c>
      <c r="E896">
        <v>6622</v>
      </c>
      <c r="F896">
        <v>8519</v>
      </c>
    </row>
    <row r="897" spans="1:6">
      <c r="A897" t="s">
        <v>1941</v>
      </c>
      <c r="B897">
        <v>100</v>
      </c>
      <c r="C897" t="s">
        <v>1049</v>
      </c>
      <c r="D897">
        <v>5626</v>
      </c>
      <c r="E897">
        <v>6622</v>
      </c>
      <c r="F897">
        <v>8519</v>
      </c>
    </row>
    <row r="898" spans="1:6">
      <c r="A898" t="s">
        <v>1942</v>
      </c>
      <c r="B898">
        <v>100</v>
      </c>
      <c r="C898" t="s">
        <v>745</v>
      </c>
      <c r="D898">
        <v>150008</v>
      </c>
      <c r="E898">
        <v>6622</v>
      </c>
      <c r="F898">
        <v>8519</v>
      </c>
    </row>
    <row r="899" spans="1:6">
      <c r="A899" t="s">
        <v>1943</v>
      </c>
      <c r="B899">
        <v>100</v>
      </c>
      <c r="C899" t="s">
        <v>1052</v>
      </c>
      <c r="D899">
        <v>337518</v>
      </c>
      <c r="E899">
        <v>6622</v>
      </c>
      <c r="F899">
        <v>8519</v>
      </c>
    </row>
    <row r="900" spans="1:6">
      <c r="A900" t="s">
        <v>1944</v>
      </c>
      <c r="B900">
        <v>100</v>
      </c>
      <c r="C900" t="s">
        <v>164</v>
      </c>
      <c r="D900">
        <v>2899749</v>
      </c>
      <c r="E900">
        <v>7793</v>
      </c>
      <c r="F900">
        <v>8519</v>
      </c>
    </row>
    <row r="901" spans="1:6">
      <c r="A901" t="s">
        <v>1945</v>
      </c>
      <c r="B901">
        <v>100</v>
      </c>
      <c r="C901" t="s">
        <v>651</v>
      </c>
      <c r="D901">
        <v>1449875</v>
      </c>
      <c r="E901">
        <v>7793</v>
      </c>
      <c r="F901">
        <v>8519</v>
      </c>
    </row>
    <row r="902" spans="1:6">
      <c r="A902" t="s">
        <v>1946</v>
      </c>
      <c r="B902">
        <v>101</v>
      </c>
      <c r="C902" t="s">
        <v>154</v>
      </c>
      <c r="D902">
        <v>38219</v>
      </c>
      <c r="E902">
        <v>6714</v>
      </c>
      <c r="F902">
        <v>8616</v>
      </c>
    </row>
    <row r="903" spans="1:6">
      <c r="A903" t="s">
        <v>1947</v>
      </c>
      <c r="B903">
        <v>101</v>
      </c>
      <c r="C903" t="s">
        <v>1043</v>
      </c>
      <c r="D903">
        <v>114657</v>
      </c>
      <c r="E903">
        <v>6714</v>
      </c>
      <c r="F903">
        <v>8616</v>
      </c>
    </row>
    <row r="904" spans="1:6">
      <c r="A904" t="s">
        <v>1948</v>
      </c>
      <c r="B904">
        <v>101</v>
      </c>
      <c r="C904" t="s">
        <v>1045</v>
      </c>
      <c r="D904">
        <v>68795</v>
      </c>
      <c r="E904">
        <v>6714</v>
      </c>
      <c r="F904">
        <v>8616</v>
      </c>
    </row>
    <row r="905" spans="1:6">
      <c r="A905" t="s">
        <v>1949</v>
      </c>
      <c r="B905">
        <v>101</v>
      </c>
      <c r="C905" t="s">
        <v>1047</v>
      </c>
      <c r="D905">
        <v>19110</v>
      </c>
      <c r="E905">
        <v>6714</v>
      </c>
      <c r="F905">
        <v>8616</v>
      </c>
    </row>
    <row r="906" spans="1:6">
      <c r="A906" t="s">
        <v>1950</v>
      </c>
      <c r="B906">
        <v>101</v>
      </c>
      <c r="C906" t="s">
        <v>1049</v>
      </c>
      <c r="D906">
        <v>5733</v>
      </c>
      <c r="E906">
        <v>6714</v>
      </c>
      <c r="F906">
        <v>8616</v>
      </c>
    </row>
    <row r="907" spans="1:6">
      <c r="A907" t="s">
        <v>1951</v>
      </c>
      <c r="B907">
        <v>101</v>
      </c>
      <c r="C907" t="s">
        <v>745</v>
      </c>
      <c r="D907">
        <v>152876</v>
      </c>
      <c r="E907">
        <v>6714</v>
      </c>
      <c r="F907">
        <v>8616</v>
      </c>
    </row>
    <row r="908" spans="1:6">
      <c r="A908" t="s">
        <v>1952</v>
      </c>
      <c r="B908">
        <v>101</v>
      </c>
      <c r="C908" t="s">
        <v>1052</v>
      </c>
      <c r="D908">
        <v>343971</v>
      </c>
      <c r="E908">
        <v>6714</v>
      </c>
      <c r="F908">
        <v>8616</v>
      </c>
    </row>
    <row r="909" spans="1:6">
      <c r="A909" t="s">
        <v>1953</v>
      </c>
      <c r="B909">
        <v>101</v>
      </c>
      <c r="C909" t="s">
        <v>164</v>
      </c>
      <c r="D909">
        <v>2961730</v>
      </c>
      <c r="E909">
        <v>7898</v>
      </c>
      <c r="F909">
        <v>8616</v>
      </c>
    </row>
    <row r="910" spans="1:6">
      <c r="A910" t="s">
        <v>1954</v>
      </c>
      <c r="B910">
        <v>101</v>
      </c>
      <c r="C910" t="s">
        <v>651</v>
      </c>
      <c r="D910">
        <v>1480865</v>
      </c>
      <c r="E910">
        <v>7898</v>
      </c>
      <c r="F910">
        <v>8616</v>
      </c>
    </row>
    <row r="911" spans="1:6">
      <c r="A911" t="s">
        <v>1955</v>
      </c>
      <c r="B911">
        <v>102</v>
      </c>
      <c r="C911" t="s">
        <v>154</v>
      </c>
      <c r="D911">
        <v>38945</v>
      </c>
      <c r="E911">
        <v>6807</v>
      </c>
      <c r="F911">
        <v>8713</v>
      </c>
    </row>
    <row r="912" spans="1:6">
      <c r="A912" t="s">
        <v>1956</v>
      </c>
      <c r="B912">
        <v>102</v>
      </c>
      <c r="C912" t="s">
        <v>1043</v>
      </c>
      <c r="D912">
        <v>116835</v>
      </c>
      <c r="E912">
        <v>6807</v>
      </c>
      <c r="F912">
        <v>8713</v>
      </c>
    </row>
    <row r="913" spans="1:6">
      <c r="A913" t="s">
        <v>1957</v>
      </c>
      <c r="B913">
        <v>102</v>
      </c>
      <c r="C913" t="s">
        <v>1045</v>
      </c>
      <c r="D913">
        <v>70101</v>
      </c>
      <c r="E913">
        <v>6807</v>
      </c>
      <c r="F913">
        <v>8713</v>
      </c>
    </row>
    <row r="914" spans="1:6">
      <c r="A914" t="s">
        <v>1958</v>
      </c>
      <c r="B914">
        <v>102</v>
      </c>
      <c r="C914" t="s">
        <v>1047</v>
      </c>
      <c r="D914">
        <v>19473</v>
      </c>
      <c r="E914">
        <v>6807</v>
      </c>
      <c r="F914">
        <v>8713</v>
      </c>
    </row>
    <row r="915" spans="1:6">
      <c r="A915" t="s">
        <v>1959</v>
      </c>
      <c r="B915">
        <v>102</v>
      </c>
      <c r="C915" t="s">
        <v>1049</v>
      </c>
      <c r="D915">
        <v>5842</v>
      </c>
      <c r="E915">
        <v>6807</v>
      </c>
      <c r="F915">
        <v>8713</v>
      </c>
    </row>
    <row r="916" spans="1:6">
      <c r="A916" t="s">
        <v>1960</v>
      </c>
      <c r="B916">
        <v>102</v>
      </c>
      <c r="C916" t="s">
        <v>745</v>
      </c>
      <c r="D916">
        <v>155780</v>
      </c>
      <c r="E916">
        <v>6807</v>
      </c>
      <c r="F916">
        <v>8713</v>
      </c>
    </row>
    <row r="917" spans="1:6">
      <c r="A917" t="s">
        <v>1961</v>
      </c>
      <c r="B917">
        <v>102</v>
      </c>
      <c r="C917" t="s">
        <v>1052</v>
      </c>
      <c r="D917">
        <v>350505</v>
      </c>
      <c r="E917">
        <v>6807</v>
      </c>
      <c r="F917">
        <v>8713</v>
      </c>
    </row>
    <row r="918" spans="1:6">
      <c r="A918" t="s">
        <v>1962</v>
      </c>
      <c r="B918">
        <v>102</v>
      </c>
      <c r="C918" t="s">
        <v>164</v>
      </c>
      <c r="D918">
        <v>3024545</v>
      </c>
      <c r="E918">
        <v>8003</v>
      </c>
      <c r="F918">
        <v>8713</v>
      </c>
    </row>
    <row r="919" spans="1:6">
      <c r="A919" t="s">
        <v>1963</v>
      </c>
      <c r="B919">
        <v>102</v>
      </c>
      <c r="C919" t="s">
        <v>651</v>
      </c>
      <c r="D919">
        <v>1512272</v>
      </c>
      <c r="E919">
        <v>8003</v>
      </c>
      <c r="F919">
        <v>8713</v>
      </c>
    </row>
    <row r="920" spans="1:6">
      <c r="A920" t="s">
        <v>1964</v>
      </c>
      <c r="B920">
        <v>103</v>
      </c>
      <c r="C920" t="s">
        <v>154</v>
      </c>
      <c r="D920">
        <v>39680</v>
      </c>
      <c r="E920">
        <v>6901</v>
      </c>
      <c r="F920">
        <v>8810</v>
      </c>
    </row>
    <row r="921" spans="1:6">
      <c r="A921" t="s">
        <v>1965</v>
      </c>
      <c r="B921">
        <v>103</v>
      </c>
      <c r="C921" t="s">
        <v>1043</v>
      </c>
      <c r="D921">
        <v>119040</v>
      </c>
      <c r="E921">
        <v>6901</v>
      </c>
      <c r="F921">
        <v>8810</v>
      </c>
    </row>
    <row r="922" spans="1:6">
      <c r="A922" t="s">
        <v>1966</v>
      </c>
      <c r="B922">
        <v>103</v>
      </c>
      <c r="C922" t="s">
        <v>1045</v>
      </c>
      <c r="D922">
        <v>71424</v>
      </c>
      <c r="E922">
        <v>6901</v>
      </c>
      <c r="F922">
        <v>8810</v>
      </c>
    </row>
    <row r="923" spans="1:6">
      <c r="A923" t="s">
        <v>1967</v>
      </c>
      <c r="B923">
        <v>103</v>
      </c>
      <c r="C923" t="s">
        <v>1047</v>
      </c>
      <c r="D923">
        <v>19840</v>
      </c>
      <c r="E923">
        <v>6901</v>
      </c>
      <c r="F923">
        <v>8810</v>
      </c>
    </row>
    <row r="924" spans="1:6">
      <c r="A924" t="s">
        <v>1968</v>
      </c>
      <c r="B924">
        <v>103</v>
      </c>
      <c r="C924" t="s">
        <v>1049</v>
      </c>
      <c r="D924">
        <v>5952</v>
      </c>
      <c r="E924">
        <v>6901</v>
      </c>
      <c r="F924">
        <v>8810</v>
      </c>
    </row>
    <row r="925" spans="1:6">
      <c r="A925" t="s">
        <v>1969</v>
      </c>
      <c r="B925">
        <v>103</v>
      </c>
      <c r="C925" t="s">
        <v>745</v>
      </c>
      <c r="D925">
        <v>158720</v>
      </c>
      <c r="E925">
        <v>6901</v>
      </c>
      <c r="F925">
        <v>8810</v>
      </c>
    </row>
    <row r="926" spans="1:6">
      <c r="A926" t="s">
        <v>1970</v>
      </c>
      <c r="B926">
        <v>103</v>
      </c>
      <c r="C926" t="s">
        <v>1052</v>
      </c>
      <c r="D926">
        <v>357120</v>
      </c>
      <c r="E926">
        <v>6901</v>
      </c>
      <c r="F926">
        <v>8810</v>
      </c>
    </row>
    <row r="927" spans="1:6">
      <c r="A927" t="s">
        <v>1971</v>
      </c>
      <c r="B927">
        <v>103</v>
      </c>
      <c r="C927" t="s">
        <v>164</v>
      </c>
      <c r="D927">
        <v>3088349</v>
      </c>
      <c r="E927">
        <v>8110</v>
      </c>
      <c r="F927">
        <v>8810</v>
      </c>
    </row>
    <row r="928" spans="1:6">
      <c r="A928" t="s">
        <v>1972</v>
      </c>
      <c r="B928">
        <v>103</v>
      </c>
      <c r="C928" t="s">
        <v>651</v>
      </c>
      <c r="D928">
        <v>1544174</v>
      </c>
      <c r="E928">
        <v>8110</v>
      </c>
      <c r="F928">
        <v>8810</v>
      </c>
    </row>
    <row r="929" spans="1:6">
      <c r="A929" t="s">
        <v>1973</v>
      </c>
      <c r="B929">
        <v>104</v>
      </c>
      <c r="C929" t="s">
        <v>154</v>
      </c>
      <c r="D929">
        <v>40424</v>
      </c>
      <c r="E929">
        <v>6996</v>
      </c>
      <c r="F929">
        <v>8907</v>
      </c>
    </row>
    <row r="930" spans="1:6">
      <c r="A930" t="s">
        <v>1974</v>
      </c>
      <c r="B930">
        <v>104</v>
      </c>
      <c r="C930" t="s">
        <v>1043</v>
      </c>
      <c r="D930">
        <v>121272</v>
      </c>
      <c r="E930">
        <v>6996</v>
      </c>
      <c r="F930">
        <v>8907</v>
      </c>
    </row>
    <row r="931" spans="1:6">
      <c r="A931" t="s">
        <v>1975</v>
      </c>
      <c r="B931">
        <v>104</v>
      </c>
      <c r="C931" t="s">
        <v>1045</v>
      </c>
      <c r="D931">
        <v>72764</v>
      </c>
      <c r="E931">
        <v>6996</v>
      </c>
      <c r="F931">
        <v>8907</v>
      </c>
    </row>
    <row r="932" spans="1:6">
      <c r="A932" t="s">
        <v>1976</v>
      </c>
      <c r="B932">
        <v>104</v>
      </c>
      <c r="C932" t="s">
        <v>1047</v>
      </c>
      <c r="D932">
        <v>20212</v>
      </c>
      <c r="E932">
        <v>6996</v>
      </c>
      <c r="F932">
        <v>8907</v>
      </c>
    </row>
    <row r="933" spans="1:6">
      <c r="A933" t="s">
        <v>1977</v>
      </c>
      <c r="B933">
        <v>104</v>
      </c>
      <c r="C933" t="s">
        <v>1049</v>
      </c>
      <c r="D933">
        <v>6064</v>
      </c>
      <c r="E933">
        <v>6996</v>
      </c>
      <c r="F933">
        <v>8907</v>
      </c>
    </row>
    <row r="934" spans="1:6">
      <c r="A934" t="s">
        <v>1978</v>
      </c>
      <c r="B934">
        <v>104</v>
      </c>
      <c r="C934" t="s">
        <v>745</v>
      </c>
      <c r="D934">
        <v>161696</v>
      </c>
      <c r="E934">
        <v>6996</v>
      </c>
      <c r="F934">
        <v>8907</v>
      </c>
    </row>
    <row r="935" spans="1:6">
      <c r="A935" t="s">
        <v>1979</v>
      </c>
      <c r="B935">
        <v>104</v>
      </c>
      <c r="C935" t="s">
        <v>1052</v>
      </c>
      <c r="D935">
        <v>363816</v>
      </c>
      <c r="E935">
        <v>6996</v>
      </c>
      <c r="F935">
        <v>8907</v>
      </c>
    </row>
    <row r="936" spans="1:6">
      <c r="A936" t="s">
        <v>1980</v>
      </c>
      <c r="B936">
        <v>104</v>
      </c>
      <c r="C936" t="s">
        <v>164</v>
      </c>
      <c r="D936">
        <v>3153038</v>
      </c>
      <c r="E936">
        <v>8217</v>
      </c>
      <c r="F936">
        <v>8907</v>
      </c>
    </row>
    <row r="937" spans="1:6">
      <c r="A937" t="s">
        <v>1981</v>
      </c>
      <c r="B937">
        <v>104</v>
      </c>
      <c r="C937" t="s">
        <v>651</v>
      </c>
      <c r="D937">
        <v>1576519</v>
      </c>
      <c r="E937">
        <v>8217</v>
      </c>
      <c r="F937">
        <v>8907</v>
      </c>
    </row>
    <row r="938" spans="1:6">
      <c r="A938" t="s">
        <v>1982</v>
      </c>
      <c r="B938">
        <v>105</v>
      </c>
      <c r="C938" t="s">
        <v>154</v>
      </c>
      <c r="D938">
        <v>41177</v>
      </c>
      <c r="E938">
        <v>7091</v>
      </c>
      <c r="F938">
        <v>9005</v>
      </c>
    </row>
    <row r="939" spans="1:6">
      <c r="A939" t="s">
        <v>1983</v>
      </c>
      <c r="B939">
        <v>105</v>
      </c>
      <c r="C939" t="s">
        <v>1043</v>
      </c>
      <c r="D939">
        <v>123531</v>
      </c>
      <c r="E939">
        <v>7091</v>
      </c>
      <c r="F939">
        <v>9005</v>
      </c>
    </row>
    <row r="940" spans="1:6">
      <c r="A940" t="s">
        <v>1984</v>
      </c>
      <c r="B940">
        <v>105</v>
      </c>
      <c r="C940" t="s">
        <v>1045</v>
      </c>
      <c r="D940">
        <v>74119</v>
      </c>
      <c r="E940">
        <v>7091</v>
      </c>
      <c r="F940">
        <v>9005</v>
      </c>
    </row>
    <row r="941" spans="1:6">
      <c r="A941" t="s">
        <v>1985</v>
      </c>
      <c r="B941">
        <v>105</v>
      </c>
      <c r="C941" t="s">
        <v>1047</v>
      </c>
      <c r="D941">
        <v>20589</v>
      </c>
      <c r="E941">
        <v>7091</v>
      </c>
      <c r="F941">
        <v>9005</v>
      </c>
    </row>
    <row r="942" spans="1:6">
      <c r="A942" t="s">
        <v>1986</v>
      </c>
      <c r="B942">
        <v>105</v>
      </c>
      <c r="C942" t="s">
        <v>1049</v>
      </c>
      <c r="D942">
        <v>6177</v>
      </c>
      <c r="E942">
        <v>7091</v>
      </c>
      <c r="F942">
        <v>9005</v>
      </c>
    </row>
    <row r="943" spans="1:6">
      <c r="A943" t="s">
        <v>1987</v>
      </c>
      <c r="B943">
        <v>105</v>
      </c>
      <c r="C943" t="s">
        <v>745</v>
      </c>
      <c r="D943">
        <v>164708</v>
      </c>
      <c r="E943">
        <v>7091</v>
      </c>
      <c r="F943">
        <v>9005</v>
      </c>
    </row>
    <row r="944" spans="1:6">
      <c r="A944" t="s">
        <v>1988</v>
      </c>
      <c r="B944">
        <v>105</v>
      </c>
      <c r="C944" t="s">
        <v>1052</v>
      </c>
      <c r="D944">
        <v>370593</v>
      </c>
      <c r="E944">
        <v>7091</v>
      </c>
      <c r="F944">
        <v>9005</v>
      </c>
    </row>
    <row r="945" spans="1:6">
      <c r="A945" t="s">
        <v>1989</v>
      </c>
      <c r="B945">
        <v>105</v>
      </c>
      <c r="C945" t="s">
        <v>164</v>
      </c>
      <c r="D945">
        <v>3218664</v>
      </c>
      <c r="E945">
        <v>8324</v>
      </c>
      <c r="F945">
        <v>9005</v>
      </c>
    </row>
    <row r="946" spans="1:6">
      <c r="A946" t="s">
        <v>1990</v>
      </c>
      <c r="B946">
        <v>105</v>
      </c>
      <c r="C946" t="s">
        <v>651</v>
      </c>
      <c r="D946">
        <v>1609332</v>
      </c>
      <c r="E946">
        <v>8324</v>
      </c>
      <c r="F946">
        <v>9005</v>
      </c>
    </row>
    <row r="947" spans="1:6">
      <c r="A947" t="s">
        <v>1991</v>
      </c>
      <c r="B947">
        <v>106</v>
      </c>
      <c r="C947" t="s">
        <v>154</v>
      </c>
      <c r="D947">
        <v>41939</v>
      </c>
      <c r="E947">
        <v>7186</v>
      </c>
      <c r="F947">
        <v>9103</v>
      </c>
    </row>
    <row r="948" spans="1:6">
      <c r="A948" t="s">
        <v>1992</v>
      </c>
      <c r="B948">
        <v>106</v>
      </c>
      <c r="C948" t="s">
        <v>1043</v>
      </c>
      <c r="D948">
        <v>125817</v>
      </c>
      <c r="E948">
        <v>7186</v>
      </c>
      <c r="F948">
        <v>9103</v>
      </c>
    </row>
    <row r="949" spans="1:6">
      <c r="A949" t="s">
        <v>1993</v>
      </c>
      <c r="B949">
        <v>106</v>
      </c>
      <c r="C949" t="s">
        <v>1045</v>
      </c>
      <c r="D949">
        <v>75491</v>
      </c>
      <c r="E949">
        <v>7186</v>
      </c>
      <c r="F949">
        <v>9103</v>
      </c>
    </row>
    <row r="950" spans="1:6">
      <c r="A950" t="s">
        <v>1994</v>
      </c>
      <c r="B950">
        <v>106</v>
      </c>
      <c r="C950" t="s">
        <v>1047</v>
      </c>
      <c r="D950">
        <v>20970</v>
      </c>
      <c r="E950">
        <v>7186</v>
      </c>
      <c r="F950">
        <v>9103</v>
      </c>
    </row>
    <row r="951" spans="1:6">
      <c r="A951" t="s">
        <v>1995</v>
      </c>
      <c r="B951">
        <v>106</v>
      </c>
      <c r="C951" t="s">
        <v>1049</v>
      </c>
      <c r="D951">
        <v>6291</v>
      </c>
      <c r="E951">
        <v>7186</v>
      </c>
      <c r="F951">
        <v>9103</v>
      </c>
    </row>
    <row r="952" spans="1:6">
      <c r="A952" t="s">
        <v>1996</v>
      </c>
      <c r="B952">
        <v>106</v>
      </c>
      <c r="C952" t="s">
        <v>745</v>
      </c>
      <c r="D952">
        <v>167756</v>
      </c>
      <c r="E952">
        <v>7186</v>
      </c>
      <c r="F952">
        <v>9103</v>
      </c>
    </row>
    <row r="953" spans="1:6">
      <c r="A953" t="s">
        <v>1997</v>
      </c>
      <c r="B953">
        <v>106</v>
      </c>
      <c r="C953" t="s">
        <v>1052</v>
      </c>
      <c r="D953">
        <v>377451</v>
      </c>
      <c r="E953">
        <v>7186</v>
      </c>
      <c r="F953">
        <v>9103</v>
      </c>
    </row>
    <row r="954" spans="1:6">
      <c r="A954" t="s">
        <v>1998</v>
      </c>
      <c r="B954">
        <v>106</v>
      </c>
      <c r="C954" t="s">
        <v>164</v>
      </c>
      <c r="D954">
        <v>3285226</v>
      </c>
      <c r="E954">
        <v>8432</v>
      </c>
      <c r="F954">
        <v>9103</v>
      </c>
    </row>
    <row r="955" spans="1:6">
      <c r="A955" t="s">
        <v>1999</v>
      </c>
      <c r="B955">
        <v>106</v>
      </c>
      <c r="C955" t="s">
        <v>651</v>
      </c>
      <c r="D955">
        <v>1642613</v>
      </c>
      <c r="E955">
        <v>8432</v>
      </c>
      <c r="F955">
        <v>9103</v>
      </c>
    </row>
    <row r="956" spans="1:6">
      <c r="A956" t="s">
        <v>2000</v>
      </c>
      <c r="B956">
        <v>107</v>
      </c>
      <c r="C956" t="s">
        <v>154</v>
      </c>
      <c r="D956">
        <v>42710</v>
      </c>
      <c r="E956">
        <v>7283</v>
      </c>
      <c r="F956">
        <v>9201</v>
      </c>
    </row>
    <row r="957" spans="1:6">
      <c r="A957" t="s">
        <v>2001</v>
      </c>
      <c r="B957">
        <v>107</v>
      </c>
      <c r="C957" t="s">
        <v>1043</v>
      </c>
      <c r="D957">
        <v>128130</v>
      </c>
      <c r="E957">
        <v>7283</v>
      </c>
      <c r="F957">
        <v>9201</v>
      </c>
    </row>
    <row r="958" spans="1:6">
      <c r="A958" t="s">
        <v>2002</v>
      </c>
      <c r="B958">
        <v>107</v>
      </c>
      <c r="C958" t="s">
        <v>1045</v>
      </c>
      <c r="D958">
        <v>76878</v>
      </c>
      <c r="E958">
        <v>7283</v>
      </c>
      <c r="F958">
        <v>9201</v>
      </c>
    </row>
    <row r="959" spans="1:6">
      <c r="A959" t="s">
        <v>2003</v>
      </c>
      <c r="B959">
        <v>107</v>
      </c>
      <c r="C959" t="s">
        <v>1047</v>
      </c>
      <c r="D959">
        <v>21355</v>
      </c>
      <c r="E959">
        <v>7283</v>
      </c>
      <c r="F959">
        <v>9201</v>
      </c>
    </row>
    <row r="960" spans="1:6">
      <c r="A960" t="s">
        <v>2004</v>
      </c>
      <c r="B960">
        <v>107</v>
      </c>
      <c r="C960" t="s">
        <v>1049</v>
      </c>
      <c r="D960">
        <v>6407</v>
      </c>
      <c r="E960">
        <v>7283</v>
      </c>
      <c r="F960">
        <v>9201</v>
      </c>
    </row>
    <row r="961" spans="1:6">
      <c r="A961" t="s">
        <v>2005</v>
      </c>
      <c r="B961">
        <v>107</v>
      </c>
      <c r="C961" t="s">
        <v>745</v>
      </c>
      <c r="D961">
        <v>170840</v>
      </c>
      <c r="E961">
        <v>7283</v>
      </c>
      <c r="F961">
        <v>9201</v>
      </c>
    </row>
    <row r="962" spans="1:6">
      <c r="A962" t="s">
        <v>2006</v>
      </c>
      <c r="B962">
        <v>107</v>
      </c>
      <c r="C962" t="s">
        <v>1052</v>
      </c>
      <c r="D962">
        <v>384390</v>
      </c>
      <c r="E962">
        <v>7283</v>
      </c>
      <c r="F962">
        <v>9201</v>
      </c>
    </row>
    <row r="963" spans="1:6">
      <c r="A963" t="s">
        <v>2007</v>
      </c>
      <c r="B963">
        <v>107</v>
      </c>
      <c r="C963" t="s">
        <v>164</v>
      </c>
      <c r="D963">
        <v>3352775</v>
      </c>
      <c r="E963">
        <v>8541</v>
      </c>
      <c r="F963">
        <v>9201</v>
      </c>
    </row>
    <row r="964" spans="1:6">
      <c r="A964" t="s">
        <v>2008</v>
      </c>
      <c r="B964">
        <v>107</v>
      </c>
      <c r="C964" t="s">
        <v>651</v>
      </c>
      <c r="D964">
        <v>1676388</v>
      </c>
      <c r="E964">
        <v>8541</v>
      </c>
      <c r="F964">
        <v>9201</v>
      </c>
    </row>
    <row r="965" spans="1:6">
      <c r="A965" t="s">
        <v>2009</v>
      </c>
      <c r="B965">
        <v>108</v>
      </c>
      <c r="C965" t="s">
        <v>154</v>
      </c>
      <c r="D965">
        <v>43490</v>
      </c>
      <c r="E965">
        <v>7380</v>
      </c>
      <c r="F965">
        <v>9299</v>
      </c>
    </row>
    <row r="966" spans="1:6">
      <c r="A966" t="s">
        <v>2010</v>
      </c>
      <c r="B966">
        <v>108</v>
      </c>
      <c r="C966" t="s">
        <v>1043</v>
      </c>
      <c r="D966">
        <v>130470</v>
      </c>
      <c r="E966">
        <v>7380</v>
      </c>
      <c r="F966">
        <v>9299</v>
      </c>
    </row>
    <row r="967" spans="1:6">
      <c r="A967" t="s">
        <v>2011</v>
      </c>
      <c r="B967">
        <v>108</v>
      </c>
      <c r="C967" t="s">
        <v>1045</v>
      </c>
      <c r="D967">
        <v>78282</v>
      </c>
      <c r="E967">
        <v>7380</v>
      </c>
      <c r="F967">
        <v>9299</v>
      </c>
    </row>
    <row r="968" spans="1:6">
      <c r="A968" t="s">
        <v>2012</v>
      </c>
      <c r="B968">
        <v>108</v>
      </c>
      <c r="C968" t="s">
        <v>1047</v>
      </c>
      <c r="D968">
        <v>21745</v>
      </c>
      <c r="E968">
        <v>7380</v>
      </c>
      <c r="F968">
        <v>9299</v>
      </c>
    </row>
    <row r="969" spans="1:6">
      <c r="A969" t="s">
        <v>2013</v>
      </c>
      <c r="B969">
        <v>108</v>
      </c>
      <c r="C969" t="s">
        <v>1049</v>
      </c>
      <c r="D969">
        <v>6524</v>
      </c>
      <c r="E969">
        <v>7380</v>
      </c>
      <c r="F969">
        <v>9299</v>
      </c>
    </row>
    <row r="970" spans="1:6">
      <c r="A970" t="s">
        <v>2014</v>
      </c>
      <c r="B970">
        <v>108</v>
      </c>
      <c r="C970" t="s">
        <v>745</v>
      </c>
      <c r="D970">
        <v>173960</v>
      </c>
      <c r="E970">
        <v>7380</v>
      </c>
      <c r="F970">
        <v>9299</v>
      </c>
    </row>
    <row r="971" spans="1:6">
      <c r="A971" t="s">
        <v>2015</v>
      </c>
      <c r="B971">
        <v>108</v>
      </c>
      <c r="C971" t="s">
        <v>1052</v>
      </c>
      <c r="D971">
        <v>391410</v>
      </c>
      <c r="E971">
        <v>7380</v>
      </c>
      <c r="F971">
        <v>9299</v>
      </c>
    </row>
    <row r="972" spans="1:6">
      <c r="A972" t="s">
        <v>2016</v>
      </c>
      <c r="B972">
        <v>108</v>
      </c>
      <c r="C972" t="s">
        <v>164</v>
      </c>
      <c r="D972">
        <v>3421209</v>
      </c>
      <c r="E972">
        <v>8651</v>
      </c>
      <c r="F972">
        <v>9299</v>
      </c>
    </row>
    <row r="973" spans="1:6">
      <c r="A973" t="s">
        <v>2017</v>
      </c>
      <c r="B973">
        <v>108</v>
      </c>
      <c r="C973" t="s">
        <v>651</v>
      </c>
      <c r="D973">
        <v>1710604</v>
      </c>
      <c r="E973">
        <v>8651</v>
      </c>
      <c r="F973">
        <v>9299</v>
      </c>
    </row>
    <row r="974" spans="1:6">
      <c r="A974" t="s">
        <v>2018</v>
      </c>
      <c r="B974">
        <v>109</v>
      </c>
      <c r="C974" t="s">
        <v>154</v>
      </c>
      <c r="D974">
        <v>44280</v>
      </c>
      <c r="E974">
        <v>7478</v>
      </c>
      <c r="F974">
        <v>9398</v>
      </c>
    </row>
    <row r="975" spans="1:6">
      <c r="A975" t="s">
        <v>2019</v>
      </c>
      <c r="B975">
        <v>109</v>
      </c>
      <c r="C975" t="s">
        <v>1043</v>
      </c>
      <c r="D975">
        <v>132840</v>
      </c>
      <c r="E975">
        <v>7478</v>
      </c>
      <c r="F975">
        <v>9398</v>
      </c>
    </row>
    <row r="976" spans="1:6">
      <c r="A976" t="s">
        <v>2020</v>
      </c>
      <c r="B976">
        <v>109</v>
      </c>
      <c r="C976" t="s">
        <v>1045</v>
      </c>
      <c r="D976">
        <v>79704</v>
      </c>
      <c r="E976">
        <v>7478</v>
      </c>
      <c r="F976">
        <v>9398</v>
      </c>
    </row>
    <row r="977" spans="1:6">
      <c r="A977" t="s">
        <v>2021</v>
      </c>
      <c r="B977">
        <v>109</v>
      </c>
      <c r="C977" t="s">
        <v>1047</v>
      </c>
      <c r="D977">
        <v>22140</v>
      </c>
      <c r="E977">
        <v>7478</v>
      </c>
      <c r="F977">
        <v>9398</v>
      </c>
    </row>
    <row r="978" spans="1:6">
      <c r="A978" t="s">
        <v>2022</v>
      </c>
      <c r="B978">
        <v>109</v>
      </c>
      <c r="C978" t="s">
        <v>1049</v>
      </c>
      <c r="D978">
        <v>6642</v>
      </c>
      <c r="E978">
        <v>7478</v>
      </c>
      <c r="F978">
        <v>9398</v>
      </c>
    </row>
    <row r="979" spans="1:6">
      <c r="A979" t="s">
        <v>2023</v>
      </c>
      <c r="B979">
        <v>109</v>
      </c>
      <c r="C979" t="s">
        <v>745</v>
      </c>
      <c r="D979">
        <v>177120</v>
      </c>
      <c r="E979">
        <v>7478</v>
      </c>
      <c r="F979">
        <v>9398</v>
      </c>
    </row>
    <row r="980" spans="1:6">
      <c r="A980" t="s">
        <v>2024</v>
      </c>
      <c r="B980">
        <v>109</v>
      </c>
      <c r="C980" t="s">
        <v>1052</v>
      </c>
      <c r="D980">
        <v>398520</v>
      </c>
      <c r="E980">
        <v>7478</v>
      </c>
      <c r="F980">
        <v>9398</v>
      </c>
    </row>
    <row r="981" spans="1:6">
      <c r="A981" t="s">
        <v>2025</v>
      </c>
      <c r="B981">
        <v>109</v>
      </c>
      <c r="C981" t="s">
        <v>164</v>
      </c>
      <c r="D981">
        <v>3490680</v>
      </c>
      <c r="E981">
        <v>8761</v>
      </c>
      <c r="F981">
        <v>9398</v>
      </c>
    </row>
    <row r="982" spans="1:6">
      <c r="A982" t="s">
        <v>2026</v>
      </c>
      <c r="B982">
        <v>109</v>
      </c>
      <c r="C982" t="s">
        <v>651</v>
      </c>
      <c r="D982">
        <v>1745340</v>
      </c>
      <c r="E982">
        <v>8761</v>
      </c>
      <c r="F982">
        <v>9398</v>
      </c>
    </row>
    <row r="983" spans="1:6">
      <c r="A983" t="s">
        <v>2027</v>
      </c>
      <c r="B983">
        <v>110</v>
      </c>
      <c r="C983" t="s">
        <v>154</v>
      </c>
      <c r="D983">
        <v>45080</v>
      </c>
      <c r="E983">
        <v>7576</v>
      </c>
      <c r="F983">
        <v>9496</v>
      </c>
    </row>
    <row r="984" spans="1:6">
      <c r="A984" t="s">
        <v>2028</v>
      </c>
      <c r="B984">
        <v>110</v>
      </c>
      <c r="C984" t="s">
        <v>1043</v>
      </c>
      <c r="D984">
        <v>135240</v>
      </c>
      <c r="E984">
        <v>7576</v>
      </c>
      <c r="F984">
        <v>9496</v>
      </c>
    </row>
    <row r="985" spans="1:6">
      <c r="A985" t="s">
        <v>2029</v>
      </c>
      <c r="B985">
        <v>110</v>
      </c>
      <c r="C985" t="s">
        <v>1045</v>
      </c>
      <c r="D985">
        <v>81144</v>
      </c>
      <c r="E985">
        <v>7576</v>
      </c>
      <c r="F985">
        <v>9496</v>
      </c>
    </row>
    <row r="986" spans="1:6">
      <c r="A986" t="s">
        <v>2030</v>
      </c>
      <c r="B986">
        <v>110</v>
      </c>
      <c r="C986" t="s">
        <v>1047</v>
      </c>
      <c r="D986">
        <v>22540</v>
      </c>
      <c r="E986">
        <v>7576</v>
      </c>
      <c r="F986">
        <v>9496</v>
      </c>
    </row>
    <row r="987" spans="1:6">
      <c r="A987" t="s">
        <v>2031</v>
      </c>
      <c r="B987">
        <v>110</v>
      </c>
      <c r="C987" t="s">
        <v>1049</v>
      </c>
      <c r="D987">
        <v>6762</v>
      </c>
      <c r="E987">
        <v>7576</v>
      </c>
      <c r="F987">
        <v>9496</v>
      </c>
    </row>
    <row r="988" spans="1:6">
      <c r="A988" t="s">
        <v>2032</v>
      </c>
      <c r="B988">
        <v>110</v>
      </c>
      <c r="C988" t="s">
        <v>745</v>
      </c>
      <c r="D988">
        <v>180320</v>
      </c>
      <c r="E988">
        <v>7576</v>
      </c>
      <c r="F988">
        <v>9496</v>
      </c>
    </row>
    <row r="989" spans="1:6">
      <c r="A989" t="s">
        <v>2033</v>
      </c>
      <c r="B989">
        <v>110</v>
      </c>
      <c r="C989" t="s">
        <v>1052</v>
      </c>
      <c r="D989">
        <v>405720</v>
      </c>
      <c r="E989">
        <v>7576</v>
      </c>
      <c r="F989">
        <v>9496</v>
      </c>
    </row>
    <row r="990" spans="1:6">
      <c r="A990" t="s">
        <v>2034</v>
      </c>
      <c r="B990">
        <v>110</v>
      </c>
      <c r="C990" t="s">
        <v>164</v>
      </c>
      <c r="D990">
        <v>3561035</v>
      </c>
      <c r="E990">
        <v>8872</v>
      </c>
      <c r="F990">
        <v>9496</v>
      </c>
    </row>
    <row r="991" spans="1:6">
      <c r="A991" t="s">
        <v>2035</v>
      </c>
      <c r="B991">
        <v>110</v>
      </c>
      <c r="C991" t="s">
        <v>651</v>
      </c>
      <c r="D991">
        <v>1780518</v>
      </c>
      <c r="E991">
        <v>8872</v>
      </c>
      <c r="F991">
        <v>9496</v>
      </c>
    </row>
    <row r="992" spans="1:6">
      <c r="A992" t="s">
        <v>2036</v>
      </c>
      <c r="B992">
        <v>111</v>
      </c>
      <c r="C992" t="s">
        <v>154</v>
      </c>
      <c r="D992">
        <v>45889</v>
      </c>
      <c r="E992">
        <v>7675</v>
      </c>
      <c r="F992">
        <v>9595</v>
      </c>
    </row>
    <row r="993" spans="1:6">
      <c r="A993" t="s">
        <v>2037</v>
      </c>
      <c r="B993">
        <v>111</v>
      </c>
      <c r="C993" t="s">
        <v>1043</v>
      </c>
      <c r="D993">
        <v>137667</v>
      </c>
      <c r="E993">
        <v>7675</v>
      </c>
      <c r="F993">
        <v>9595</v>
      </c>
    </row>
    <row r="994" spans="1:6">
      <c r="A994" t="s">
        <v>2038</v>
      </c>
      <c r="B994">
        <v>111</v>
      </c>
      <c r="C994" t="s">
        <v>1045</v>
      </c>
      <c r="D994">
        <v>82601</v>
      </c>
      <c r="E994">
        <v>7675</v>
      </c>
      <c r="F994">
        <v>9595</v>
      </c>
    </row>
    <row r="995" spans="1:6">
      <c r="A995" t="s">
        <v>2039</v>
      </c>
      <c r="B995">
        <v>111</v>
      </c>
      <c r="C995" t="s">
        <v>1047</v>
      </c>
      <c r="D995">
        <v>22945</v>
      </c>
      <c r="E995">
        <v>7675</v>
      </c>
      <c r="F995">
        <v>9595</v>
      </c>
    </row>
    <row r="996" spans="1:6">
      <c r="A996" t="s">
        <v>2040</v>
      </c>
      <c r="B996">
        <v>111</v>
      </c>
      <c r="C996" t="s">
        <v>1049</v>
      </c>
      <c r="D996">
        <v>6884</v>
      </c>
      <c r="E996">
        <v>7675</v>
      </c>
      <c r="F996">
        <v>9595</v>
      </c>
    </row>
    <row r="997" spans="1:6">
      <c r="A997" t="s">
        <v>2041</v>
      </c>
      <c r="B997">
        <v>111</v>
      </c>
      <c r="C997" t="s">
        <v>745</v>
      </c>
      <c r="D997">
        <v>183556</v>
      </c>
      <c r="E997">
        <v>7675</v>
      </c>
      <c r="F997">
        <v>9595</v>
      </c>
    </row>
    <row r="998" spans="1:6">
      <c r="A998" t="s">
        <v>2042</v>
      </c>
      <c r="B998">
        <v>111</v>
      </c>
      <c r="C998" t="s">
        <v>1052</v>
      </c>
      <c r="D998">
        <v>413001</v>
      </c>
      <c r="E998">
        <v>7675</v>
      </c>
      <c r="F998">
        <v>9595</v>
      </c>
    </row>
    <row r="999" spans="1:6">
      <c r="A999" t="s">
        <v>2043</v>
      </c>
      <c r="B999">
        <v>111</v>
      </c>
      <c r="C999" t="s">
        <v>164</v>
      </c>
      <c r="D999">
        <v>3632427</v>
      </c>
      <c r="E999">
        <v>8983</v>
      </c>
      <c r="F999">
        <v>9595</v>
      </c>
    </row>
    <row r="1000" spans="1:6">
      <c r="A1000" t="s">
        <v>2044</v>
      </c>
      <c r="B1000">
        <v>111</v>
      </c>
      <c r="C1000" t="s">
        <v>651</v>
      </c>
      <c r="D1000">
        <v>1816214</v>
      </c>
      <c r="E1000">
        <v>8983</v>
      </c>
      <c r="F1000">
        <v>9595</v>
      </c>
    </row>
    <row r="1001" spans="1:6">
      <c r="A1001" t="s">
        <v>2045</v>
      </c>
      <c r="B1001">
        <v>112</v>
      </c>
      <c r="C1001" t="s">
        <v>154</v>
      </c>
      <c r="D1001">
        <v>46708</v>
      </c>
      <c r="E1001">
        <v>7774</v>
      </c>
      <c r="F1001">
        <v>9694</v>
      </c>
    </row>
    <row r="1002" spans="1:6">
      <c r="A1002" t="s">
        <v>2046</v>
      </c>
      <c r="B1002">
        <v>112</v>
      </c>
      <c r="C1002" t="s">
        <v>1043</v>
      </c>
      <c r="D1002">
        <v>140124</v>
      </c>
      <c r="E1002">
        <v>7774</v>
      </c>
      <c r="F1002">
        <v>9694</v>
      </c>
    </row>
    <row r="1003" spans="1:6">
      <c r="A1003" t="s">
        <v>2047</v>
      </c>
      <c r="B1003">
        <v>112</v>
      </c>
      <c r="C1003" t="s">
        <v>1045</v>
      </c>
      <c r="D1003">
        <v>84075</v>
      </c>
      <c r="E1003">
        <v>7774</v>
      </c>
      <c r="F1003">
        <v>9694</v>
      </c>
    </row>
    <row r="1004" spans="1:6">
      <c r="A1004" t="s">
        <v>2048</v>
      </c>
      <c r="B1004">
        <v>112</v>
      </c>
      <c r="C1004" t="s">
        <v>1047</v>
      </c>
      <c r="D1004">
        <v>23354</v>
      </c>
      <c r="E1004">
        <v>7774</v>
      </c>
      <c r="F1004">
        <v>9694</v>
      </c>
    </row>
    <row r="1005" spans="1:6">
      <c r="A1005" t="s">
        <v>2049</v>
      </c>
      <c r="B1005">
        <v>112</v>
      </c>
      <c r="C1005" t="s">
        <v>1049</v>
      </c>
      <c r="D1005">
        <v>7007</v>
      </c>
      <c r="E1005">
        <v>7774</v>
      </c>
      <c r="F1005">
        <v>9694</v>
      </c>
    </row>
    <row r="1006" spans="1:6">
      <c r="A1006" t="s">
        <v>2050</v>
      </c>
      <c r="B1006">
        <v>112</v>
      </c>
      <c r="C1006" t="s">
        <v>745</v>
      </c>
      <c r="D1006">
        <v>186832</v>
      </c>
      <c r="E1006">
        <v>7774</v>
      </c>
      <c r="F1006">
        <v>9694</v>
      </c>
    </row>
    <row r="1007" spans="1:6">
      <c r="A1007" t="s">
        <v>2051</v>
      </c>
      <c r="B1007">
        <v>112</v>
      </c>
      <c r="C1007" t="s">
        <v>1052</v>
      </c>
      <c r="D1007">
        <v>420372</v>
      </c>
      <c r="E1007">
        <v>7774</v>
      </c>
      <c r="F1007">
        <v>9694</v>
      </c>
    </row>
    <row r="1008" spans="1:6">
      <c r="A1008" t="s">
        <v>2052</v>
      </c>
      <c r="B1008">
        <v>112</v>
      </c>
      <c r="C1008" t="s">
        <v>164</v>
      </c>
      <c r="D1008">
        <v>3704805</v>
      </c>
      <c r="E1008">
        <v>9095</v>
      </c>
      <c r="F1008">
        <v>9694</v>
      </c>
    </row>
    <row r="1009" spans="1:6">
      <c r="A1009" t="s">
        <v>2053</v>
      </c>
      <c r="B1009">
        <v>112</v>
      </c>
      <c r="C1009" t="s">
        <v>651</v>
      </c>
      <c r="D1009">
        <v>1852402</v>
      </c>
      <c r="E1009">
        <v>9095</v>
      </c>
      <c r="F1009">
        <v>9694</v>
      </c>
    </row>
    <row r="1010" spans="1:6">
      <c r="A1010" t="s">
        <v>2054</v>
      </c>
      <c r="B1010">
        <v>113</v>
      </c>
      <c r="C1010" t="s">
        <v>154</v>
      </c>
      <c r="D1010">
        <v>47536</v>
      </c>
      <c r="E1010">
        <v>7875</v>
      </c>
      <c r="F1010">
        <v>9794</v>
      </c>
    </row>
    <row r="1011" spans="1:6">
      <c r="A1011" t="s">
        <v>2055</v>
      </c>
      <c r="B1011">
        <v>113</v>
      </c>
      <c r="C1011" t="s">
        <v>1043</v>
      </c>
      <c r="D1011">
        <v>142608</v>
      </c>
      <c r="E1011">
        <v>7875</v>
      </c>
      <c r="F1011">
        <v>9794</v>
      </c>
    </row>
    <row r="1012" spans="1:6">
      <c r="A1012" t="s">
        <v>2056</v>
      </c>
      <c r="B1012">
        <v>113</v>
      </c>
      <c r="C1012" t="s">
        <v>1045</v>
      </c>
      <c r="D1012">
        <v>85565</v>
      </c>
      <c r="E1012">
        <v>7875</v>
      </c>
      <c r="F1012">
        <v>9794</v>
      </c>
    </row>
    <row r="1013" spans="1:6">
      <c r="A1013" t="s">
        <v>2057</v>
      </c>
      <c r="B1013">
        <v>113</v>
      </c>
      <c r="C1013" t="s">
        <v>1047</v>
      </c>
      <c r="D1013">
        <v>23768</v>
      </c>
      <c r="E1013">
        <v>7875</v>
      </c>
      <c r="F1013">
        <v>9794</v>
      </c>
    </row>
    <row r="1014" spans="1:6">
      <c r="A1014" t="s">
        <v>2058</v>
      </c>
      <c r="B1014">
        <v>113</v>
      </c>
      <c r="C1014" t="s">
        <v>1049</v>
      </c>
      <c r="D1014">
        <v>7131</v>
      </c>
      <c r="E1014">
        <v>7875</v>
      </c>
      <c r="F1014">
        <v>9794</v>
      </c>
    </row>
    <row r="1015" spans="1:6">
      <c r="A1015" t="s">
        <v>2059</v>
      </c>
      <c r="B1015">
        <v>113</v>
      </c>
      <c r="C1015" t="s">
        <v>745</v>
      </c>
      <c r="D1015">
        <v>190144</v>
      </c>
      <c r="E1015">
        <v>7875</v>
      </c>
      <c r="F1015">
        <v>9794</v>
      </c>
    </row>
    <row r="1016" spans="1:6">
      <c r="A1016" t="s">
        <v>2060</v>
      </c>
      <c r="B1016">
        <v>113</v>
      </c>
      <c r="C1016" t="s">
        <v>1052</v>
      </c>
      <c r="D1016">
        <v>427824</v>
      </c>
      <c r="E1016">
        <v>7875</v>
      </c>
      <c r="F1016">
        <v>9794</v>
      </c>
    </row>
    <row r="1017" spans="1:6">
      <c r="A1017" t="s">
        <v>2061</v>
      </c>
      <c r="B1017">
        <v>113</v>
      </c>
      <c r="C1017" t="s">
        <v>164</v>
      </c>
      <c r="D1017">
        <v>3778167</v>
      </c>
      <c r="E1017">
        <v>9208</v>
      </c>
      <c r="F1017">
        <v>9794</v>
      </c>
    </row>
    <row r="1018" spans="1:6">
      <c r="A1018" t="s">
        <v>2062</v>
      </c>
      <c r="B1018">
        <v>113</v>
      </c>
      <c r="C1018" t="s">
        <v>651</v>
      </c>
      <c r="D1018">
        <v>1889084</v>
      </c>
      <c r="E1018">
        <v>9208</v>
      </c>
      <c r="F1018">
        <v>9794</v>
      </c>
    </row>
    <row r="1019" spans="1:6">
      <c r="A1019" t="s">
        <v>2063</v>
      </c>
      <c r="B1019">
        <v>114</v>
      </c>
      <c r="C1019" t="s">
        <v>154</v>
      </c>
      <c r="D1019">
        <v>48374</v>
      </c>
      <c r="E1019">
        <v>7976</v>
      </c>
      <c r="F1019">
        <v>9894</v>
      </c>
    </row>
    <row r="1020" spans="1:6">
      <c r="A1020" t="s">
        <v>2064</v>
      </c>
      <c r="B1020">
        <v>114</v>
      </c>
      <c r="C1020" t="s">
        <v>1043</v>
      </c>
      <c r="D1020">
        <v>145122</v>
      </c>
      <c r="E1020">
        <v>7976</v>
      </c>
      <c r="F1020">
        <v>9894</v>
      </c>
    </row>
    <row r="1021" spans="1:6">
      <c r="A1021" t="s">
        <v>2065</v>
      </c>
      <c r="B1021">
        <v>114</v>
      </c>
      <c r="C1021" t="s">
        <v>1045</v>
      </c>
      <c r="D1021">
        <v>87074</v>
      </c>
      <c r="E1021">
        <v>7976</v>
      </c>
      <c r="F1021">
        <v>9894</v>
      </c>
    </row>
    <row r="1022" spans="1:6">
      <c r="A1022" t="s">
        <v>2066</v>
      </c>
      <c r="B1022">
        <v>114</v>
      </c>
      <c r="C1022" t="s">
        <v>1047</v>
      </c>
      <c r="D1022">
        <v>24187</v>
      </c>
      <c r="E1022">
        <v>7976</v>
      </c>
      <c r="F1022">
        <v>9894</v>
      </c>
    </row>
    <row r="1023" spans="1:6">
      <c r="A1023" t="s">
        <v>2067</v>
      </c>
      <c r="B1023">
        <v>114</v>
      </c>
      <c r="C1023" t="s">
        <v>1049</v>
      </c>
      <c r="D1023">
        <v>7257</v>
      </c>
      <c r="E1023">
        <v>7976</v>
      </c>
      <c r="F1023">
        <v>9894</v>
      </c>
    </row>
    <row r="1024" spans="1:6">
      <c r="A1024" t="s">
        <v>2068</v>
      </c>
      <c r="B1024">
        <v>114</v>
      </c>
      <c r="C1024" t="s">
        <v>745</v>
      </c>
      <c r="D1024">
        <v>193496</v>
      </c>
      <c r="E1024">
        <v>7976</v>
      </c>
      <c r="F1024">
        <v>9894</v>
      </c>
    </row>
    <row r="1025" spans="1:6">
      <c r="A1025" t="s">
        <v>2069</v>
      </c>
      <c r="B1025">
        <v>114</v>
      </c>
      <c r="C1025" t="s">
        <v>1052</v>
      </c>
      <c r="D1025">
        <v>435366</v>
      </c>
      <c r="E1025">
        <v>7976</v>
      </c>
      <c r="F1025">
        <v>9894</v>
      </c>
    </row>
    <row r="1026" spans="1:6">
      <c r="A1026" t="s">
        <v>2070</v>
      </c>
      <c r="B1026">
        <v>114</v>
      </c>
      <c r="C1026" t="s">
        <v>164</v>
      </c>
      <c r="D1026">
        <v>3852515</v>
      </c>
      <c r="E1026">
        <v>9322</v>
      </c>
      <c r="F1026">
        <v>9894</v>
      </c>
    </row>
    <row r="1027" spans="1:6">
      <c r="A1027" t="s">
        <v>2071</v>
      </c>
      <c r="B1027">
        <v>114</v>
      </c>
      <c r="C1027" t="s">
        <v>651</v>
      </c>
      <c r="D1027">
        <v>1926257</v>
      </c>
      <c r="E1027">
        <v>9322</v>
      </c>
      <c r="F1027">
        <v>9894</v>
      </c>
    </row>
    <row r="1028" spans="1:6">
      <c r="A1028" t="s">
        <v>2072</v>
      </c>
      <c r="B1028">
        <v>115</v>
      </c>
      <c r="C1028" t="s">
        <v>154</v>
      </c>
      <c r="D1028">
        <v>49222</v>
      </c>
      <c r="E1028">
        <v>8077</v>
      </c>
      <c r="F1028">
        <v>9993</v>
      </c>
    </row>
    <row r="1029" spans="1:6">
      <c r="A1029" t="s">
        <v>2073</v>
      </c>
      <c r="B1029">
        <v>115</v>
      </c>
      <c r="C1029" t="s">
        <v>1043</v>
      </c>
      <c r="D1029">
        <v>147666</v>
      </c>
      <c r="E1029">
        <v>8077</v>
      </c>
      <c r="F1029">
        <v>9993</v>
      </c>
    </row>
    <row r="1030" spans="1:6">
      <c r="A1030" t="s">
        <v>2074</v>
      </c>
      <c r="B1030">
        <v>115</v>
      </c>
      <c r="C1030" t="s">
        <v>1045</v>
      </c>
      <c r="D1030">
        <v>88600</v>
      </c>
      <c r="E1030">
        <v>8077</v>
      </c>
      <c r="F1030">
        <v>9993</v>
      </c>
    </row>
    <row r="1031" spans="1:6">
      <c r="A1031" t="s">
        <v>2075</v>
      </c>
      <c r="B1031">
        <v>115</v>
      </c>
      <c r="C1031" t="s">
        <v>1047</v>
      </c>
      <c r="D1031">
        <v>24611</v>
      </c>
      <c r="E1031">
        <v>8077</v>
      </c>
      <c r="F1031">
        <v>9993</v>
      </c>
    </row>
    <row r="1032" spans="1:6">
      <c r="A1032" t="s">
        <v>2076</v>
      </c>
      <c r="B1032">
        <v>115</v>
      </c>
      <c r="C1032" t="s">
        <v>1049</v>
      </c>
      <c r="D1032">
        <v>7384</v>
      </c>
      <c r="E1032">
        <v>8077</v>
      </c>
      <c r="F1032">
        <v>9993</v>
      </c>
    </row>
    <row r="1033" spans="1:6">
      <c r="A1033" t="s">
        <v>2077</v>
      </c>
      <c r="B1033">
        <v>115</v>
      </c>
      <c r="C1033" t="s">
        <v>745</v>
      </c>
      <c r="D1033">
        <v>196888</v>
      </c>
      <c r="E1033">
        <v>8077</v>
      </c>
      <c r="F1033">
        <v>9993</v>
      </c>
    </row>
    <row r="1034" spans="1:6">
      <c r="A1034" t="s">
        <v>2078</v>
      </c>
      <c r="B1034">
        <v>115</v>
      </c>
      <c r="C1034" t="s">
        <v>1052</v>
      </c>
      <c r="D1034">
        <v>442998</v>
      </c>
      <c r="E1034">
        <v>8077</v>
      </c>
      <c r="F1034">
        <v>9993</v>
      </c>
    </row>
    <row r="1035" spans="1:6">
      <c r="A1035" t="s">
        <v>2079</v>
      </c>
      <c r="B1035">
        <v>115</v>
      </c>
      <c r="C1035" t="s">
        <v>164</v>
      </c>
      <c r="D1035">
        <v>3927847</v>
      </c>
      <c r="E1035">
        <v>9436</v>
      </c>
      <c r="F1035">
        <v>9993</v>
      </c>
    </row>
    <row r="1036" spans="1:6">
      <c r="A1036" t="s">
        <v>2080</v>
      </c>
      <c r="B1036">
        <v>115</v>
      </c>
      <c r="C1036" t="s">
        <v>651</v>
      </c>
      <c r="D1036">
        <v>1963923</v>
      </c>
      <c r="E1036">
        <v>9436</v>
      </c>
      <c r="F1036">
        <v>9993</v>
      </c>
    </row>
    <row r="1037" spans="1:6">
      <c r="A1037" t="s">
        <v>2081</v>
      </c>
      <c r="B1037">
        <v>116</v>
      </c>
      <c r="C1037" t="s">
        <v>154</v>
      </c>
      <c r="D1037">
        <v>50080</v>
      </c>
      <c r="E1037">
        <v>8180</v>
      </c>
      <c r="F1037">
        <v>10093</v>
      </c>
    </row>
    <row r="1038" spans="1:6">
      <c r="A1038" t="s">
        <v>2082</v>
      </c>
      <c r="B1038">
        <v>116</v>
      </c>
      <c r="C1038" t="s">
        <v>1043</v>
      </c>
      <c r="D1038">
        <v>150240</v>
      </c>
      <c r="E1038">
        <v>8180</v>
      </c>
      <c r="F1038">
        <v>10093</v>
      </c>
    </row>
    <row r="1039" spans="1:6">
      <c r="A1039" t="s">
        <v>2083</v>
      </c>
      <c r="B1039">
        <v>116</v>
      </c>
      <c r="C1039" t="s">
        <v>1045</v>
      </c>
      <c r="D1039">
        <v>90144</v>
      </c>
      <c r="E1039">
        <v>8180</v>
      </c>
      <c r="F1039">
        <v>10093</v>
      </c>
    </row>
    <row r="1040" spans="1:6">
      <c r="A1040" t="s">
        <v>2084</v>
      </c>
      <c r="B1040">
        <v>116</v>
      </c>
      <c r="C1040" t="s">
        <v>1047</v>
      </c>
      <c r="D1040">
        <v>25040</v>
      </c>
      <c r="E1040">
        <v>8180</v>
      </c>
      <c r="F1040">
        <v>10093</v>
      </c>
    </row>
    <row r="1041" spans="1:6">
      <c r="A1041" t="s">
        <v>2085</v>
      </c>
      <c r="B1041">
        <v>116</v>
      </c>
      <c r="C1041" t="s">
        <v>1049</v>
      </c>
      <c r="D1041">
        <v>7512</v>
      </c>
      <c r="E1041">
        <v>8180</v>
      </c>
      <c r="F1041">
        <v>10093</v>
      </c>
    </row>
    <row r="1042" spans="1:6">
      <c r="A1042" t="s">
        <v>2086</v>
      </c>
      <c r="B1042">
        <v>116</v>
      </c>
      <c r="C1042" t="s">
        <v>745</v>
      </c>
      <c r="D1042">
        <v>200320</v>
      </c>
      <c r="E1042">
        <v>8180</v>
      </c>
      <c r="F1042">
        <v>10093</v>
      </c>
    </row>
    <row r="1043" spans="1:6">
      <c r="A1043" t="s">
        <v>2087</v>
      </c>
      <c r="B1043">
        <v>116</v>
      </c>
      <c r="C1043" t="s">
        <v>1052</v>
      </c>
      <c r="D1043">
        <v>450720</v>
      </c>
      <c r="E1043">
        <v>8180</v>
      </c>
      <c r="F1043">
        <v>10093</v>
      </c>
    </row>
    <row r="1044" spans="1:6">
      <c r="A1044" t="s">
        <v>2088</v>
      </c>
      <c r="B1044">
        <v>116</v>
      </c>
      <c r="C1044" t="s">
        <v>164</v>
      </c>
      <c r="D1044">
        <v>4004214</v>
      </c>
      <c r="E1044">
        <v>9551</v>
      </c>
      <c r="F1044">
        <v>10093</v>
      </c>
    </row>
    <row r="1045" spans="1:6">
      <c r="A1045" t="s">
        <v>2089</v>
      </c>
      <c r="B1045">
        <v>116</v>
      </c>
      <c r="C1045" t="s">
        <v>651</v>
      </c>
      <c r="D1045">
        <v>2002107</v>
      </c>
      <c r="E1045">
        <v>9551</v>
      </c>
      <c r="F1045">
        <v>10093</v>
      </c>
    </row>
    <row r="1046" spans="1:6">
      <c r="A1046" t="s">
        <v>2090</v>
      </c>
      <c r="B1046">
        <v>117</v>
      </c>
      <c r="C1046" t="s">
        <v>154</v>
      </c>
      <c r="D1046">
        <v>50948</v>
      </c>
      <c r="E1046">
        <v>8282</v>
      </c>
      <c r="F1046">
        <v>10194</v>
      </c>
    </row>
    <row r="1047" spans="1:6">
      <c r="A1047" t="s">
        <v>2091</v>
      </c>
      <c r="B1047">
        <v>117</v>
      </c>
      <c r="C1047" t="s">
        <v>1043</v>
      </c>
      <c r="D1047">
        <v>152844</v>
      </c>
      <c r="E1047">
        <v>8282</v>
      </c>
      <c r="F1047">
        <v>10194</v>
      </c>
    </row>
    <row r="1048" spans="1:6">
      <c r="A1048" t="s">
        <v>2092</v>
      </c>
      <c r="B1048">
        <v>117</v>
      </c>
      <c r="C1048" t="s">
        <v>1045</v>
      </c>
      <c r="D1048">
        <v>91707</v>
      </c>
      <c r="E1048">
        <v>8282</v>
      </c>
      <c r="F1048">
        <v>10194</v>
      </c>
    </row>
    <row r="1049" spans="1:6">
      <c r="A1049" t="s">
        <v>2093</v>
      </c>
      <c r="B1049">
        <v>117</v>
      </c>
      <c r="C1049" t="s">
        <v>1047</v>
      </c>
      <c r="D1049">
        <v>25474</v>
      </c>
      <c r="E1049">
        <v>8282</v>
      </c>
      <c r="F1049">
        <v>10194</v>
      </c>
    </row>
    <row r="1050" spans="1:6">
      <c r="A1050" t="s">
        <v>2094</v>
      </c>
      <c r="B1050">
        <v>117</v>
      </c>
      <c r="C1050" t="s">
        <v>1049</v>
      </c>
      <c r="D1050">
        <v>7643</v>
      </c>
      <c r="E1050">
        <v>8282</v>
      </c>
      <c r="F1050">
        <v>10194</v>
      </c>
    </row>
    <row r="1051" spans="1:6">
      <c r="A1051" t="s">
        <v>2095</v>
      </c>
      <c r="B1051">
        <v>117</v>
      </c>
      <c r="C1051" t="s">
        <v>745</v>
      </c>
      <c r="D1051">
        <v>203792</v>
      </c>
      <c r="E1051">
        <v>8282</v>
      </c>
      <c r="F1051">
        <v>10194</v>
      </c>
    </row>
    <row r="1052" spans="1:6">
      <c r="A1052" t="s">
        <v>2096</v>
      </c>
      <c r="B1052">
        <v>117</v>
      </c>
      <c r="C1052" t="s">
        <v>1052</v>
      </c>
      <c r="D1052">
        <v>458532</v>
      </c>
      <c r="E1052">
        <v>8282</v>
      </c>
      <c r="F1052">
        <v>10194</v>
      </c>
    </row>
    <row r="1053" spans="1:6">
      <c r="A1053" t="s">
        <v>2097</v>
      </c>
      <c r="B1053">
        <v>117</v>
      </c>
      <c r="C1053" t="s">
        <v>164</v>
      </c>
      <c r="D1053">
        <v>4081616</v>
      </c>
      <c r="E1053">
        <v>9666</v>
      </c>
      <c r="F1053">
        <v>10194</v>
      </c>
    </row>
    <row r="1054" spans="1:6">
      <c r="A1054" t="s">
        <v>2098</v>
      </c>
      <c r="B1054">
        <v>117</v>
      </c>
      <c r="C1054" t="s">
        <v>651</v>
      </c>
      <c r="D1054">
        <v>2040808</v>
      </c>
      <c r="E1054">
        <v>9666</v>
      </c>
      <c r="F1054">
        <v>10194</v>
      </c>
    </row>
    <row r="1055" spans="1:6">
      <c r="A1055" t="s">
        <v>2099</v>
      </c>
      <c r="B1055">
        <v>118</v>
      </c>
      <c r="C1055" t="s">
        <v>154</v>
      </c>
      <c r="D1055">
        <v>51827</v>
      </c>
      <c r="E1055">
        <v>8386</v>
      </c>
      <c r="F1055">
        <v>10294</v>
      </c>
    </row>
    <row r="1056" spans="1:6">
      <c r="A1056" t="s">
        <v>2100</v>
      </c>
      <c r="B1056">
        <v>118</v>
      </c>
      <c r="C1056" t="s">
        <v>1043</v>
      </c>
      <c r="D1056">
        <v>155481</v>
      </c>
      <c r="E1056">
        <v>8386</v>
      </c>
      <c r="F1056">
        <v>10294</v>
      </c>
    </row>
    <row r="1057" spans="1:6">
      <c r="A1057" t="s">
        <v>2101</v>
      </c>
      <c r="B1057">
        <v>118</v>
      </c>
      <c r="C1057" t="s">
        <v>1045</v>
      </c>
      <c r="D1057">
        <v>93289</v>
      </c>
      <c r="E1057">
        <v>8386</v>
      </c>
      <c r="F1057">
        <v>10294</v>
      </c>
    </row>
    <row r="1058" spans="1:6">
      <c r="A1058" t="s">
        <v>2102</v>
      </c>
      <c r="B1058">
        <v>118</v>
      </c>
      <c r="C1058" t="s">
        <v>1047</v>
      </c>
      <c r="D1058">
        <v>25914</v>
      </c>
      <c r="E1058">
        <v>8386</v>
      </c>
      <c r="F1058">
        <v>10294</v>
      </c>
    </row>
    <row r="1059" spans="1:6">
      <c r="A1059" t="s">
        <v>2103</v>
      </c>
      <c r="B1059">
        <v>118</v>
      </c>
      <c r="C1059" t="s">
        <v>1049</v>
      </c>
      <c r="D1059">
        <v>7775</v>
      </c>
      <c r="E1059">
        <v>8386</v>
      </c>
      <c r="F1059">
        <v>10294</v>
      </c>
    </row>
    <row r="1060" spans="1:6">
      <c r="A1060" t="s">
        <v>2104</v>
      </c>
      <c r="B1060">
        <v>118</v>
      </c>
      <c r="C1060" t="s">
        <v>745</v>
      </c>
      <c r="D1060">
        <v>207308</v>
      </c>
      <c r="E1060">
        <v>8386</v>
      </c>
      <c r="F1060">
        <v>10294</v>
      </c>
    </row>
    <row r="1061" spans="1:6">
      <c r="A1061" t="s">
        <v>2105</v>
      </c>
      <c r="B1061">
        <v>118</v>
      </c>
      <c r="C1061" t="s">
        <v>1052</v>
      </c>
      <c r="D1061">
        <v>466443</v>
      </c>
      <c r="E1061">
        <v>8386</v>
      </c>
      <c r="F1061">
        <v>10294</v>
      </c>
    </row>
    <row r="1062" spans="1:6">
      <c r="A1062" t="s">
        <v>2106</v>
      </c>
      <c r="B1062">
        <v>118</v>
      </c>
      <c r="C1062" t="s">
        <v>164</v>
      </c>
      <c r="D1062">
        <v>4160053</v>
      </c>
      <c r="E1062">
        <v>9782</v>
      </c>
      <c r="F1062">
        <v>10294</v>
      </c>
    </row>
    <row r="1063" spans="1:6">
      <c r="A1063" t="s">
        <v>2107</v>
      </c>
      <c r="B1063">
        <v>118</v>
      </c>
      <c r="C1063" t="s">
        <v>651</v>
      </c>
      <c r="D1063">
        <v>2080026</v>
      </c>
      <c r="E1063">
        <v>9782</v>
      </c>
      <c r="F1063">
        <v>10294</v>
      </c>
    </row>
    <row r="1064" spans="1:6">
      <c r="A1064" t="s">
        <v>2108</v>
      </c>
      <c r="B1064">
        <v>119</v>
      </c>
      <c r="C1064" t="s">
        <v>154</v>
      </c>
      <c r="D1064">
        <v>52715</v>
      </c>
      <c r="E1064">
        <v>8490</v>
      </c>
      <c r="F1064">
        <v>10395</v>
      </c>
    </row>
    <row r="1065" spans="1:6">
      <c r="A1065" t="s">
        <v>2109</v>
      </c>
      <c r="B1065">
        <v>119</v>
      </c>
      <c r="C1065" t="s">
        <v>1043</v>
      </c>
      <c r="D1065">
        <v>158145</v>
      </c>
      <c r="E1065">
        <v>8490</v>
      </c>
      <c r="F1065">
        <v>10395</v>
      </c>
    </row>
    <row r="1066" spans="1:6">
      <c r="A1066" t="s">
        <v>2110</v>
      </c>
      <c r="B1066">
        <v>119</v>
      </c>
      <c r="C1066" t="s">
        <v>1045</v>
      </c>
      <c r="D1066">
        <v>94887</v>
      </c>
      <c r="E1066">
        <v>8490</v>
      </c>
      <c r="F1066">
        <v>10395</v>
      </c>
    </row>
    <row r="1067" spans="1:6">
      <c r="A1067" t="s">
        <v>2111</v>
      </c>
      <c r="B1067">
        <v>119</v>
      </c>
      <c r="C1067" t="s">
        <v>1047</v>
      </c>
      <c r="D1067">
        <v>26358</v>
      </c>
      <c r="E1067">
        <v>8490</v>
      </c>
      <c r="F1067">
        <v>10395</v>
      </c>
    </row>
    <row r="1068" spans="1:6">
      <c r="A1068" t="s">
        <v>2112</v>
      </c>
      <c r="B1068">
        <v>119</v>
      </c>
      <c r="C1068" t="s">
        <v>1049</v>
      </c>
      <c r="D1068">
        <v>7908</v>
      </c>
      <c r="E1068">
        <v>8490</v>
      </c>
      <c r="F1068">
        <v>10395</v>
      </c>
    </row>
    <row r="1069" spans="1:6">
      <c r="A1069" t="s">
        <v>2113</v>
      </c>
      <c r="B1069">
        <v>119</v>
      </c>
      <c r="C1069" t="s">
        <v>745</v>
      </c>
      <c r="D1069">
        <v>210860</v>
      </c>
      <c r="E1069">
        <v>8490</v>
      </c>
      <c r="F1069">
        <v>10395</v>
      </c>
    </row>
    <row r="1070" spans="1:6">
      <c r="A1070" t="s">
        <v>2114</v>
      </c>
      <c r="B1070">
        <v>119</v>
      </c>
      <c r="C1070" t="s">
        <v>1052</v>
      </c>
      <c r="D1070">
        <v>474435</v>
      </c>
      <c r="E1070">
        <v>8490</v>
      </c>
      <c r="F1070">
        <v>10395</v>
      </c>
    </row>
    <row r="1071" spans="1:6">
      <c r="A1071" t="s">
        <v>2115</v>
      </c>
      <c r="B1071">
        <v>119</v>
      </c>
      <c r="C1071" t="s">
        <v>164</v>
      </c>
      <c r="D1071">
        <v>4239524</v>
      </c>
      <c r="E1071">
        <v>9899</v>
      </c>
      <c r="F1071">
        <v>10395</v>
      </c>
    </row>
    <row r="1072" spans="1:6">
      <c r="A1072" t="s">
        <v>2116</v>
      </c>
      <c r="B1072">
        <v>119</v>
      </c>
      <c r="C1072" t="s">
        <v>651</v>
      </c>
      <c r="D1072">
        <v>2119762</v>
      </c>
      <c r="E1072">
        <v>9899</v>
      </c>
      <c r="F1072">
        <v>10395</v>
      </c>
    </row>
    <row r="1073" spans="1:6">
      <c r="A1073" t="s">
        <v>2117</v>
      </c>
      <c r="B1073">
        <v>120</v>
      </c>
      <c r="C1073" t="s">
        <v>154</v>
      </c>
      <c r="D1073">
        <v>53614</v>
      </c>
      <c r="E1073">
        <v>8595</v>
      </c>
      <c r="F1073">
        <v>10496</v>
      </c>
    </row>
    <row r="1074" spans="1:6">
      <c r="A1074" t="s">
        <v>2118</v>
      </c>
      <c r="B1074">
        <v>120</v>
      </c>
      <c r="C1074" t="s">
        <v>1043</v>
      </c>
      <c r="D1074">
        <v>160842</v>
      </c>
      <c r="E1074">
        <v>8595</v>
      </c>
      <c r="F1074">
        <v>10496</v>
      </c>
    </row>
    <row r="1075" spans="1:6">
      <c r="A1075" t="s">
        <v>2119</v>
      </c>
      <c r="B1075">
        <v>120</v>
      </c>
      <c r="C1075" t="s">
        <v>1045</v>
      </c>
      <c r="D1075">
        <v>96506</v>
      </c>
      <c r="E1075">
        <v>8595</v>
      </c>
      <c r="F1075">
        <v>10496</v>
      </c>
    </row>
    <row r="1076" spans="1:6">
      <c r="A1076" t="s">
        <v>2120</v>
      </c>
      <c r="B1076">
        <v>120</v>
      </c>
      <c r="C1076" t="s">
        <v>1047</v>
      </c>
      <c r="D1076">
        <v>26807</v>
      </c>
      <c r="E1076">
        <v>8595</v>
      </c>
      <c r="F1076">
        <v>10496</v>
      </c>
    </row>
    <row r="1077" spans="1:6">
      <c r="A1077" t="s">
        <v>2121</v>
      </c>
      <c r="B1077">
        <v>120</v>
      </c>
      <c r="C1077" t="s">
        <v>1049</v>
      </c>
      <c r="D1077">
        <v>8043</v>
      </c>
      <c r="E1077">
        <v>8595</v>
      </c>
      <c r="F1077">
        <v>10496</v>
      </c>
    </row>
    <row r="1078" spans="1:6">
      <c r="A1078" t="s">
        <v>2122</v>
      </c>
      <c r="B1078">
        <v>120</v>
      </c>
      <c r="C1078" t="s">
        <v>745</v>
      </c>
      <c r="D1078">
        <v>214456</v>
      </c>
      <c r="E1078">
        <v>8595</v>
      </c>
      <c r="F1078">
        <v>10496</v>
      </c>
    </row>
    <row r="1079" spans="1:6">
      <c r="A1079" t="s">
        <v>2123</v>
      </c>
      <c r="B1079">
        <v>120</v>
      </c>
      <c r="C1079" t="s">
        <v>1052</v>
      </c>
      <c r="D1079">
        <v>482526</v>
      </c>
      <c r="E1079">
        <v>8595</v>
      </c>
      <c r="F1079">
        <v>10496</v>
      </c>
    </row>
    <row r="1080" spans="1:6">
      <c r="A1080" t="s">
        <v>2124</v>
      </c>
      <c r="B1080">
        <v>120</v>
      </c>
      <c r="C1080" t="s">
        <v>164</v>
      </c>
      <c r="D1080">
        <v>4320029</v>
      </c>
      <c r="E1080">
        <v>10017</v>
      </c>
      <c r="F1080">
        <v>10496</v>
      </c>
    </row>
    <row r="1081" spans="1:6">
      <c r="A1081" t="s">
        <v>2125</v>
      </c>
      <c r="B1081">
        <v>120</v>
      </c>
      <c r="C1081" t="s">
        <v>651</v>
      </c>
      <c r="D1081">
        <v>2160014</v>
      </c>
      <c r="E1081">
        <v>10017</v>
      </c>
      <c r="F1081">
        <v>10496</v>
      </c>
    </row>
    <row r="1082" spans="1:6">
      <c r="A1082" t="s">
        <v>2126</v>
      </c>
      <c r="B1082">
        <v>121</v>
      </c>
      <c r="C1082" t="s">
        <v>154</v>
      </c>
      <c r="D1082">
        <v>54523</v>
      </c>
      <c r="E1082">
        <v>8700</v>
      </c>
      <c r="F1082">
        <v>10597</v>
      </c>
    </row>
    <row r="1083" spans="1:6">
      <c r="A1083" t="s">
        <v>2127</v>
      </c>
      <c r="B1083">
        <v>121</v>
      </c>
      <c r="C1083" t="s">
        <v>1043</v>
      </c>
      <c r="D1083">
        <v>163569</v>
      </c>
      <c r="E1083">
        <v>8700</v>
      </c>
      <c r="F1083">
        <v>10597</v>
      </c>
    </row>
    <row r="1084" spans="1:6">
      <c r="A1084" t="s">
        <v>2128</v>
      </c>
      <c r="B1084">
        <v>121</v>
      </c>
      <c r="C1084" t="s">
        <v>1045</v>
      </c>
      <c r="D1084">
        <v>98142</v>
      </c>
      <c r="E1084">
        <v>8700</v>
      </c>
      <c r="F1084">
        <v>10597</v>
      </c>
    </row>
    <row r="1085" spans="1:6">
      <c r="A1085" t="s">
        <v>2129</v>
      </c>
      <c r="B1085">
        <v>121</v>
      </c>
      <c r="C1085" t="s">
        <v>1047</v>
      </c>
      <c r="D1085">
        <v>27262</v>
      </c>
      <c r="E1085">
        <v>8700</v>
      </c>
      <c r="F1085">
        <v>10597</v>
      </c>
    </row>
    <row r="1086" spans="1:6">
      <c r="A1086" t="s">
        <v>2130</v>
      </c>
      <c r="B1086">
        <v>121</v>
      </c>
      <c r="C1086" t="s">
        <v>1049</v>
      </c>
      <c r="D1086">
        <v>8179</v>
      </c>
      <c r="E1086">
        <v>8700</v>
      </c>
      <c r="F1086">
        <v>10597</v>
      </c>
    </row>
    <row r="1087" spans="1:6">
      <c r="A1087" t="s">
        <v>2131</v>
      </c>
      <c r="B1087">
        <v>121</v>
      </c>
      <c r="C1087" t="s">
        <v>745</v>
      </c>
      <c r="D1087">
        <v>218092</v>
      </c>
      <c r="E1087">
        <v>8700</v>
      </c>
      <c r="F1087">
        <v>10597</v>
      </c>
    </row>
    <row r="1088" spans="1:6">
      <c r="A1088" t="s">
        <v>2132</v>
      </c>
      <c r="B1088">
        <v>121</v>
      </c>
      <c r="C1088" t="s">
        <v>1052</v>
      </c>
      <c r="D1088">
        <v>490707</v>
      </c>
      <c r="E1088">
        <v>8700</v>
      </c>
      <c r="F1088">
        <v>10597</v>
      </c>
    </row>
    <row r="1089" spans="1:6">
      <c r="A1089" t="s">
        <v>2133</v>
      </c>
      <c r="B1089">
        <v>121</v>
      </c>
      <c r="C1089" t="s">
        <v>164</v>
      </c>
      <c r="D1089">
        <v>4401619</v>
      </c>
      <c r="E1089">
        <v>10135</v>
      </c>
      <c r="F1089">
        <v>10597</v>
      </c>
    </row>
    <row r="1090" spans="1:6">
      <c r="A1090" t="s">
        <v>2134</v>
      </c>
      <c r="B1090">
        <v>121</v>
      </c>
      <c r="C1090" t="s">
        <v>651</v>
      </c>
      <c r="D1090">
        <v>2200809</v>
      </c>
      <c r="E1090">
        <v>10135</v>
      </c>
      <c r="F1090">
        <v>10597</v>
      </c>
    </row>
    <row r="1091" spans="1:6">
      <c r="A1091" t="s">
        <v>2135</v>
      </c>
      <c r="B1091">
        <v>122</v>
      </c>
      <c r="C1091" t="s">
        <v>154</v>
      </c>
      <c r="D1091">
        <v>55442</v>
      </c>
      <c r="E1091">
        <v>8807</v>
      </c>
      <c r="F1091">
        <v>10699</v>
      </c>
    </row>
    <row r="1092" spans="1:6">
      <c r="A1092" t="s">
        <v>2136</v>
      </c>
      <c r="B1092">
        <v>122</v>
      </c>
      <c r="C1092" t="s">
        <v>1043</v>
      </c>
      <c r="D1092">
        <v>166326</v>
      </c>
      <c r="E1092">
        <v>8807</v>
      </c>
      <c r="F1092">
        <v>10699</v>
      </c>
    </row>
    <row r="1093" spans="1:6">
      <c r="A1093" t="s">
        <v>2137</v>
      </c>
      <c r="B1093">
        <v>122</v>
      </c>
      <c r="C1093" t="s">
        <v>1045</v>
      </c>
      <c r="D1093">
        <v>99796</v>
      </c>
      <c r="E1093">
        <v>8807</v>
      </c>
      <c r="F1093">
        <v>10699</v>
      </c>
    </row>
    <row r="1094" spans="1:6">
      <c r="A1094" t="s">
        <v>2138</v>
      </c>
      <c r="B1094">
        <v>122</v>
      </c>
      <c r="C1094" t="s">
        <v>1047</v>
      </c>
      <c r="D1094">
        <v>27721</v>
      </c>
      <c r="E1094">
        <v>8807</v>
      </c>
      <c r="F1094">
        <v>10699</v>
      </c>
    </row>
    <row r="1095" spans="1:6">
      <c r="A1095" t="s">
        <v>2139</v>
      </c>
      <c r="B1095">
        <v>122</v>
      </c>
      <c r="C1095" t="s">
        <v>1049</v>
      </c>
      <c r="D1095">
        <v>8317</v>
      </c>
      <c r="E1095">
        <v>8807</v>
      </c>
      <c r="F1095">
        <v>10699</v>
      </c>
    </row>
    <row r="1096" spans="1:6">
      <c r="A1096" t="s">
        <v>2140</v>
      </c>
      <c r="B1096">
        <v>122</v>
      </c>
      <c r="C1096" t="s">
        <v>745</v>
      </c>
      <c r="D1096">
        <v>221768</v>
      </c>
      <c r="E1096">
        <v>8807</v>
      </c>
      <c r="F1096">
        <v>10699</v>
      </c>
    </row>
    <row r="1097" spans="1:6">
      <c r="A1097" t="s">
        <v>2141</v>
      </c>
      <c r="B1097">
        <v>122</v>
      </c>
      <c r="C1097" t="s">
        <v>1052</v>
      </c>
      <c r="D1097">
        <v>498978</v>
      </c>
      <c r="E1097">
        <v>8807</v>
      </c>
      <c r="F1097">
        <v>10699</v>
      </c>
    </row>
    <row r="1098" spans="1:6">
      <c r="A1098" t="s">
        <v>2142</v>
      </c>
      <c r="B1098">
        <v>122</v>
      </c>
      <c r="C1098" t="s">
        <v>164</v>
      </c>
      <c r="D1098">
        <v>4484242</v>
      </c>
      <c r="E1098">
        <v>10254</v>
      </c>
      <c r="F1098">
        <v>10699</v>
      </c>
    </row>
    <row r="1099" spans="1:6">
      <c r="A1099" t="s">
        <v>2143</v>
      </c>
      <c r="B1099">
        <v>122</v>
      </c>
      <c r="C1099" t="s">
        <v>651</v>
      </c>
      <c r="D1099">
        <v>2242121</v>
      </c>
      <c r="E1099">
        <v>10254</v>
      </c>
      <c r="F1099">
        <v>10699</v>
      </c>
    </row>
    <row r="1100" spans="1:6">
      <c r="A1100" t="s">
        <v>2144</v>
      </c>
      <c r="B1100">
        <v>123</v>
      </c>
      <c r="C1100" t="s">
        <v>154</v>
      </c>
      <c r="D1100">
        <v>56372</v>
      </c>
      <c r="E1100">
        <v>8914</v>
      </c>
      <c r="F1100">
        <v>10800</v>
      </c>
    </row>
    <row r="1101" spans="1:6">
      <c r="A1101" t="s">
        <v>2145</v>
      </c>
      <c r="B1101">
        <v>123</v>
      </c>
      <c r="C1101" t="s">
        <v>1043</v>
      </c>
      <c r="D1101">
        <v>169116</v>
      </c>
      <c r="E1101">
        <v>8914</v>
      </c>
      <c r="F1101">
        <v>10800</v>
      </c>
    </row>
    <row r="1102" spans="1:6">
      <c r="A1102" t="s">
        <v>2146</v>
      </c>
      <c r="B1102">
        <v>123</v>
      </c>
      <c r="C1102" t="s">
        <v>1045</v>
      </c>
      <c r="D1102">
        <v>101470</v>
      </c>
      <c r="E1102">
        <v>8914</v>
      </c>
      <c r="F1102">
        <v>10800</v>
      </c>
    </row>
    <row r="1103" spans="1:6">
      <c r="A1103" t="s">
        <v>2147</v>
      </c>
      <c r="B1103">
        <v>123</v>
      </c>
      <c r="C1103" t="s">
        <v>1047</v>
      </c>
      <c r="D1103">
        <v>28186</v>
      </c>
      <c r="E1103">
        <v>8914</v>
      </c>
      <c r="F1103">
        <v>10800</v>
      </c>
    </row>
    <row r="1104" spans="1:6">
      <c r="A1104" t="s">
        <v>2148</v>
      </c>
      <c r="B1104">
        <v>123</v>
      </c>
      <c r="C1104" t="s">
        <v>1049</v>
      </c>
      <c r="D1104">
        <v>8456</v>
      </c>
      <c r="E1104">
        <v>8914</v>
      </c>
      <c r="F1104">
        <v>10800</v>
      </c>
    </row>
    <row r="1105" spans="1:6">
      <c r="A1105" t="s">
        <v>2149</v>
      </c>
      <c r="B1105">
        <v>123</v>
      </c>
      <c r="C1105" t="s">
        <v>745</v>
      </c>
      <c r="D1105">
        <v>225488</v>
      </c>
      <c r="E1105">
        <v>8914</v>
      </c>
      <c r="F1105">
        <v>10800</v>
      </c>
    </row>
    <row r="1106" spans="1:6">
      <c r="A1106" t="s">
        <v>2150</v>
      </c>
      <c r="B1106">
        <v>123</v>
      </c>
      <c r="C1106" t="s">
        <v>1052</v>
      </c>
      <c r="D1106">
        <v>507348</v>
      </c>
      <c r="E1106">
        <v>8914</v>
      </c>
      <c r="F1106">
        <v>10800</v>
      </c>
    </row>
    <row r="1107" spans="1:6">
      <c r="A1107" t="s">
        <v>2151</v>
      </c>
      <c r="B1107">
        <v>123</v>
      </c>
      <c r="C1107" t="s">
        <v>164</v>
      </c>
      <c r="D1107">
        <v>4567949</v>
      </c>
      <c r="E1107">
        <v>10374</v>
      </c>
      <c r="F1107">
        <v>10800</v>
      </c>
    </row>
    <row r="1108" spans="1:6">
      <c r="A1108" t="s">
        <v>2152</v>
      </c>
      <c r="B1108">
        <v>123</v>
      </c>
      <c r="C1108" t="s">
        <v>651</v>
      </c>
      <c r="D1108">
        <v>2283975</v>
      </c>
      <c r="E1108">
        <v>10374</v>
      </c>
      <c r="F1108">
        <v>10800</v>
      </c>
    </row>
    <row r="1109" spans="1:6">
      <c r="A1109" t="s">
        <v>2153</v>
      </c>
      <c r="B1109">
        <v>124</v>
      </c>
      <c r="C1109" t="s">
        <v>154</v>
      </c>
      <c r="D1109">
        <v>57313</v>
      </c>
      <c r="E1109">
        <v>9021</v>
      </c>
      <c r="F1109">
        <v>10902</v>
      </c>
    </row>
    <row r="1110" spans="1:6">
      <c r="A1110" t="s">
        <v>2154</v>
      </c>
      <c r="B1110">
        <v>124</v>
      </c>
      <c r="C1110" t="s">
        <v>1043</v>
      </c>
      <c r="D1110">
        <v>171939</v>
      </c>
      <c r="E1110">
        <v>9021</v>
      </c>
      <c r="F1110">
        <v>10902</v>
      </c>
    </row>
    <row r="1111" spans="1:6">
      <c r="A1111" t="s">
        <v>2155</v>
      </c>
      <c r="B1111">
        <v>124</v>
      </c>
      <c r="C1111" t="s">
        <v>1045</v>
      </c>
      <c r="D1111">
        <v>103164</v>
      </c>
      <c r="E1111">
        <v>9021</v>
      </c>
      <c r="F1111">
        <v>10902</v>
      </c>
    </row>
    <row r="1112" spans="1:6">
      <c r="A1112" t="s">
        <v>2156</v>
      </c>
      <c r="B1112">
        <v>124</v>
      </c>
      <c r="C1112" t="s">
        <v>1047</v>
      </c>
      <c r="D1112">
        <v>28657</v>
      </c>
      <c r="E1112">
        <v>9021</v>
      </c>
      <c r="F1112">
        <v>10902</v>
      </c>
    </row>
    <row r="1113" spans="1:6">
      <c r="A1113" t="s">
        <v>2157</v>
      </c>
      <c r="B1113">
        <v>124</v>
      </c>
      <c r="C1113" t="s">
        <v>1049</v>
      </c>
      <c r="D1113">
        <v>8597</v>
      </c>
      <c r="E1113">
        <v>9021</v>
      </c>
      <c r="F1113">
        <v>10902</v>
      </c>
    </row>
    <row r="1114" spans="1:6">
      <c r="A1114" t="s">
        <v>2158</v>
      </c>
      <c r="B1114">
        <v>124</v>
      </c>
      <c r="C1114" t="s">
        <v>745</v>
      </c>
      <c r="D1114">
        <v>229252</v>
      </c>
      <c r="E1114">
        <v>9021</v>
      </c>
      <c r="F1114">
        <v>10902</v>
      </c>
    </row>
    <row r="1115" spans="1:6">
      <c r="A1115" t="s">
        <v>2159</v>
      </c>
      <c r="B1115">
        <v>124</v>
      </c>
      <c r="C1115" t="s">
        <v>1052</v>
      </c>
      <c r="D1115">
        <v>515817</v>
      </c>
      <c r="E1115">
        <v>9021</v>
      </c>
      <c r="F1115">
        <v>10902</v>
      </c>
    </row>
    <row r="1116" spans="1:6">
      <c r="A1116" t="s">
        <v>2160</v>
      </c>
      <c r="B1116">
        <v>124</v>
      </c>
      <c r="C1116" t="s">
        <v>164</v>
      </c>
      <c r="D1116">
        <v>4652740</v>
      </c>
      <c r="E1116">
        <v>10494</v>
      </c>
      <c r="F1116">
        <v>10902</v>
      </c>
    </row>
    <row r="1117" spans="1:6">
      <c r="A1117" t="s">
        <v>2161</v>
      </c>
      <c r="B1117">
        <v>124</v>
      </c>
      <c r="C1117" t="s">
        <v>651</v>
      </c>
      <c r="D1117">
        <v>2326370</v>
      </c>
      <c r="E1117">
        <v>10494</v>
      </c>
      <c r="F1117">
        <v>10902</v>
      </c>
    </row>
    <row r="1118" spans="1:6">
      <c r="A1118" t="s">
        <v>2162</v>
      </c>
      <c r="B1118">
        <v>125</v>
      </c>
      <c r="C1118" t="s">
        <v>154</v>
      </c>
      <c r="D1118">
        <v>58264</v>
      </c>
      <c r="E1118">
        <v>9130</v>
      </c>
      <c r="F1118">
        <v>11005</v>
      </c>
    </row>
    <row r="1119" spans="1:6">
      <c r="A1119" t="s">
        <v>2163</v>
      </c>
      <c r="B1119">
        <v>125</v>
      </c>
      <c r="C1119" t="s">
        <v>1043</v>
      </c>
      <c r="D1119">
        <v>174792</v>
      </c>
      <c r="E1119">
        <v>9130</v>
      </c>
      <c r="F1119">
        <v>11005</v>
      </c>
    </row>
    <row r="1120" spans="1:6">
      <c r="A1120" t="s">
        <v>2164</v>
      </c>
      <c r="B1120">
        <v>125</v>
      </c>
      <c r="C1120" t="s">
        <v>1045</v>
      </c>
      <c r="D1120">
        <v>104876</v>
      </c>
      <c r="E1120">
        <v>9130</v>
      </c>
      <c r="F1120">
        <v>11005</v>
      </c>
    </row>
    <row r="1121" spans="1:6">
      <c r="A1121" t="s">
        <v>2165</v>
      </c>
      <c r="B1121">
        <v>125</v>
      </c>
      <c r="C1121" t="s">
        <v>1047</v>
      </c>
      <c r="D1121">
        <v>29132</v>
      </c>
      <c r="E1121">
        <v>9130</v>
      </c>
      <c r="F1121">
        <v>11005</v>
      </c>
    </row>
    <row r="1122" spans="1:6">
      <c r="A1122" t="s">
        <v>2166</v>
      </c>
      <c r="B1122">
        <v>125</v>
      </c>
      <c r="C1122" t="s">
        <v>1049</v>
      </c>
      <c r="D1122">
        <v>8740</v>
      </c>
      <c r="E1122">
        <v>9130</v>
      </c>
      <c r="F1122">
        <v>11005</v>
      </c>
    </row>
    <row r="1123" spans="1:6">
      <c r="A1123" t="s">
        <v>2167</v>
      </c>
      <c r="B1123">
        <v>125</v>
      </c>
      <c r="C1123" t="s">
        <v>745</v>
      </c>
      <c r="D1123">
        <v>233056</v>
      </c>
      <c r="E1123">
        <v>9130</v>
      </c>
      <c r="F1123">
        <v>11005</v>
      </c>
    </row>
    <row r="1124" spans="1:6">
      <c r="A1124" t="s">
        <v>2168</v>
      </c>
      <c r="B1124">
        <v>125</v>
      </c>
      <c r="C1124" t="s">
        <v>1052</v>
      </c>
      <c r="D1124">
        <v>524376</v>
      </c>
      <c r="E1124">
        <v>9130</v>
      </c>
      <c r="F1124">
        <v>11005</v>
      </c>
    </row>
    <row r="1125" spans="1:6">
      <c r="A1125" t="s">
        <v>2169</v>
      </c>
      <c r="B1125">
        <v>125</v>
      </c>
      <c r="C1125" t="s">
        <v>164</v>
      </c>
      <c r="D1125">
        <v>4738615</v>
      </c>
      <c r="E1125">
        <v>10615</v>
      </c>
      <c r="F1125">
        <v>11005</v>
      </c>
    </row>
    <row r="1126" spans="1:6">
      <c r="A1126" t="s">
        <v>2170</v>
      </c>
      <c r="B1126">
        <v>125</v>
      </c>
      <c r="C1126" t="s">
        <v>651</v>
      </c>
      <c r="D1126">
        <v>2369307</v>
      </c>
      <c r="E1126">
        <v>10615</v>
      </c>
      <c r="F1126">
        <v>11005</v>
      </c>
    </row>
    <row r="1127" spans="1:6">
      <c r="A1127" t="s">
        <v>2171</v>
      </c>
      <c r="B1127">
        <v>126</v>
      </c>
      <c r="C1127" t="s">
        <v>154</v>
      </c>
      <c r="D1127">
        <v>59227</v>
      </c>
      <c r="E1127">
        <v>9239</v>
      </c>
      <c r="F1127">
        <v>11107</v>
      </c>
    </row>
    <row r="1128" spans="1:6">
      <c r="A1128" t="s">
        <v>2172</v>
      </c>
      <c r="B1128">
        <v>126</v>
      </c>
      <c r="C1128" t="s">
        <v>1043</v>
      </c>
      <c r="D1128">
        <v>177681</v>
      </c>
      <c r="E1128">
        <v>9239</v>
      </c>
      <c r="F1128">
        <v>11107</v>
      </c>
    </row>
    <row r="1129" spans="1:6">
      <c r="A1129" t="s">
        <v>2173</v>
      </c>
      <c r="B1129">
        <v>126</v>
      </c>
      <c r="C1129" t="s">
        <v>1045</v>
      </c>
      <c r="D1129">
        <v>106609</v>
      </c>
      <c r="E1129">
        <v>9239</v>
      </c>
      <c r="F1129">
        <v>11107</v>
      </c>
    </row>
    <row r="1130" spans="1:6">
      <c r="A1130" t="s">
        <v>2174</v>
      </c>
      <c r="B1130">
        <v>126</v>
      </c>
      <c r="C1130" t="s">
        <v>1047</v>
      </c>
      <c r="D1130">
        <v>29614</v>
      </c>
      <c r="E1130">
        <v>9239</v>
      </c>
      <c r="F1130">
        <v>11107</v>
      </c>
    </row>
    <row r="1131" spans="1:6">
      <c r="A1131" t="s">
        <v>2175</v>
      </c>
      <c r="B1131">
        <v>126</v>
      </c>
      <c r="C1131" t="s">
        <v>1049</v>
      </c>
      <c r="D1131">
        <v>8885</v>
      </c>
      <c r="E1131">
        <v>9239</v>
      </c>
      <c r="F1131">
        <v>11107</v>
      </c>
    </row>
    <row r="1132" spans="1:6">
      <c r="A1132" t="s">
        <v>2176</v>
      </c>
      <c r="B1132">
        <v>126</v>
      </c>
      <c r="C1132" t="s">
        <v>745</v>
      </c>
      <c r="D1132">
        <v>236908</v>
      </c>
      <c r="E1132">
        <v>9239</v>
      </c>
      <c r="F1132">
        <v>11107</v>
      </c>
    </row>
    <row r="1133" spans="1:6">
      <c r="A1133" t="s">
        <v>2177</v>
      </c>
      <c r="B1133">
        <v>126</v>
      </c>
      <c r="C1133" t="s">
        <v>1052</v>
      </c>
      <c r="D1133">
        <v>533043</v>
      </c>
      <c r="E1133">
        <v>9239</v>
      </c>
      <c r="F1133">
        <v>11107</v>
      </c>
    </row>
    <row r="1134" spans="1:6">
      <c r="A1134" t="s">
        <v>2178</v>
      </c>
      <c r="B1134">
        <v>126</v>
      </c>
      <c r="C1134" t="s">
        <v>164</v>
      </c>
      <c r="D1134">
        <v>4825572</v>
      </c>
      <c r="E1134">
        <v>10737</v>
      </c>
      <c r="F1134">
        <v>11107</v>
      </c>
    </row>
    <row r="1135" spans="1:6">
      <c r="A1135" t="s">
        <v>2179</v>
      </c>
      <c r="B1135">
        <v>126</v>
      </c>
      <c r="C1135" t="s">
        <v>651</v>
      </c>
      <c r="D1135">
        <v>2412786</v>
      </c>
      <c r="E1135">
        <v>10737</v>
      </c>
      <c r="F1135">
        <v>11107</v>
      </c>
    </row>
    <row r="1136" spans="1:6">
      <c r="A1136" t="s">
        <v>2180</v>
      </c>
      <c r="B1136">
        <v>127</v>
      </c>
      <c r="C1136" t="s">
        <v>154</v>
      </c>
      <c r="D1136">
        <v>60200</v>
      </c>
      <c r="E1136">
        <v>9349</v>
      </c>
      <c r="F1136">
        <v>11210</v>
      </c>
    </row>
    <row r="1137" spans="1:6">
      <c r="A1137" t="s">
        <v>2181</v>
      </c>
      <c r="B1137">
        <v>127</v>
      </c>
      <c r="C1137" t="s">
        <v>1043</v>
      </c>
      <c r="D1137">
        <v>180600</v>
      </c>
      <c r="E1137">
        <v>9349</v>
      </c>
      <c r="F1137">
        <v>11210</v>
      </c>
    </row>
    <row r="1138" spans="1:6">
      <c r="A1138" t="s">
        <v>2182</v>
      </c>
      <c r="B1138">
        <v>127</v>
      </c>
      <c r="C1138" t="s">
        <v>1045</v>
      </c>
      <c r="D1138">
        <v>108360</v>
      </c>
      <c r="E1138">
        <v>9349</v>
      </c>
      <c r="F1138">
        <v>11210</v>
      </c>
    </row>
    <row r="1139" spans="1:6">
      <c r="A1139" t="s">
        <v>2183</v>
      </c>
      <c r="B1139">
        <v>127</v>
      </c>
      <c r="C1139" t="s">
        <v>1047</v>
      </c>
      <c r="D1139">
        <v>30100</v>
      </c>
      <c r="E1139">
        <v>9349</v>
      </c>
      <c r="F1139">
        <v>11210</v>
      </c>
    </row>
    <row r="1140" spans="1:6">
      <c r="A1140" t="s">
        <v>2184</v>
      </c>
      <c r="B1140">
        <v>127</v>
      </c>
      <c r="C1140" t="s">
        <v>1049</v>
      </c>
      <c r="D1140">
        <v>9030</v>
      </c>
      <c r="E1140">
        <v>9349</v>
      </c>
      <c r="F1140">
        <v>11210</v>
      </c>
    </row>
    <row r="1141" spans="1:6">
      <c r="A1141" t="s">
        <v>2185</v>
      </c>
      <c r="B1141">
        <v>127</v>
      </c>
      <c r="C1141" t="s">
        <v>745</v>
      </c>
      <c r="D1141">
        <v>240800</v>
      </c>
      <c r="E1141">
        <v>9349</v>
      </c>
      <c r="F1141">
        <v>11210</v>
      </c>
    </row>
    <row r="1142" spans="1:6">
      <c r="A1142" t="s">
        <v>2186</v>
      </c>
      <c r="B1142">
        <v>127</v>
      </c>
      <c r="C1142" t="s">
        <v>1052</v>
      </c>
      <c r="D1142">
        <v>541800</v>
      </c>
      <c r="E1142">
        <v>9349</v>
      </c>
      <c r="F1142">
        <v>11210</v>
      </c>
    </row>
    <row r="1143" spans="1:6">
      <c r="A1143" t="s">
        <v>2187</v>
      </c>
      <c r="B1143">
        <v>127</v>
      </c>
      <c r="C1143" t="s">
        <v>164</v>
      </c>
      <c r="D1143">
        <v>4913613</v>
      </c>
      <c r="E1143">
        <v>10860</v>
      </c>
      <c r="F1143">
        <v>11210</v>
      </c>
    </row>
    <row r="1144" spans="1:6">
      <c r="A1144" t="s">
        <v>2188</v>
      </c>
      <c r="B1144">
        <v>127</v>
      </c>
      <c r="C1144" t="s">
        <v>651</v>
      </c>
      <c r="D1144">
        <v>2456806</v>
      </c>
      <c r="E1144">
        <v>10860</v>
      </c>
      <c r="F1144">
        <v>11210</v>
      </c>
    </row>
    <row r="1145" spans="1:6">
      <c r="A1145" t="s">
        <v>2189</v>
      </c>
      <c r="B1145">
        <v>128</v>
      </c>
      <c r="C1145" t="s">
        <v>154</v>
      </c>
      <c r="D1145">
        <v>61184</v>
      </c>
      <c r="E1145">
        <v>9459</v>
      </c>
      <c r="F1145">
        <v>11312</v>
      </c>
    </row>
    <row r="1146" spans="1:6">
      <c r="A1146" t="s">
        <v>2190</v>
      </c>
      <c r="B1146">
        <v>128</v>
      </c>
      <c r="C1146" t="s">
        <v>1043</v>
      </c>
      <c r="D1146">
        <v>183552</v>
      </c>
      <c r="E1146">
        <v>9459</v>
      </c>
      <c r="F1146">
        <v>11312</v>
      </c>
    </row>
    <row r="1147" spans="1:6">
      <c r="A1147" t="s">
        <v>2191</v>
      </c>
      <c r="B1147">
        <v>128</v>
      </c>
      <c r="C1147" t="s">
        <v>1045</v>
      </c>
      <c r="D1147">
        <v>110132</v>
      </c>
      <c r="E1147">
        <v>9459</v>
      </c>
      <c r="F1147">
        <v>11312</v>
      </c>
    </row>
    <row r="1148" spans="1:6">
      <c r="A1148" t="s">
        <v>2192</v>
      </c>
      <c r="B1148">
        <v>128</v>
      </c>
      <c r="C1148" t="s">
        <v>1047</v>
      </c>
      <c r="D1148">
        <v>30592</v>
      </c>
      <c r="E1148">
        <v>9459</v>
      </c>
      <c r="F1148">
        <v>11312</v>
      </c>
    </row>
    <row r="1149" spans="1:6">
      <c r="A1149" t="s">
        <v>2193</v>
      </c>
      <c r="B1149">
        <v>128</v>
      </c>
      <c r="C1149" t="s">
        <v>1049</v>
      </c>
      <c r="D1149">
        <v>9178</v>
      </c>
      <c r="E1149">
        <v>9459</v>
      </c>
      <c r="F1149">
        <v>11312</v>
      </c>
    </row>
    <row r="1150" spans="1:6">
      <c r="A1150" t="s">
        <v>2194</v>
      </c>
      <c r="B1150">
        <v>128</v>
      </c>
      <c r="C1150" t="s">
        <v>745</v>
      </c>
      <c r="D1150">
        <v>244736</v>
      </c>
      <c r="E1150">
        <v>9459</v>
      </c>
      <c r="F1150">
        <v>11312</v>
      </c>
    </row>
    <row r="1151" spans="1:6">
      <c r="A1151" t="s">
        <v>2195</v>
      </c>
      <c r="B1151">
        <v>128</v>
      </c>
      <c r="C1151" t="s">
        <v>1052</v>
      </c>
      <c r="D1151">
        <v>550656</v>
      </c>
      <c r="E1151">
        <v>9459</v>
      </c>
      <c r="F1151">
        <v>11312</v>
      </c>
    </row>
    <row r="1152" spans="1:6">
      <c r="A1152" t="s">
        <v>2196</v>
      </c>
      <c r="B1152">
        <v>128</v>
      </c>
      <c r="C1152" t="s">
        <v>164</v>
      </c>
      <c r="D1152">
        <v>5002787</v>
      </c>
      <c r="E1152">
        <v>10983</v>
      </c>
      <c r="F1152">
        <v>11312</v>
      </c>
    </row>
    <row r="1153" spans="1:6">
      <c r="A1153" t="s">
        <v>2197</v>
      </c>
      <c r="B1153">
        <v>128</v>
      </c>
      <c r="C1153" t="s">
        <v>651</v>
      </c>
      <c r="D1153">
        <v>2501393</v>
      </c>
      <c r="E1153">
        <v>10983</v>
      </c>
      <c r="F1153">
        <v>11312</v>
      </c>
    </row>
    <row r="1154" spans="1:6">
      <c r="A1154" t="s">
        <v>2198</v>
      </c>
      <c r="B1154">
        <v>129</v>
      </c>
      <c r="C1154" t="s">
        <v>154</v>
      </c>
      <c r="D1154">
        <v>62179</v>
      </c>
      <c r="E1154">
        <v>9570</v>
      </c>
      <c r="F1154">
        <v>11415</v>
      </c>
    </row>
    <row r="1155" spans="1:6">
      <c r="A1155" t="s">
        <v>2199</v>
      </c>
      <c r="B1155">
        <v>129</v>
      </c>
      <c r="C1155" t="s">
        <v>1043</v>
      </c>
      <c r="D1155">
        <v>186537</v>
      </c>
      <c r="E1155">
        <v>9570</v>
      </c>
      <c r="F1155">
        <v>11415</v>
      </c>
    </row>
    <row r="1156" spans="1:6">
      <c r="A1156" t="s">
        <v>2200</v>
      </c>
      <c r="B1156">
        <v>129</v>
      </c>
      <c r="C1156" t="s">
        <v>1045</v>
      </c>
      <c r="D1156">
        <v>111923</v>
      </c>
      <c r="E1156">
        <v>9570</v>
      </c>
      <c r="F1156">
        <v>11415</v>
      </c>
    </row>
    <row r="1157" spans="1:6">
      <c r="A1157" t="s">
        <v>2201</v>
      </c>
      <c r="B1157">
        <v>129</v>
      </c>
      <c r="C1157" t="s">
        <v>1047</v>
      </c>
      <c r="D1157">
        <v>31090</v>
      </c>
      <c r="E1157">
        <v>9570</v>
      </c>
      <c r="F1157">
        <v>11415</v>
      </c>
    </row>
    <row r="1158" spans="1:6">
      <c r="A1158" t="s">
        <v>2202</v>
      </c>
      <c r="B1158">
        <v>129</v>
      </c>
      <c r="C1158" t="s">
        <v>1049</v>
      </c>
      <c r="D1158">
        <v>9327</v>
      </c>
      <c r="E1158">
        <v>9570</v>
      </c>
      <c r="F1158">
        <v>11415</v>
      </c>
    </row>
    <row r="1159" spans="1:6">
      <c r="A1159" t="s">
        <v>2203</v>
      </c>
      <c r="B1159">
        <v>129</v>
      </c>
      <c r="C1159" t="s">
        <v>745</v>
      </c>
      <c r="D1159">
        <v>248716</v>
      </c>
      <c r="E1159">
        <v>9570</v>
      </c>
      <c r="F1159">
        <v>11415</v>
      </c>
    </row>
    <row r="1160" spans="1:6">
      <c r="A1160" t="s">
        <v>2204</v>
      </c>
      <c r="B1160">
        <v>129</v>
      </c>
      <c r="C1160" t="s">
        <v>1052</v>
      </c>
      <c r="D1160">
        <v>559611</v>
      </c>
      <c r="E1160">
        <v>9570</v>
      </c>
      <c r="F1160">
        <v>11415</v>
      </c>
    </row>
    <row r="1161" spans="1:6">
      <c r="A1161" t="s">
        <v>2205</v>
      </c>
      <c r="B1161">
        <v>129</v>
      </c>
      <c r="C1161" t="s">
        <v>164</v>
      </c>
      <c r="D1161">
        <v>5093094</v>
      </c>
      <c r="E1161">
        <v>11107</v>
      </c>
      <c r="F1161">
        <v>11415</v>
      </c>
    </row>
    <row r="1162" spans="1:6">
      <c r="A1162" t="s">
        <v>2206</v>
      </c>
      <c r="B1162">
        <v>129</v>
      </c>
      <c r="C1162" t="s">
        <v>651</v>
      </c>
      <c r="D1162">
        <v>2546547</v>
      </c>
      <c r="E1162">
        <v>11107</v>
      </c>
      <c r="F1162">
        <v>11415</v>
      </c>
    </row>
    <row r="1163" spans="1:6">
      <c r="A1163" t="s">
        <v>2207</v>
      </c>
      <c r="B1163">
        <v>130</v>
      </c>
      <c r="C1163" t="s">
        <v>154</v>
      </c>
      <c r="D1163">
        <v>63185</v>
      </c>
      <c r="E1163">
        <v>9682</v>
      </c>
      <c r="F1163">
        <v>11519</v>
      </c>
    </row>
    <row r="1164" spans="1:6">
      <c r="A1164" t="s">
        <v>2208</v>
      </c>
      <c r="B1164">
        <v>130</v>
      </c>
      <c r="C1164" t="s">
        <v>1043</v>
      </c>
      <c r="D1164">
        <v>189555</v>
      </c>
      <c r="E1164">
        <v>9682</v>
      </c>
      <c r="F1164">
        <v>11519</v>
      </c>
    </row>
    <row r="1165" spans="1:6">
      <c r="A1165" t="s">
        <v>2209</v>
      </c>
      <c r="B1165">
        <v>130</v>
      </c>
      <c r="C1165" t="s">
        <v>1045</v>
      </c>
      <c r="D1165">
        <v>113733</v>
      </c>
      <c r="E1165">
        <v>9682</v>
      </c>
      <c r="F1165">
        <v>11519</v>
      </c>
    </row>
    <row r="1166" spans="1:6">
      <c r="A1166" t="s">
        <v>2210</v>
      </c>
      <c r="B1166">
        <v>130</v>
      </c>
      <c r="C1166" t="s">
        <v>1047</v>
      </c>
      <c r="D1166">
        <v>31593</v>
      </c>
      <c r="E1166">
        <v>9682</v>
      </c>
      <c r="F1166">
        <v>11519</v>
      </c>
    </row>
    <row r="1167" spans="1:6">
      <c r="A1167" t="s">
        <v>2211</v>
      </c>
      <c r="B1167">
        <v>130</v>
      </c>
      <c r="C1167" t="s">
        <v>1049</v>
      </c>
      <c r="D1167">
        <v>9478</v>
      </c>
      <c r="E1167">
        <v>9682</v>
      </c>
      <c r="F1167">
        <v>11519</v>
      </c>
    </row>
    <row r="1168" spans="1:6">
      <c r="A1168" t="s">
        <v>2212</v>
      </c>
      <c r="B1168">
        <v>130</v>
      </c>
      <c r="C1168" t="s">
        <v>745</v>
      </c>
      <c r="D1168">
        <v>252740</v>
      </c>
      <c r="E1168">
        <v>9682</v>
      </c>
      <c r="F1168">
        <v>11519</v>
      </c>
    </row>
    <row r="1169" spans="1:6">
      <c r="A1169" t="s">
        <v>2213</v>
      </c>
      <c r="B1169">
        <v>130</v>
      </c>
      <c r="C1169" t="s">
        <v>1052</v>
      </c>
      <c r="D1169">
        <v>568665</v>
      </c>
      <c r="E1169">
        <v>9682</v>
      </c>
      <c r="F1169">
        <v>11519</v>
      </c>
    </row>
    <row r="1170" spans="1:6">
      <c r="A1170" t="s">
        <v>2214</v>
      </c>
      <c r="B1170">
        <v>130</v>
      </c>
      <c r="C1170" t="s">
        <v>164</v>
      </c>
      <c r="D1170">
        <v>5184535</v>
      </c>
      <c r="E1170">
        <v>11231</v>
      </c>
      <c r="F1170">
        <v>11519</v>
      </c>
    </row>
    <row r="1171" spans="1:6">
      <c r="A1171" t="s">
        <v>2215</v>
      </c>
      <c r="B1171">
        <v>130</v>
      </c>
      <c r="C1171" t="s">
        <v>651</v>
      </c>
      <c r="D1171">
        <v>2592268</v>
      </c>
      <c r="E1171">
        <v>11231</v>
      </c>
      <c r="F1171">
        <v>11519</v>
      </c>
    </row>
    <row r="1172" spans="1:6">
      <c r="A1172" t="s">
        <v>2216</v>
      </c>
      <c r="B1172">
        <v>131</v>
      </c>
      <c r="C1172" t="s">
        <v>154</v>
      </c>
      <c r="D1172">
        <v>64202</v>
      </c>
      <c r="E1172">
        <v>9795</v>
      </c>
      <c r="F1172">
        <v>11622</v>
      </c>
    </row>
    <row r="1173" spans="1:6">
      <c r="A1173" t="s">
        <v>2217</v>
      </c>
      <c r="B1173">
        <v>131</v>
      </c>
      <c r="C1173" t="s">
        <v>1043</v>
      </c>
      <c r="D1173">
        <v>192606</v>
      </c>
      <c r="E1173">
        <v>9795</v>
      </c>
      <c r="F1173">
        <v>11622</v>
      </c>
    </row>
    <row r="1174" spans="1:6">
      <c r="A1174" t="s">
        <v>2218</v>
      </c>
      <c r="B1174">
        <v>131</v>
      </c>
      <c r="C1174" t="s">
        <v>1045</v>
      </c>
      <c r="D1174">
        <v>115564</v>
      </c>
      <c r="E1174">
        <v>9795</v>
      </c>
      <c r="F1174">
        <v>11622</v>
      </c>
    </row>
    <row r="1175" spans="1:6">
      <c r="A1175" t="s">
        <v>2219</v>
      </c>
      <c r="B1175">
        <v>131</v>
      </c>
      <c r="C1175" t="s">
        <v>1047</v>
      </c>
      <c r="D1175">
        <v>32101</v>
      </c>
      <c r="E1175">
        <v>9795</v>
      </c>
      <c r="F1175">
        <v>11622</v>
      </c>
    </row>
    <row r="1176" spans="1:6">
      <c r="A1176" t="s">
        <v>2220</v>
      </c>
      <c r="B1176">
        <v>131</v>
      </c>
      <c r="C1176" t="s">
        <v>1049</v>
      </c>
      <c r="D1176">
        <v>9631</v>
      </c>
      <c r="E1176">
        <v>9795</v>
      </c>
      <c r="F1176">
        <v>11622</v>
      </c>
    </row>
    <row r="1177" spans="1:6">
      <c r="A1177" t="s">
        <v>2221</v>
      </c>
      <c r="B1177">
        <v>131</v>
      </c>
      <c r="C1177" t="s">
        <v>745</v>
      </c>
      <c r="D1177">
        <v>256808</v>
      </c>
      <c r="E1177">
        <v>9795</v>
      </c>
      <c r="F1177">
        <v>11622</v>
      </c>
    </row>
    <row r="1178" spans="1:6">
      <c r="A1178" t="s">
        <v>2222</v>
      </c>
      <c r="B1178">
        <v>131</v>
      </c>
      <c r="C1178" t="s">
        <v>1052</v>
      </c>
      <c r="D1178">
        <v>577818</v>
      </c>
      <c r="E1178">
        <v>9795</v>
      </c>
      <c r="F1178">
        <v>11622</v>
      </c>
    </row>
    <row r="1179" spans="1:6">
      <c r="A1179" t="s">
        <v>2223</v>
      </c>
      <c r="B1179">
        <v>131</v>
      </c>
      <c r="C1179" t="s">
        <v>164</v>
      </c>
      <c r="D1179">
        <v>5277108</v>
      </c>
      <c r="E1179">
        <v>11357</v>
      </c>
      <c r="F1179">
        <v>11622</v>
      </c>
    </row>
    <row r="1180" spans="1:6">
      <c r="A1180" t="s">
        <v>2224</v>
      </c>
      <c r="B1180">
        <v>131</v>
      </c>
      <c r="C1180" t="s">
        <v>651</v>
      </c>
      <c r="D1180">
        <v>2638554</v>
      </c>
      <c r="E1180">
        <v>11357</v>
      </c>
      <c r="F1180">
        <v>11622</v>
      </c>
    </row>
    <row r="1181" spans="1:6">
      <c r="A1181" t="s">
        <v>2225</v>
      </c>
      <c r="B1181">
        <v>132</v>
      </c>
      <c r="C1181" t="s">
        <v>154</v>
      </c>
      <c r="D1181">
        <v>65231</v>
      </c>
      <c r="E1181">
        <v>9908</v>
      </c>
      <c r="F1181">
        <v>11726</v>
      </c>
    </row>
    <row r="1182" spans="1:6">
      <c r="A1182" t="s">
        <v>2226</v>
      </c>
      <c r="B1182">
        <v>132</v>
      </c>
      <c r="C1182" t="s">
        <v>1043</v>
      </c>
      <c r="D1182">
        <v>195693</v>
      </c>
      <c r="E1182">
        <v>9908</v>
      </c>
      <c r="F1182">
        <v>11726</v>
      </c>
    </row>
    <row r="1183" spans="1:6">
      <c r="A1183" t="s">
        <v>2227</v>
      </c>
      <c r="B1183">
        <v>132</v>
      </c>
      <c r="C1183" t="s">
        <v>1045</v>
      </c>
      <c r="D1183">
        <v>117416</v>
      </c>
      <c r="E1183">
        <v>9908</v>
      </c>
      <c r="F1183">
        <v>11726</v>
      </c>
    </row>
    <row r="1184" spans="1:6">
      <c r="A1184" t="s">
        <v>2228</v>
      </c>
      <c r="B1184">
        <v>132</v>
      </c>
      <c r="C1184" t="s">
        <v>1047</v>
      </c>
      <c r="D1184">
        <v>32616</v>
      </c>
      <c r="E1184">
        <v>9908</v>
      </c>
      <c r="F1184">
        <v>11726</v>
      </c>
    </row>
    <row r="1185" spans="1:6">
      <c r="A1185" t="s">
        <v>2229</v>
      </c>
      <c r="B1185">
        <v>132</v>
      </c>
      <c r="C1185" t="s">
        <v>1049</v>
      </c>
      <c r="D1185">
        <v>9785</v>
      </c>
      <c r="E1185">
        <v>9908</v>
      </c>
      <c r="F1185">
        <v>11726</v>
      </c>
    </row>
    <row r="1186" spans="1:6">
      <c r="A1186" t="s">
        <v>2230</v>
      </c>
      <c r="B1186">
        <v>132</v>
      </c>
      <c r="C1186" t="s">
        <v>745</v>
      </c>
      <c r="D1186">
        <v>260924</v>
      </c>
      <c r="E1186">
        <v>9908</v>
      </c>
      <c r="F1186">
        <v>11726</v>
      </c>
    </row>
    <row r="1187" spans="1:6">
      <c r="A1187" t="s">
        <v>2231</v>
      </c>
      <c r="B1187">
        <v>132</v>
      </c>
      <c r="C1187" t="s">
        <v>1052</v>
      </c>
      <c r="D1187">
        <v>587079</v>
      </c>
      <c r="E1187">
        <v>9908</v>
      </c>
      <c r="F1187">
        <v>11726</v>
      </c>
    </row>
    <row r="1188" spans="1:6">
      <c r="A1188" t="s">
        <v>2232</v>
      </c>
      <c r="B1188">
        <v>132</v>
      </c>
      <c r="C1188" t="s">
        <v>164</v>
      </c>
      <c r="D1188">
        <v>5370814</v>
      </c>
      <c r="E1188">
        <v>11483</v>
      </c>
      <c r="F1188">
        <v>11726</v>
      </c>
    </row>
    <row r="1189" spans="1:6">
      <c r="A1189" t="s">
        <v>2233</v>
      </c>
      <c r="B1189">
        <v>132</v>
      </c>
      <c r="C1189" t="s">
        <v>651</v>
      </c>
      <c r="D1189">
        <v>2685407</v>
      </c>
      <c r="E1189">
        <v>11483</v>
      </c>
      <c r="F1189">
        <v>11726</v>
      </c>
    </row>
    <row r="1190" spans="1:6">
      <c r="A1190" t="s">
        <v>2234</v>
      </c>
      <c r="B1190">
        <v>133</v>
      </c>
      <c r="C1190" t="s">
        <v>154</v>
      </c>
      <c r="D1190">
        <v>66271</v>
      </c>
      <c r="E1190">
        <v>10022</v>
      </c>
      <c r="F1190">
        <v>11830</v>
      </c>
    </row>
    <row r="1191" spans="1:6">
      <c r="A1191" t="s">
        <v>2235</v>
      </c>
      <c r="B1191">
        <v>133</v>
      </c>
      <c r="C1191" t="s">
        <v>1043</v>
      </c>
      <c r="D1191">
        <v>198813</v>
      </c>
      <c r="E1191">
        <v>10022</v>
      </c>
      <c r="F1191">
        <v>11830</v>
      </c>
    </row>
    <row r="1192" spans="1:6">
      <c r="A1192" t="s">
        <v>2236</v>
      </c>
      <c r="B1192">
        <v>133</v>
      </c>
      <c r="C1192" t="s">
        <v>1045</v>
      </c>
      <c r="D1192">
        <v>119288</v>
      </c>
      <c r="E1192">
        <v>10022</v>
      </c>
      <c r="F1192">
        <v>11830</v>
      </c>
    </row>
    <row r="1193" spans="1:6">
      <c r="A1193" t="s">
        <v>2237</v>
      </c>
      <c r="B1193">
        <v>133</v>
      </c>
      <c r="C1193" t="s">
        <v>1047</v>
      </c>
      <c r="D1193">
        <v>33136</v>
      </c>
      <c r="E1193">
        <v>10022</v>
      </c>
      <c r="F1193">
        <v>11830</v>
      </c>
    </row>
    <row r="1194" spans="1:6">
      <c r="A1194" t="s">
        <v>2238</v>
      </c>
      <c r="B1194">
        <v>133</v>
      </c>
      <c r="C1194" t="s">
        <v>1049</v>
      </c>
      <c r="D1194">
        <v>9941</v>
      </c>
      <c r="E1194">
        <v>10022</v>
      </c>
      <c r="F1194">
        <v>11830</v>
      </c>
    </row>
    <row r="1195" spans="1:6">
      <c r="A1195" t="s">
        <v>2239</v>
      </c>
      <c r="B1195">
        <v>133</v>
      </c>
      <c r="C1195" t="s">
        <v>745</v>
      </c>
      <c r="D1195">
        <v>265084</v>
      </c>
      <c r="E1195">
        <v>10022</v>
      </c>
      <c r="F1195">
        <v>11830</v>
      </c>
    </row>
    <row r="1196" spans="1:6">
      <c r="A1196" t="s">
        <v>2240</v>
      </c>
      <c r="B1196">
        <v>133</v>
      </c>
      <c r="C1196" t="s">
        <v>1052</v>
      </c>
      <c r="D1196">
        <v>596439</v>
      </c>
      <c r="E1196">
        <v>10022</v>
      </c>
      <c r="F1196">
        <v>11830</v>
      </c>
    </row>
    <row r="1197" spans="1:6">
      <c r="A1197" t="s">
        <v>2241</v>
      </c>
      <c r="B1197">
        <v>133</v>
      </c>
      <c r="C1197" t="s">
        <v>164</v>
      </c>
      <c r="D1197">
        <v>5465703</v>
      </c>
      <c r="E1197">
        <v>11610</v>
      </c>
      <c r="F1197">
        <v>11830</v>
      </c>
    </row>
    <row r="1198" spans="1:6">
      <c r="A1198" t="s">
        <v>2242</v>
      </c>
      <c r="B1198">
        <v>133</v>
      </c>
      <c r="C1198" t="s">
        <v>651</v>
      </c>
      <c r="D1198">
        <v>2732852</v>
      </c>
      <c r="E1198">
        <v>11610</v>
      </c>
      <c r="F1198">
        <v>11830</v>
      </c>
    </row>
    <row r="1199" spans="1:6">
      <c r="A1199" t="s">
        <v>2243</v>
      </c>
      <c r="B1199">
        <v>134</v>
      </c>
      <c r="C1199" t="s">
        <v>154</v>
      </c>
      <c r="D1199">
        <v>67323</v>
      </c>
      <c r="E1199">
        <v>10136</v>
      </c>
      <c r="F1199">
        <v>11934</v>
      </c>
    </row>
    <row r="1200" spans="1:6">
      <c r="A1200" t="s">
        <v>2244</v>
      </c>
      <c r="B1200">
        <v>134</v>
      </c>
      <c r="C1200" t="s">
        <v>1043</v>
      </c>
      <c r="D1200">
        <v>201969</v>
      </c>
      <c r="E1200">
        <v>10136</v>
      </c>
      <c r="F1200">
        <v>11934</v>
      </c>
    </row>
    <row r="1201" spans="1:6">
      <c r="A1201" t="s">
        <v>2245</v>
      </c>
      <c r="B1201">
        <v>134</v>
      </c>
      <c r="C1201" t="s">
        <v>1045</v>
      </c>
      <c r="D1201">
        <v>121182</v>
      </c>
      <c r="E1201">
        <v>10136</v>
      </c>
      <c r="F1201">
        <v>11934</v>
      </c>
    </row>
    <row r="1202" spans="1:6">
      <c r="A1202" t="s">
        <v>2246</v>
      </c>
      <c r="B1202">
        <v>134</v>
      </c>
      <c r="C1202" t="s">
        <v>1047</v>
      </c>
      <c r="D1202">
        <v>33662</v>
      </c>
      <c r="E1202">
        <v>10136</v>
      </c>
      <c r="F1202">
        <v>11934</v>
      </c>
    </row>
    <row r="1203" spans="1:6">
      <c r="A1203" t="s">
        <v>2247</v>
      </c>
      <c r="B1203">
        <v>134</v>
      </c>
      <c r="C1203" t="s">
        <v>1049</v>
      </c>
      <c r="D1203">
        <v>10099</v>
      </c>
      <c r="E1203">
        <v>10136</v>
      </c>
      <c r="F1203">
        <v>11934</v>
      </c>
    </row>
    <row r="1204" spans="1:6">
      <c r="A1204" t="s">
        <v>2248</v>
      </c>
      <c r="B1204">
        <v>134</v>
      </c>
      <c r="C1204" t="s">
        <v>745</v>
      </c>
      <c r="D1204">
        <v>269292</v>
      </c>
      <c r="E1204">
        <v>10136</v>
      </c>
      <c r="F1204">
        <v>11934</v>
      </c>
    </row>
    <row r="1205" spans="1:6">
      <c r="A1205" t="s">
        <v>2249</v>
      </c>
      <c r="B1205">
        <v>134</v>
      </c>
      <c r="C1205" t="s">
        <v>1052</v>
      </c>
      <c r="D1205">
        <v>605907</v>
      </c>
      <c r="E1205">
        <v>10136</v>
      </c>
      <c r="F1205">
        <v>11934</v>
      </c>
    </row>
    <row r="1206" spans="1:6">
      <c r="A1206" t="s">
        <v>2250</v>
      </c>
      <c r="B1206">
        <v>134</v>
      </c>
      <c r="C1206" t="s">
        <v>164</v>
      </c>
      <c r="D1206">
        <v>5561724</v>
      </c>
      <c r="E1206">
        <v>11737</v>
      </c>
      <c r="F1206">
        <v>11934</v>
      </c>
    </row>
    <row r="1207" spans="1:6">
      <c r="A1207" t="s">
        <v>2251</v>
      </c>
      <c r="B1207">
        <v>134</v>
      </c>
      <c r="C1207" t="s">
        <v>651</v>
      </c>
      <c r="D1207">
        <v>2780862</v>
      </c>
      <c r="E1207">
        <v>11737</v>
      </c>
      <c r="F1207">
        <v>11934</v>
      </c>
    </row>
    <row r="1208" spans="1:6">
      <c r="A1208" t="s">
        <v>2252</v>
      </c>
      <c r="B1208">
        <v>135</v>
      </c>
      <c r="C1208" t="s">
        <v>154</v>
      </c>
      <c r="D1208">
        <v>68386</v>
      </c>
      <c r="E1208">
        <v>10252</v>
      </c>
      <c r="F1208">
        <v>12038</v>
      </c>
    </row>
    <row r="1209" spans="1:6">
      <c r="A1209" t="s">
        <v>2253</v>
      </c>
      <c r="B1209">
        <v>135</v>
      </c>
      <c r="C1209" t="s">
        <v>1043</v>
      </c>
      <c r="D1209">
        <v>205158</v>
      </c>
      <c r="E1209">
        <v>10252</v>
      </c>
      <c r="F1209">
        <v>12038</v>
      </c>
    </row>
    <row r="1210" spans="1:6">
      <c r="A1210" t="s">
        <v>2254</v>
      </c>
      <c r="B1210">
        <v>135</v>
      </c>
      <c r="C1210" t="s">
        <v>1045</v>
      </c>
      <c r="D1210">
        <v>123095</v>
      </c>
      <c r="E1210">
        <v>10252</v>
      </c>
      <c r="F1210">
        <v>12038</v>
      </c>
    </row>
    <row r="1211" spans="1:6">
      <c r="A1211" t="s">
        <v>2255</v>
      </c>
      <c r="B1211">
        <v>135</v>
      </c>
      <c r="C1211" t="s">
        <v>1047</v>
      </c>
      <c r="D1211">
        <v>34193</v>
      </c>
      <c r="E1211">
        <v>10252</v>
      </c>
      <c r="F1211">
        <v>12038</v>
      </c>
    </row>
    <row r="1212" spans="1:6">
      <c r="A1212" t="s">
        <v>2256</v>
      </c>
      <c r="B1212">
        <v>135</v>
      </c>
      <c r="C1212" t="s">
        <v>1049</v>
      </c>
      <c r="D1212">
        <v>10258</v>
      </c>
      <c r="E1212">
        <v>10252</v>
      </c>
      <c r="F1212">
        <v>12038</v>
      </c>
    </row>
    <row r="1213" spans="1:6">
      <c r="A1213" t="s">
        <v>2257</v>
      </c>
      <c r="B1213">
        <v>135</v>
      </c>
      <c r="C1213" t="s">
        <v>745</v>
      </c>
      <c r="D1213">
        <v>273544</v>
      </c>
      <c r="E1213">
        <v>10252</v>
      </c>
      <c r="F1213">
        <v>12038</v>
      </c>
    </row>
    <row r="1214" spans="1:6">
      <c r="A1214" t="s">
        <v>2258</v>
      </c>
      <c r="B1214">
        <v>135</v>
      </c>
      <c r="C1214" t="s">
        <v>1052</v>
      </c>
      <c r="D1214">
        <v>615474</v>
      </c>
      <c r="E1214">
        <v>10252</v>
      </c>
      <c r="F1214">
        <v>12038</v>
      </c>
    </row>
    <row r="1215" spans="1:6">
      <c r="A1215" t="s">
        <v>2259</v>
      </c>
      <c r="B1215">
        <v>135</v>
      </c>
      <c r="C1215" t="s">
        <v>164</v>
      </c>
      <c r="D1215">
        <v>5658979</v>
      </c>
      <c r="E1215">
        <v>11866</v>
      </c>
      <c r="F1215">
        <v>12038</v>
      </c>
    </row>
    <row r="1216" spans="1:6">
      <c r="A1216" t="s">
        <v>2260</v>
      </c>
      <c r="B1216">
        <v>135</v>
      </c>
      <c r="C1216" t="s">
        <v>651</v>
      </c>
      <c r="D1216">
        <v>2829490</v>
      </c>
      <c r="E1216">
        <v>11866</v>
      </c>
      <c r="F1216">
        <v>12038</v>
      </c>
    </row>
    <row r="1217" spans="1:6">
      <c r="A1217" t="s">
        <v>2261</v>
      </c>
      <c r="B1217">
        <v>136</v>
      </c>
      <c r="C1217" t="s">
        <v>154</v>
      </c>
      <c r="D1217">
        <v>69461</v>
      </c>
      <c r="E1217">
        <v>10368</v>
      </c>
      <c r="F1217">
        <v>12143</v>
      </c>
    </row>
    <row r="1218" spans="1:6">
      <c r="A1218" t="s">
        <v>2262</v>
      </c>
      <c r="B1218">
        <v>136</v>
      </c>
      <c r="C1218" t="s">
        <v>1043</v>
      </c>
      <c r="D1218">
        <v>208383</v>
      </c>
      <c r="E1218">
        <v>10368</v>
      </c>
      <c r="F1218">
        <v>12143</v>
      </c>
    </row>
    <row r="1219" spans="1:6">
      <c r="A1219" t="s">
        <v>2263</v>
      </c>
      <c r="B1219">
        <v>136</v>
      </c>
      <c r="C1219" t="s">
        <v>1045</v>
      </c>
      <c r="D1219">
        <v>125030</v>
      </c>
      <c r="E1219">
        <v>10368</v>
      </c>
      <c r="F1219">
        <v>12143</v>
      </c>
    </row>
    <row r="1220" spans="1:6">
      <c r="A1220" t="s">
        <v>2264</v>
      </c>
      <c r="B1220">
        <v>136</v>
      </c>
      <c r="C1220" t="s">
        <v>1047</v>
      </c>
      <c r="D1220">
        <v>34731</v>
      </c>
      <c r="E1220">
        <v>10368</v>
      </c>
      <c r="F1220">
        <v>12143</v>
      </c>
    </row>
    <row r="1221" spans="1:6">
      <c r="A1221" t="s">
        <v>2265</v>
      </c>
      <c r="B1221">
        <v>136</v>
      </c>
      <c r="C1221" t="s">
        <v>1049</v>
      </c>
      <c r="D1221">
        <v>10420</v>
      </c>
      <c r="E1221">
        <v>10368</v>
      </c>
      <c r="F1221">
        <v>12143</v>
      </c>
    </row>
    <row r="1222" spans="1:6">
      <c r="A1222" t="s">
        <v>2266</v>
      </c>
      <c r="B1222">
        <v>136</v>
      </c>
      <c r="C1222" t="s">
        <v>745</v>
      </c>
      <c r="D1222">
        <v>277844</v>
      </c>
      <c r="E1222">
        <v>10368</v>
      </c>
      <c r="F1222">
        <v>12143</v>
      </c>
    </row>
    <row r="1223" spans="1:6">
      <c r="A1223" t="s">
        <v>2267</v>
      </c>
      <c r="B1223">
        <v>136</v>
      </c>
      <c r="C1223" t="s">
        <v>1052</v>
      </c>
      <c r="D1223">
        <v>625149</v>
      </c>
      <c r="E1223">
        <v>10368</v>
      </c>
      <c r="F1223">
        <v>12143</v>
      </c>
    </row>
    <row r="1224" spans="1:6">
      <c r="A1224" t="s">
        <v>2268</v>
      </c>
      <c r="B1224">
        <v>136</v>
      </c>
      <c r="C1224" t="s">
        <v>164</v>
      </c>
      <c r="D1224">
        <v>5757365</v>
      </c>
      <c r="E1224">
        <v>11995</v>
      </c>
      <c r="F1224">
        <v>12143</v>
      </c>
    </row>
    <row r="1225" spans="1:6">
      <c r="A1225" t="s">
        <v>2269</v>
      </c>
      <c r="B1225">
        <v>136</v>
      </c>
      <c r="C1225" t="s">
        <v>651</v>
      </c>
      <c r="D1225">
        <v>2878683</v>
      </c>
      <c r="E1225">
        <v>11995</v>
      </c>
      <c r="F1225">
        <v>12143</v>
      </c>
    </row>
    <row r="1226" spans="1:6">
      <c r="A1226" t="s">
        <v>2270</v>
      </c>
      <c r="B1226">
        <v>137</v>
      </c>
      <c r="C1226" t="s">
        <v>154</v>
      </c>
      <c r="D1226">
        <v>70547</v>
      </c>
      <c r="E1226">
        <v>10485</v>
      </c>
      <c r="F1226">
        <v>12248</v>
      </c>
    </row>
    <row r="1227" spans="1:6">
      <c r="A1227" t="s">
        <v>2271</v>
      </c>
      <c r="B1227">
        <v>137</v>
      </c>
      <c r="C1227" t="s">
        <v>1043</v>
      </c>
      <c r="D1227">
        <v>211641</v>
      </c>
      <c r="E1227">
        <v>10485</v>
      </c>
      <c r="F1227">
        <v>12248</v>
      </c>
    </row>
    <row r="1228" spans="1:6">
      <c r="A1228" t="s">
        <v>2272</v>
      </c>
      <c r="B1228">
        <v>137</v>
      </c>
      <c r="C1228" t="s">
        <v>1045</v>
      </c>
      <c r="D1228">
        <v>126985</v>
      </c>
      <c r="E1228">
        <v>10485</v>
      </c>
      <c r="F1228">
        <v>12248</v>
      </c>
    </row>
    <row r="1229" spans="1:6">
      <c r="A1229" t="s">
        <v>2273</v>
      </c>
      <c r="B1229">
        <v>137</v>
      </c>
      <c r="C1229" t="s">
        <v>1047</v>
      </c>
      <c r="D1229">
        <v>35274</v>
      </c>
      <c r="E1229">
        <v>10485</v>
      </c>
      <c r="F1229">
        <v>12248</v>
      </c>
    </row>
    <row r="1230" spans="1:6">
      <c r="A1230" t="s">
        <v>2274</v>
      </c>
      <c r="B1230">
        <v>137</v>
      </c>
      <c r="C1230" t="s">
        <v>1049</v>
      </c>
      <c r="D1230">
        <v>10583</v>
      </c>
      <c r="E1230">
        <v>10485</v>
      </c>
      <c r="F1230">
        <v>12248</v>
      </c>
    </row>
    <row r="1231" spans="1:6">
      <c r="A1231" t="s">
        <v>2275</v>
      </c>
      <c r="B1231">
        <v>137</v>
      </c>
      <c r="C1231" t="s">
        <v>745</v>
      </c>
      <c r="D1231">
        <v>282188</v>
      </c>
      <c r="E1231">
        <v>10485</v>
      </c>
      <c r="F1231">
        <v>12248</v>
      </c>
    </row>
    <row r="1232" spans="1:6">
      <c r="A1232" t="s">
        <v>2276</v>
      </c>
      <c r="B1232">
        <v>137</v>
      </c>
      <c r="C1232" t="s">
        <v>1052</v>
      </c>
      <c r="D1232">
        <v>634923</v>
      </c>
      <c r="E1232">
        <v>10485</v>
      </c>
      <c r="F1232">
        <v>12248</v>
      </c>
    </row>
    <row r="1233" spans="1:6">
      <c r="A1233" t="s">
        <v>2277</v>
      </c>
      <c r="B1233">
        <v>137</v>
      </c>
      <c r="C1233" t="s">
        <v>164</v>
      </c>
      <c r="D1233">
        <v>5856934</v>
      </c>
      <c r="E1233">
        <v>12125</v>
      </c>
      <c r="F1233">
        <v>12248</v>
      </c>
    </row>
    <row r="1234" spans="1:6">
      <c r="A1234" t="s">
        <v>2278</v>
      </c>
      <c r="B1234">
        <v>137</v>
      </c>
      <c r="C1234" t="s">
        <v>651</v>
      </c>
      <c r="D1234">
        <v>2928467</v>
      </c>
      <c r="E1234">
        <v>12125</v>
      </c>
      <c r="F1234">
        <v>12248</v>
      </c>
    </row>
    <row r="1235" spans="1:6">
      <c r="A1235" t="s">
        <v>2279</v>
      </c>
      <c r="B1235">
        <v>138</v>
      </c>
      <c r="C1235" t="s">
        <v>154</v>
      </c>
      <c r="D1235">
        <v>71646</v>
      </c>
      <c r="E1235">
        <v>10603</v>
      </c>
      <c r="F1235">
        <v>12353</v>
      </c>
    </row>
    <row r="1236" spans="1:6">
      <c r="A1236" t="s">
        <v>2280</v>
      </c>
      <c r="B1236">
        <v>138</v>
      </c>
      <c r="C1236" t="s">
        <v>1043</v>
      </c>
      <c r="D1236">
        <v>214938</v>
      </c>
      <c r="E1236">
        <v>10603</v>
      </c>
      <c r="F1236">
        <v>12353</v>
      </c>
    </row>
    <row r="1237" spans="1:6">
      <c r="A1237" t="s">
        <v>2281</v>
      </c>
      <c r="B1237">
        <v>138</v>
      </c>
      <c r="C1237" t="s">
        <v>1045</v>
      </c>
      <c r="D1237">
        <v>128963</v>
      </c>
      <c r="E1237">
        <v>10603</v>
      </c>
      <c r="F1237">
        <v>12353</v>
      </c>
    </row>
    <row r="1238" spans="1:6">
      <c r="A1238" t="s">
        <v>2282</v>
      </c>
      <c r="B1238">
        <v>138</v>
      </c>
      <c r="C1238" t="s">
        <v>1047</v>
      </c>
      <c r="D1238">
        <v>35823</v>
      </c>
      <c r="E1238">
        <v>10603</v>
      </c>
      <c r="F1238">
        <v>12353</v>
      </c>
    </row>
    <row r="1239" spans="1:6">
      <c r="A1239" t="s">
        <v>2283</v>
      </c>
      <c r="B1239">
        <v>138</v>
      </c>
      <c r="C1239" t="s">
        <v>1049</v>
      </c>
      <c r="D1239">
        <v>10747</v>
      </c>
      <c r="E1239">
        <v>10603</v>
      </c>
      <c r="F1239">
        <v>12353</v>
      </c>
    </row>
    <row r="1240" spans="1:6">
      <c r="A1240" t="s">
        <v>2284</v>
      </c>
      <c r="B1240">
        <v>138</v>
      </c>
      <c r="C1240" t="s">
        <v>745</v>
      </c>
      <c r="D1240">
        <v>286584</v>
      </c>
      <c r="E1240">
        <v>10603</v>
      </c>
      <c r="F1240">
        <v>12353</v>
      </c>
    </row>
    <row r="1241" spans="1:6">
      <c r="A1241" t="s">
        <v>2285</v>
      </c>
      <c r="B1241">
        <v>138</v>
      </c>
      <c r="C1241" t="s">
        <v>1052</v>
      </c>
      <c r="D1241">
        <v>644814</v>
      </c>
      <c r="E1241">
        <v>10603</v>
      </c>
      <c r="F1241">
        <v>12353</v>
      </c>
    </row>
    <row r="1242" spans="1:6">
      <c r="A1242" t="s">
        <v>2286</v>
      </c>
      <c r="B1242">
        <v>138</v>
      </c>
      <c r="C1242" t="s">
        <v>164</v>
      </c>
      <c r="D1242">
        <v>5957735</v>
      </c>
      <c r="E1242">
        <v>12255</v>
      </c>
      <c r="F1242">
        <v>12353</v>
      </c>
    </row>
    <row r="1243" spans="1:6">
      <c r="A1243" t="s">
        <v>2287</v>
      </c>
      <c r="B1243">
        <v>138</v>
      </c>
      <c r="C1243" t="s">
        <v>651</v>
      </c>
      <c r="D1243">
        <v>2978868</v>
      </c>
      <c r="E1243">
        <v>12255</v>
      </c>
      <c r="F1243">
        <v>12353</v>
      </c>
    </row>
    <row r="1244" spans="1:6">
      <c r="A1244" t="s">
        <v>2288</v>
      </c>
      <c r="B1244">
        <v>139</v>
      </c>
      <c r="C1244" t="s">
        <v>154</v>
      </c>
      <c r="D1244">
        <v>72756</v>
      </c>
      <c r="E1244">
        <v>10722</v>
      </c>
      <c r="F1244">
        <v>12458</v>
      </c>
    </row>
    <row r="1245" spans="1:6">
      <c r="A1245" t="s">
        <v>2289</v>
      </c>
      <c r="B1245">
        <v>139</v>
      </c>
      <c r="C1245" t="s">
        <v>1043</v>
      </c>
      <c r="D1245">
        <v>218268</v>
      </c>
      <c r="E1245">
        <v>10722</v>
      </c>
      <c r="F1245">
        <v>12458</v>
      </c>
    </row>
    <row r="1246" spans="1:6">
      <c r="A1246" t="s">
        <v>2290</v>
      </c>
      <c r="B1246">
        <v>139</v>
      </c>
      <c r="C1246" t="s">
        <v>1045</v>
      </c>
      <c r="D1246">
        <v>130961</v>
      </c>
      <c r="E1246">
        <v>10722</v>
      </c>
      <c r="F1246">
        <v>12458</v>
      </c>
    </row>
    <row r="1247" spans="1:6">
      <c r="A1247" t="s">
        <v>2291</v>
      </c>
      <c r="B1247">
        <v>139</v>
      </c>
      <c r="C1247" t="s">
        <v>1047</v>
      </c>
      <c r="D1247">
        <v>36378</v>
      </c>
      <c r="E1247">
        <v>10722</v>
      </c>
      <c r="F1247">
        <v>12458</v>
      </c>
    </row>
    <row r="1248" spans="1:6">
      <c r="A1248" t="s">
        <v>2292</v>
      </c>
      <c r="B1248">
        <v>139</v>
      </c>
      <c r="C1248" t="s">
        <v>1049</v>
      </c>
      <c r="D1248">
        <v>10914</v>
      </c>
      <c r="E1248">
        <v>10722</v>
      </c>
      <c r="F1248">
        <v>12458</v>
      </c>
    </row>
    <row r="1249" spans="1:6">
      <c r="A1249" t="s">
        <v>2293</v>
      </c>
      <c r="B1249">
        <v>139</v>
      </c>
      <c r="C1249" t="s">
        <v>745</v>
      </c>
      <c r="D1249">
        <v>291024</v>
      </c>
      <c r="E1249">
        <v>10722</v>
      </c>
      <c r="F1249">
        <v>12458</v>
      </c>
    </row>
    <row r="1250" spans="1:6">
      <c r="A1250" t="s">
        <v>2294</v>
      </c>
      <c r="B1250">
        <v>139</v>
      </c>
      <c r="C1250" t="s">
        <v>1052</v>
      </c>
      <c r="D1250">
        <v>654804</v>
      </c>
      <c r="E1250">
        <v>10722</v>
      </c>
      <c r="F1250">
        <v>12458</v>
      </c>
    </row>
    <row r="1251" spans="1:6">
      <c r="A1251" t="s">
        <v>2295</v>
      </c>
      <c r="B1251">
        <v>139</v>
      </c>
      <c r="C1251" t="s">
        <v>164</v>
      </c>
      <c r="D1251">
        <v>6059718</v>
      </c>
      <c r="E1251">
        <v>12387</v>
      </c>
      <c r="F1251">
        <v>12458</v>
      </c>
    </row>
    <row r="1252" spans="1:6">
      <c r="A1252" t="s">
        <v>2296</v>
      </c>
      <c r="B1252">
        <v>139</v>
      </c>
      <c r="C1252" t="s">
        <v>651</v>
      </c>
      <c r="D1252">
        <v>3029859</v>
      </c>
      <c r="E1252">
        <v>12387</v>
      </c>
      <c r="F1252">
        <v>12458</v>
      </c>
    </row>
    <row r="1253" spans="1:6">
      <c r="A1253" t="s">
        <v>2297</v>
      </c>
      <c r="B1253">
        <v>140</v>
      </c>
      <c r="C1253" t="s">
        <v>154</v>
      </c>
      <c r="D1253">
        <v>73878</v>
      </c>
      <c r="E1253">
        <v>10841</v>
      </c>
      <c r="F1253">
        <v>12564</v>
      </c>
    </row>
    <row r="1254" spans="1:6">
      <c r="A1254" t="s">
        <v>2298</v>
      </c>
      <c r="B1254">
        <v>140</v>
      </c>
      <c r="C1254" t="s">
        <v>1043</v>
      </c>
      <c r="D1254">
        <v>221634</v>
      </c>
      <c r="E1254">
        <v>10841</v>
      </c>
      <c r="F1254">
        <v>12564</v>
      </c>
    </row>
    <row r="1255" spans="1:6">
      <c r="A1255" t="s">
        <v>2299</v>
      </c>
      <c r="B1255">
        <v>140</v>
      </c>
      <c r="C1255" t="s">
        <v>1045</v>
      </c>
      <c r="D1255">
        <v>132981</v>
      </c>
      <c r="E1255">
        <v>10841</v>
      </c>
      <c r="F1255">
        <v>12564</v>
      </c>
    </row>
    <row r="1256" spans="1:6">
      <c r="A1256" t="s">
        <v>2300</v>
      </c>
      <c r="B1256">
        <v>140</v>
      </c>
      <c r="C1256" t="s">
        <v>1047</v>
      </c>
      <c r="D1256">
        <v>36939</v>
      </c>
      <c r="E1256">
        <v>10841</v>
      </c>
      <c r="F1256">
        <v>12564</v>
      </c>
    </row>
    <row r="1257" spans="1:6">
      <c r="A1257" t="s">
        <v>2301</v>
      </c>
      <c r="B1257">
        <v>140</v>
      </c>
      <c r="C1257" t="s">
        <v>1049</v>
      </c>
      <c r="D1257">
        <v>11082</v>
      </c>
      <c r="E1257">
        <v>10841</v>
      </c>
      <c r="F1257">
        <v>12564</v>
      </c>
    </row>
    <row r="1258" spans="1:6">
      <c r="A1258" t="s">
        <v>2302</v>
      </c>
      <c r="B1258">
        <v>140</v>
      </c>
      <c r="C1258" t="s">
        <v>745</v>
      </c>
      <c r="D1258">
        <v>295512</v>
      </c>
      <c r="E1258">
        <v>10841</v>
      </c>
      <c r="F1258">
        <v>12564</v>
      </c>
    </row>
    <row r="1259" spans="1:6">
      <c r="A1259" t="s">
        <v>2303</v>
      </c>
      <c r="B1259">
        <v>140</v>
      </c>
      <c r="C1259" t="s">
        <v>1052</v>
      </c>
      <c r="D1259">
        <v>664902</v>
      </c>
      <c r="E1259">
        <v>10841</v>
      </c>
      <c r="F1259">
        <v>12564</v>
      </c>
    </row>
    <row r="1260" spans="1:6">
      <c r="A1260" t="s">
        <v>2304</v>
      </c>
      <c r="B1260">
        <v>140</v>
      </c>
      <c r="C1260" t="s">
        <v>164</v>
      </c>
      <c r="D1260">
        <v>6162934</v>
      </c>
      <c r="E1260">
        <v>12519</v>
      </c>
      <c r="F1260">
        <v>12564</v>
      </c>
    </row>
    <row r="1261" spans="1:6">
      <c r="A1261" t="s">
        <v>2305</v>
      </c>
      <c r="B1261">
        <v>140</v>
      </c>
      <c r="C1261" t="s">
        <v>651</v>
      </c>
      <c r="D1261">
        <v>3081467</v>
      </c>
      <c r="E1261">
        <v>12519</v>
      </c>
      <c r="F1261">
        <v>12564</v>
      </c>
    </row>
    <row r="1262" spans="1:6">
      <c r="A1262" t="s">
        <v>2306</v>
      </c>
      <c r="B1262">
        <v>141</v>
      </c>
      <c r="C1262" t="s">
        <v>154</v>
      </c>
      <c r="D1262">
        <v>75012</v>
      </c>
      <c r="E1262">
        <v>10961</v>
      </c>
      <c r="F1262">
        <v>12670</v>
      </c>
    </row>
    <row r="1263" spans="1:6">
      <c r="A1263" t="s">
        <v>2307</v>
      </c>
      <c r="B1263">
        <v>141</v>
      </c>
      <c r="C1263" t="s">
        <v>1043</v>
      </c>
      <c r="D1263">
        <v>225036</v>
      </c>
      <c r="E1263">
        <v>10961</v>
      </c>
      <c r="F1263">
        <v>12670</v>
      </c>
    </row>
    <row r="1264" spans="1:6">
      <c r="A1264" t="s">
        <v>2308</v>
      </c>
      <c r="B1264">
        <v>141</v>
      </c>
      <c r="C1264" t="s">
        <v>1045</v>
      </c>
      <c r="D1264">
        <v>135022</v>
      </c>
      <c r="E1264">
        <v>10961</v>
      </c>
      <c r="F1264">
        <v>12670</v>
      </c>
    </row>
    <row r="1265" spans="1:6">
      <c r="A1265" t="s">
        <v>2309</v>
      </c>
      <c r="B1265">
        <v>141</v>
      </c>
      <c r="C1265" t="s">
        <v>1047</v>
      </c>
      <c r="D1265">
        <v>37506</v>
      </c>
      <c r="E1265">
        <v>10961</v>
      </c>
      <c r="F1265">
        <v>12670</v>
      </c>
    </row>
    <row r="1266" spans="1:6">
      <c r="A1266" t="s">
        <v>2310</v>
      </c>
      <c r="B1266">
        <v>141</v>
      </c>
      <c r="C1266" t="s">
        <v>1049</v>
      </c>
      <c r="D1266">
        <v>11252</v>
      </c>
      <c r="E1266">
        <v>10961</v>
      </c>
      <c r="F1266">
        <v>12670</v>
      </c>
    </row>
    <row r="1267" spans="1:6">
      <c r="A1267" t="s">
        <v>2311</v>
      </c>
      <c r="B1267">
        <v>141</v>
      </c>
      <c r="C1267" t="s">
        <v>745</v>
      </c>
      <c r="D1267">
        <v>300048</v>
      </c>
      <c r="E1267">
        <v>10961</v>
      </c>
      <c r="F1267">
        <v>12670</v>
      </c>
    </row>
    <row r="1268" spans="1:6">
      <c r="A1268" t="s">
        <v>2312</v>
      </c>
      <c r="B1268">
        <v>141</v>
      </c>
      <c r="C1268" t="s">
        <v>1052</v>
      </c>
      <c r="D1268">
        <v>675108</v>
      </c>
      <c r="E1268">
        <v>10961</v>
      </c>
      <c r="F1268">
        <v>12670</v>
      </c>
    </row>
    <row r="1269" spans="1:6">
      <c r="A1269" t="s">
        <v>2313</v>
      </c>
      <c r="B1269">
        <v>141</v>
      </c>
      <c r="C1269" t="s">
        <v>164</v>
      </c>
      <c r="D1269">
        <v>6267382</v>
      </c>
      <c r="E1269">
        <v>12652</v>
      </c>
      <c r="F1269">
        <v>12670</v>
      </c>
    </row>
    <row r="1270" spans="1:6">
      <c r="A1270" t="s">
        <v>2314</v>
      </c>
      <c r="B1270">
        <v>141</v>
      </c>
      <c r="C1270" t="s">
        <v>651</v>
      </c>
      <c r="D1270">
        <v>3133691</v>
      </c>
      <c r="E1270">
        <v>12652</v>
      </c>
      <c r="F1270">
        <v>12670</v>
      </c>
    </row>
    <row r="1271" spans="1:6">
      <c r="A1271" t="s">
        <v>2315</v>
      </c>
      <c r="B1271">
        <v>142</v>
      </c>
      <c r="C1271" t="s">
        <v>154</v>
      </c>
      <c r="D1271">
        <v>76159</v>
      </c>
      <c r="E1271">
        <v>11081</v>
      </c>
      <c r="F1271">
        <v>12776</v>
      </c>
    </row>
    <row r="1272" spans="1:6">
      <c r="A1272" t="s">
        <v>2316</v>
      </c>
      <c r="B1272">
        <v>142</v>
      </c>
      <c r="C1272" t="s">
        <v>1043</v>
      </c>
      <c r="D1272">
        <v>228477</v>
      </c>
      <c r="E1272">
        <v>11081</v>
      </c>
      <c r="F1272">
        <v>12776</v>
      </c>
    </row>
    <row r="1273" spans="1:6">
      <c r="A1273" t="s">
        <v>2317</v>
      </c>
      <c r="B1273">
        <v>142</v>
      </c>
      <c r="C1273" t="s">
        <v>1045</v>
      </c>
      <c r="D1273">
        <v>137087</v>
      </c>
      <c r="E1273">
        <v>11081</v>
      </c>
      <c r="F1273">
        <v>12776</v>
      </c>
    </row>
    <row r="1274" spans="1:6">
      <c r="A1274" t="s">
        <v>2318</v>
      </c>
      <c r="B1274">
        <v>142</v>
      </c>
      <c r="C1274" t="s">
        <v>1047</v>
      </c>
      <c r="D1274">
        <v>38080</v>
      </c>
      <c r="E1274">
        <v>11081</v>
      </c>
      <c r="F1274">
        <v>12776</v>
      </c>
    </row>
    <row r="1275" spans="1:6">
      <c r="A1275" t="s">
        <v>2319</v>
      </c>
      <c r="B1275">
        <v>142</v>
      </c>
      <c r="C1275" t="s">
        <v>1049</v>
      </c>
      <c r="D1275">
        <v>11424</v>
      </c>
      <c r="E1275">
        <v>11081</v>
      </c>
      <c r="F1275">
        <v>12776</v>
      </c>
    </row>
    <row r="1276" spans="1:6">
      <c r="A1276" t="s">
        <v>2320</v>
      </c>
      <c r="B1276">
        <v>142</v>
      </c>
      <c r="C1276" t="s">
        <v>745</v>
      </c>
      <c r="D1276">
        <v>304636</v>
      </c>
      <c r="E1276">
        <v>11081</v>
      </c>
      <c r="F1276">
        <v>12776</v>
      </c>
    </row>
    <row r="1277" spans="1:6">
      <c r="A1277" t="s">
        <v>2321</v>
      </c>
      <c r="B1277">
        <v>142</v>
      </c>
      <c r="C1277" t="s">
        <v>1052</v>
      </c>
      <c r="D1277">
        <v>685431</v>
      </c>
      <c r="E1277">
        <v>11081</v>
      </c>
      <c r="F1277">
        <v>12776</v>
      </c>
    </row>
    <row r="1278" spans="1:6">
      <c r="A1278" t="s">
        <v>2322</v>
      </c>
      <c r="B1278">
        <v>142</v>
      </c>
      <c r="C1278" t="s">
        <v>164</v>
      </c>
      <c r="D1278">
        <v>6373062</v>
      </c>
      <c r="E1278">
        <v>12785</v>
      </c>
      <c r="F1278">
        <v>12776</v>
      </c>
    </row>
    <row r="1279" spans="1:6">
      <c r="A1279" t="s">
        <v>2323</v>
      </c>
      <c r="B1279">
        <v>142</v>
      </c>
      <c r="C1279" t="s">
        <v>651</v>
      </c>
      <c r="D1279">
        <v>3186531</v>
      </c>
      <c r="E1279">
        <v>12785</v>
      </c>
      <c r="F1279">
        <v>12776</v>
      </c>
    </row>
    <row r="1280" spans="1:6">
      <c r="A1280" t="s">
        <v>2324</v>
      </c>
      <c r="B1280">
        <v>143</v>
      </c>
      <c r="C1280" t="s">
        <v>154</v>
      </c>
      <c r="D1280">
        <v>77318</v>
      </c>
      <c r="E1280">
        <v>11203</v>
      </c>
      <c r="F1280">
        <v>12882</v>
      </c>
    </row>
    <row r="1281" spans="1:6">
      <c r="A1281" t="s">
        <v>2325</v>
      </c>
      <c r="B1281">
        <v>143</v>
      </c>
      <c r="C1281" t="s">
        <v>1043</v>
      </c>
      <c r="D1281">
        <v>231954</v>
      </c>
      <c r="E1281">
        <v>11203</v>
      </c>
      <c r="F1281">
        <v>12882</v>
      </c>
    </row>
    <row r="1282" spans="1:6">
      <c r="A1282" t="s">
        <v>2326</v>
      </c>
      <c r="B1282">
        <v>143</v>
      </c>
      <c r="C1282" t="s">
        <v>1045</v>
      </c>
      <c r="D1282">
        <v>139173</v>
      </c>
      <c r="E1282">
        <v>11203</v>
      </c>
      <c r="F1282">
        <v>12882</v>
      </c>
    </row>
    <row r="1283" spans="1:6">
      <c r="A1283" t="s">
        <v>2327</v>
      </c>
      <c r="B1283">
        <v>143</v>
      </c>
      <c r="C1283" t="s">
        <v>1047</v>
      </c>
      <c r="D1283">
        <v>38659</v>
      </c>
      <c r="E1283">
        <v>11203</v>
      </c>
      <c r="F1283">
        <v>12882</v>
      </c>
    </row>
    <row r="1284" spans="1:6">
      <c r="A1284" t="s">
        <v>2328</v>
      </c>
      <c r="B1284">
        <v>143</v>
      </c>
      <c r="C1284" t="s">
        <v>1049</v>
      </c>
      <c r="D1284">
        <v>11598</v>
      </c>
      <c r="E1284">
        <v>11203</v>
      </c>
      <c r="F1284">
        <v>12882</v>
      </c>
    </row>
    <row r="1285" spans="1:6">
      <c r="A1285" t="s">
        <v>2329</v>
      </c>
      <c r="B1285">
        <v>143</v>
      </c>
      <c r="C1285" t="s">
        <v>745</v>
      </c>
      <c r="D1285">
        <v>309272</v>
      </c>
      <c r="E1285">
        <v>11203</v>
      </c>
      <c r="F1285">
        <v>12882</v>
      </c>
    </row>
    <row r="1286" spans="1:6">
      <c r="A1286" t="s">
        <v>2330</v>
      </c>
      <c r="B1286">
        <v>143</v>
      </c>
      <c r="C1286" t="s">
        <v>1052</v>
      </c>
      <c r="D1286">
        <v>695862</v>
      </c>
      <c r="E1286">
        <v>11203</v>
      </c>
      <c r="F1286">
        <v>12882</v>
      </c>
    </row>
    <row r="1287" spans="1:6">
      <c r="A1287" t="s">
        <v>2331</v>
      </c>
      <c r="B1287">
        <v>143</v>
      </c>
      <c r="C1287" t="s">
        <v>164</v>
      </c>
      <c r="D1287">
        <v>6479973</v>
      </c>
      <c r="E1287">
        <v>12920</v>
      </c>
      <c r="F1287">
        <v>12882</v>
      </c>
    </row>
    <row r="1288" spans="1:6">
      <c r="A1288" t="s">
        <v>2332</v>
      </c>
      <c r="B1288">
        <v>143</v>
      </c>
      <c r="C1288" t="s">
        <v>651</v>
      </c>
      <c r="D1288">
        <v>3239987</v>
      </c>
      <c r="E1288">
        <v>12920</v>
      </c>
      <c r="F1288">
        <v>12882</v>
      </c>
    </row>
    <row r="1289" spans="1:6">
      <c r="A1289" t="s">
        <v>2333</v>
      </c>
      <c r="B1289">
        <v>144</v>
      </c>
      <c r="C1289" t="s">
        <v>154</v>
      </c>
      <c r="D1289">
        <v>78489</v>
      </c>
      <c r="E1289">
        <v>11325</v>
      </c>
      <c r="F1289">
        <v>12988</v>
      </c>
    </row>
    <row r="1290" spans="1:6">
      <c r="A1290" t="s">
        <v>2334</v>
      </c>
      <c r="B1290">
        <v>144</v>
      </c>
      <c r="C1290" t="s">
        <v>1043</v>
      </c>
      <c r="D1290">
        <v>235467</v>
      </c>
      <c r="E1290">
        <v>11325</v>
      </c>
      <c r="F1290">
        <v>12988</v>
      </c>
    </row>
    <row r="1291" spans="1:6">
      <c r="A1291" t="s">
        <v>2335</v>
      </c>
      <c r="B1291">
        <v>144</v>
      </c>
      <c r="C1291" t="s">
        <v>1045</v>
      </c>
      <c r="D1291">
        <v>141281</v>
      </c>
      <c r="E1291">
        <v>11325</v>
      </c>
      <c r="F1291">
        <v>12988</v>
      </c>
    </row>
    <row r="1292" spans="1:6">
      <c r="A1292" t="s">
        <v>2336</v>
      </c>
      <c r="B1292">
        <v>144</v>
      </c>
      <c r="C1292" t="s">
        <v>1047</v>
      </c>
      <c r="D1292">
        <v>39245</v>
      </c>
      <c r="E1292">
        <v>11325</v>
      </c>
      <c r="F1292">
        <v>12988</v>
      </c>
    </row>
    <row r="1293" spans="1:6">
      <c r="A1293" t="s">
        <v>2337</v>
      </c>
      <c r="B1293">
        <v>144</v>
      </c>
      <c r="C1293" t="s">
        <v>1049</v>
      </c>
      <c r="D1293">
        <v>11774</v>
      </c>
      <c r="E1293">
        <v>11325</v>
      </c>
      <c r="F1293">
        <v>12988</v>
      </c>
    </row>
    <row r="1294" spans="1:6">
      <c r="A1294" t="s">
        <v>2338</v>
      </c>
      <c r="B1294">
        <v>144</v>
      </c>
      <c r="C1294" t="s">
        <v>745</v>
      </c>
      <c r="D1294">
        <v>313956</v>
      </c>
      <c r="E1294">
        <v>11325</v>
      </c>
      <c r="F1294">
        <v>12988</v>
      </c>
    </row>
    <row r="1295" spans="1:6">
      <c r="A1295" t="s">
        <v>2339</v>
      </c>
      <c r="B1295">
        <v>144</v>
      </c>
      <c r="C1295" t="s">
        <v>1052</v>
      </c>
      <c r="D1295">
        <v>706401</v>
      </c>
      <c r="E1295">
        <v>11325</v>
      </c>
      <c r="F1295">
        <v>12988</v>
      </c>
    </row>
    <row r="1296" spans="1:6">
      <c r="A1296" t="s">
        <v>2340</v>
      </c>
      <c r="B1296">
        <v>144</v>
      </c>
      <c r="C1296" t="s">
        <v>164</v>
      </c>
      <c r="D1296">
        <v>6588167</v>
      </c>
      <c r="E1296">
        <v>13055</v>
      </c>
      <c r="F1296">
        <v>12988</v>
      </c>
    </row>
    <row r="1297" spans="1:6">
      <c r="A1297" t="s">
        <v>2341</v>
      </c>
      <c r="B1297">
        <v>144</v>
      </c>
      <c r="C1297" t="s">
        <v>651</v>
      </c>
      <c r="D1297">
        <v>3294084</v>
      </c>
      <c r="E1297">
        <v>13055</v>
      </c>
      <c r="F1297">
        <v>12988</v>
      </c>
    </row>
    <row r="1298" spans="1:6">
      <c r="A1298" t="s">
        <v>2342</v>
      </c>
      <c r="B1298">
        <v>145</v>
      </c>
      <c r="C1298" t="s">
        <v>154</v>
      </c>
      <c r="D1298">
        <v>79672</v>
      </c>
      <c r="E1298">
        <v>11448</v>
      </c>
      <c r="F1298">
        <v>13095</v>
      </c>
    </row>
    <row r="1299" spans="1:6">
      <c r="A1299" t="s">
        <v>2343</v>
      </c>
      <c r="B1299">
        <v>145</v>
      </c>
      <c r="C1299" t="s">
        <v>1043</v>
      </c>
      <c r="D1299">
        <v>239016</v>
      </c>
      <c r="E1299">
        <v>11448</v>
      </c>
      <c r="F1299">
        <v>13095</v>
      </c>
    </row>
    <row r="1300" spans="1:6">
      <c r="A1300" t="s">
        <v>2344</v>
      </c>
      <c r="B1300">
        <v>145</v>
      </c>
      <c r="C1300" t="s">
        <v>1045</v>
      </c>
      <c r="D1300">
        <v>143410</v>
      </c>
      <c r="E1300">
        <v>11448</v>
      </c>
      <c r="F1300">
        <v>13095</v>
      </c>
    </row>
    <row r="1301" spans="1:6">
      <c r="A1301" t="s">
        <v>2345</v>
      </c>
      <c r="B1301">
        <v>145</v>
      </c>
      <c r="C1301" t="s">
        <v>1047</v>
      </c>
      <c r="D1301">
        <v>39836</v>
      </c>
      <c r="E1301">
        <v>11448</v>
      </c>
      <c r="F1301">
        <v>13095</v>
      </c>
    </row>
    <row r="1302" spans="1:6">
      <c r="A1302" t="s">
        <v>2346</v>
      </c>
      <c r="B1302">
        <v>145</v>
      </c>
      <c r="C1302" t="s">
        <v>1049</v>
      </c>
      <c r="D1302">
        <v>11951</v>
      </c>
      <c r="E1302">
        <v>11448</v>
      </c>
      <c r="F1302">
        <v>13095</v>
      </c>
    </row>
    <row r="1303" spans="1:6">
      <c r="A1303" t="s">
        <v>2347</v>
      </c>
      <c r="B1303">
        <v>145</v>
      </c>
      <c r="C1303" t="s">
        <v>745</v>
      </c>
      <c r="D1303">
        <v>318688</v>
      </c>
      <c r="E1303">
        <v>11448</v>
      </c>
      <c r="F1303">
        <v>13095</v>
      </c>
    </row>
    <row r="1304" spans="1:6">
      <c r="A1304" t="s">
        <v>2348</v>
      </c>
      <c r="B1304">
        <v>145</v>
      </c>
      <c r="C1304" t="s">
        <v>1052</v>
      </c>
      <c r="D1304">
        <v>717048</v>
      </c>
      <c r="E1304">
        <v>11448</v>
      </c>
      <c r="F1304">
        <v>13095</v>
      </c>
    </row>
    <row r="1305" spans="1:6">
      <c r="A1305" t="s">
        <v>2349</v>
      </c>
      <c r="B1305">
        <v>145</v>
      </c>
      <c r="C1305" t="s">
        <v>164</v>
      </c>
      <c r="D1305">
        <v>6697593</v>
      </c>
      <c r="E1305">
        <v>13191</v>
      </c>
      <c r="F1305">
        <v>13095</v>
      </c>
    </row>
    <row r="1306" spans="1:6">
      <c r="A1306" t="s">
        <v>2350</v>
      </c>
      <c r="B1306">
        <v>145</v>
      </c>
      <c r="C1306" t="s">
        <v>651</v>
      </c>
      <c r="D1306">
        <v>3348797</v>
      </c>
      <c r="E1306">
        <v>13191</v>
      </c>
      <c r="F1306">
        <v>13095</v>
      </c>
    </row>
    <row r="1307" spans="1:6">
      <c r="A1307" t="s">
        <v>2351</v>
      </c>
      <c r="B1307">
        <v>146</v>
      </c>
      <c r="C1307" t="s">
        <v>154</v>
      </c>
      <c r="D1307">
        <v>80869</v>
      </c>
      <c r="E1307">
        <v>11571</v>
      </c>
      <c r="F1307">
        <v>13202</v>
      </c>
    </row>
    <row r="1308" spans="1:6">
      <c r="A1308" t="s">
        <v>2352</v>
      </c>
      <c r="B1308">
        <v>146</v>
      </c>
      <c r="C1308" t="s">
        <v>1043</v>
      </c>
      <c r="D1308">
        <v>242607</v>
      </c>
      <c r="E1308">
        <v>11571</v>
      </c>
      <c r="F1308">
        <v>13202</v>
      </c>
    </row>
    <row r="1309" spans="1:6">
      <c r="A1309" t="s">
        <v>2353</v>
      </c>
      <c r="B1309">
        <v>146</v>
      </c>
      <c r="C1309" t="s">
        <v>1045</v>
      </c>
      <c r="D1309">
        <v>145565</v>
      </c>
      <c r="E1309">
        <v>11571</v>
      </c>
      <c r="F1309">
        <v>13202</v>
      </c>
    </row>
    <row r="1310" spans="1:6">
      <c r="A1310" t="s">
        <v>2354</v>
      </c>
      <c r="B1310">
        <v>146</v>
      </c>
      <c r="C1310" t="s">
        <v>1047</v>
      </c>
      <c r="D1310">
        <v>40435</v>
      </c>
      <c r="E1310">
        <v>11571</v>
      </c>
      <c r="F1310">
        <v>13202</v>
      </c>
    </row>
    <row r="1311" spans="1:6">
      <c r="A1311" t="s">
        <v>2355</v>
      </c>
      <c r="B1311">
        <v>146</v>
      </c>
      <c r="C1311" t="s">
        <v>1049</v>
      </c>
      <c r="D1311">
        <v>12131</v>
      </c>
      <c r="E1311">
        <v>11571</v>
      </c>
      <c r="F1311">
        <v>13202</v>
      </c>
    </row>
    <row r="1312" spans="1:6">
      <c r="A1312" t="s">
        <v>2356</v>
      </c>
      <c r="B1312">
        <v>146</v>
      </c>
      <c r="C1312" t="s">
        <v>745</v>
      </c>
      <c r="D1312">
        <v>323476</v>
      </c>
      <c r="E1312">
        <v>11571</v>
      </c>
      <c r="F1312">
        <v>13202</v>
      </c>
    </row>
    <row r="1313" spans="1:6">
      <c r="A1313" t="s">
        <v>2357</v>
      </c>
      <c r="B1313">
        <v>146</v>
      </c>
      <c r="C1313" t="s">
        <v>1052</v>
      </c>
      <c r="D1313">
        <v>727821</v>
      </c>
      <c r="E1313">
        <v>11571</v>
      </c>
      <c r="F1313">
        <v>13202</v>
      </c>
    </row>
    <row r="1314" spans="1:6">
      <c r="A1314" t="s">
        <v>2358</v>
      </c>
      <c r="B1314">
        <v>146</v>
      </c>
      <c r="C1314" t="s">
        <v>164</v>
      </c>
      <c r="D1314">
        <v>6808301</v>
      </c>
      <c r="E1314">
        <v>13328</v>
      </c>
      <c r="F1314">
        <v>13202</v>
      </c>
    </row>
    <row r="1315" spans="1:6">
      <c r="A1315" t="s">
        <v>2359</v>
      </c>
      <c r="B1315">
        <v>146</v>
      </c>
      <c r="C1315" t="s">
        <v>651</v>
      </c>
      <c r="D1315">
        <v>3404150</v>
      </c>
      <c r="E1315">
        <v>13328</v>
      </c>
      <c r="F1315">
        <v>13202</v>
      </c>
    </row>
    <row r="1316" spans="1:6">
      <c r="A1316" t="s">
        <v>2360</v>
      </c>
      <c r="B1316">
        <v>147</v>
      </c>
      <c r="C1316" t="s">
        <v>154</v>
      </c>
      <c r="D1316">
        <v>82077</v>
      </c>
      <c r="E1316">
        <v>11695</v>
      </c>
      <c r="F1316">
        <v>13309</v>
      </c>
    </row>
    <row r="1317" spans="1:6">
      <c r="A1317" t="s">
        <v>2361</v>
      </c>
      <c r="B1317">
        <v>147</v>
      </c>
      <c r="C1317" t="s">
        <v>1043</v>
      </c>
      <c r="D1317">
        <v>246231</v>
      </c>
      <c r="E1317">
        <v>11695</v>
      </c>
      <c r="F1317">
        <v>13309</v>
      </c>
    </row>
    <row r="1318" spans="1:6">
      <c r="A1318" t="s">
        <v>2362</v>
      </c>
      <c r="B1318">
        <v>147</v>
      </c>
      <c r="C1318" t="s">
        <v>1045</v>
      </c>
      <c r="D1318">
        <v>147739</v>
      </c>
      <c r="E1318">
        <v>11695</v>
      </c>
      <c r="F1318">
        <v>13309</v>
      </c>
    </row>
    <row r="1319" spans="1:6">
      <c r="A1319" t="s">
        <v>2363</v>
      </c>
      <c r="B1319">
        <v>147</v>
      </c>
      <c r="C1319" t="s">
        <v>1047</v>
      </c>
      <c r="D1319">
        <v>41039</v>
      </c>
      <c r="E1319">
        <v>11695</v>
      </c>
      <c r="F1319">
        <v>13309</v>
      </c>
    </row>
    <row r="1320" spans="1:6">
      <c r="A1320" t="s">
        <v>2364</v>
      </c>
      <c r="B1320">
        <v>147</v>
      </c>
      <c r="C1320" t="s">
        <v>1049</v>
      </c>
      <c r="D1320">
        <v>12312</v>
      </c>
      <c r="E1320">
        <v>11695</v>
      </c>
      <c r="F1320">
        <v>13309</v>
      </c>
    </row>
    <row r="1321" spans="1:6">
      <c r="A1321" t="s">
        <v>2365</v>
      </c>
      <c r="B1321">
        <v>147</v>
      </c>
      <c r="C1321" t="s">
        <v>745</v>
      </c>
      <c r="D1321">
        <v>328308</v>
      </c>
      <c r="E1321">
        <v>11695</v>
      </c>
      <c r="F1321">
        <v>13309</v>
      </c>
    </row>
    <row r="1322" spans="1:6">
      <c r="A1322" t="s">
        <v>2366</v>
      </c>
      <c r="B1322">
        <v>147</v>
      </c>
      <c r="C1322" t="s">
        <v>1052</v>
      </c>
      <c r="D1322">
        <v>738693</v>
      </c>
      <c r="E1322">
        <v>11695</v>
      </c>
      <c r="F1322">
        <v>13309</v>
      </c>
    </row>
    <row r="1323" spans="1:6">
      <c r="A1323" t="s">
        <v>2367</v>
      </c>
      <c r="B1323">
        <v>147</v>
      </c>
      <c r="C1323" t="s">
        <v>164</v>
      </c>
      <c r="D1323">
        <v>6920342</v>
      </c>
      <c r="E1323">
        <v>13465</v>
      </c>
      <c r="F1323">
        <v>13309</v>
      </c>
    </row>
    <row r="1324" spans="1:6">
      <c r="A1324" t="s">
        <v>2368</v>
      </c>
      <c r="B1324">
        <v>147</v>
      </c>
      <c r="C1324" t="s">
        <v>651</v>
      </c>
      <c r="D1324">
        <v>3460171</v>
      </c>
      <c r="E1324">
        <v>13465</v>
      </c>
      <c r="F1324">
        <v>13309</v>
      </c>
    </row>
    <row r="1325" spans="1:6">
      <c r="A1325" t="s">
        <v>2369</v>
      </c>
      <c r="B1325">
        <v>148</v>
      </c>
      <c r="C1325" t="s">
        <v>154</v>
      </c>
      <c r="D1325">
        <v>83299</v>
      </c>
      <c r="E1325">
        <v>11821</v>
      </c>
      <c r="F1325">
        <v>13417</v>
      </c>
    </row>
    <row r="1326" spans="1:6">
      <c r="A1326" t="s">
        <v>2370</v>
      </c>
      <c r="B1326">
        <v>148</v>
      </c>
      <c r="C1326" t="s">
        <v>1043</v>
      </c>
      <c r="D1326">
        <v>249897</v>
      </c>
      <c r="E1326">
        <v>11821</v>
      </c>
      <c r="F1326">
        <v>13417</v>
      </c>
    </row>
    <row r="1327" spans="1:6">
      <c r="A1327" t="s">
        <v>2371</v>
      </c>
      <c r="B1327">
        <v>148</v>
      </c>
      <c r="C1327" t="s">
        <v>1045</v>
      </c>
      <c r="D1327">
        <v>149939</v>
      </c>
      <c r="E1327">
        <v>11821</v>
      </c>
      <c r="F1327">
        <v>13417</v>
      </c>
    </row>
    <row r="1328" spans="1:6">
      <c r="A1328" t="s">
        <v>2372</v>
      </c>
      <c r="B1328">
        <v>148</v>
      </c>
      <c r="C1328" t="s">
        <v>1047</v>
      </c>
      <c r="D1328">
        <v>41650</v>
      </c>
      <c r="E1328">
        <v>11821</v>
      </c>
      <c r="F1328">
        <v>13417</v>
      </c>
    </row>
    <row r="1329" spans="1:6">
      <c r="A1329" t="s">
        <v>2373</v>
      </c>
      <c r="B1329">
        <v>148</v>
      </c>
      <c r="C1329" t="s">
        <v>1049</v>
      </c>
      <c r="D1329">
        <v>12495</v>
      </c>
      <c r="E1329">
        <v>11821</v>
      </c>
      <c r="F1329">
        <v>13417</v>
      </c>
    </row>
    <row r="1330" spans="1:6">
      <c r="A1330" t="s">
        <v>2374</v>
      </c>
      <c r="B1330">
        <v>148</v>
      </c>
      <c r="C1330" t="s">
        <v>745</v>
      </c>
      <c r="D1330">
        <v>333196</v>
      </c>
      <c r="E1330">
        <v>11821</v>
      </c>
      <c r="F1330">
        <v>13417</v>
      </c>
    </row>
    <row r="1331" spans="1:6">
      <c r="A1331" t="s">
        <v>2375</v>
      </c>
      <c r="B1331">
        <v>148</v>
      </c>
      <c r="C1331" t="s">
        <v>1052</v>
      </c>
      <c r="D1331">
        <v>749691</v>
      </c>
      <c r="E1331">
        <v>11821</v>
      </c>
      <c r="F1331">
        <v>13417</v>
      </c>
    </row>
    <row r="1332" spans="1:6">
      <c r="A1332" t="s">
        <v>2376</v>
      </c>
      <c r="B1332">
        <v>148</v>
      </c>
      <c r="C1332" t="s">
        <v>164</v>
      </c>
      <c r="D1332">
        <v>7033613</v>
      </c>
      <c r="E1332">
        <v>13604</v>
      </c>
      <c r="F1332">
        <v>13417</v>
      </c>
    </row>
    <row r="1333" spans="1:6">
      <c r="A1333" t="s">
        <v>2377</v>
      </c>
      <c r="B1333">
        <v>148</v>
      </c>
      <c r="C1333" t="s">
        <v>651</v>
      </c>
      <c r="D1333">
        <v>3516807</v>
      </c>
      <c r="E1333">
        <v>13604</v>
      </c>
      <c r="F1333">
        <v>13417</v>
      </c>
    </row>
    <row r="1334" spans="1:6">
      <c r="A1334" t="s">
        <v>2378</v>
      </c>
      <c r="B1334">
        <v>149</v>
      </c>
      <c r="C1334" t="s">
        <v>154</v>
      </c>
      <c r="D1334">
        <v>84533</v>
      </c>
      <c r="E1334">
        <v>11947</v>
      </c>
      <c r="F1334">
        <v>13524</v>
      </c>
    </row>
    <row r="1335" spans="1:6">
      <c r="A1335" t="s">
        <v>2379</v>
      </c>
      <c r="B1335">
        <v>149</v>
      </c>
      <c r="C1335" t="s">
        <v>1043</v>
      </c>
      <c r="D1335">
        <v>253599</v>
      </c>
      <c r="E1335">
        <v>11947</v>
      </c>
      <c r="F1335">
        <v>13524</v>
      </c>
    </row>
    <row r="1336" spans="1:6">
      <c r="A1336" t="s">
        <v>2380</v>
      </c>
      <c r="B1336">
        <v>149</v>
      </c>
      <c r="C1336" t="s">
        <v>1045</v>
      </c>
      <c r="D1336">
        <v>152160</v>
      </c>
      <c r="E1336">
        <v>11947</v>
      </c>
      <c r="F1336">
        <v>13524</v>
      </c>
    </row>
    <row r="1337" spans="1:6">
      <c r="A1337" t="s">
        <v>2381</v>
      </c>
      <c r="B1337">
        <v>149</v>
      </c>
      <c r="C1337" t="s">
        <v>1047</v>
      </c>
      <c r="D1337">
        <v>42267</v>
      </c>
      <c r="E1337">
        <v>11947</v>
      </c>
      <c r="F1337">
        <v>13524</v>
      </c>
    </row>
    <row r="1338" spans="1:6">
      <c r="A1338" t="s">
        <v>2382</v>
      </c>
      <c r="B1338">
        <v>149</v>
      </c>
      <c r="C1338" t="s">
        <v>1049</v>
      </c>
      <c r="D1338">
        <v>12680</v>
      </c>
      <c r="E1338">
        <v>11947</v>
      </c>
      <c r="F1338">
        <v>13524</v>
      </c>
    </row>
    <row r="1339" spans="1:6">
      <c r="A1339" t="s">
        <v>2383</v>
      </c>
      <c r="B1339">
        <v>149</v>
      </c>
      <c r="C1339" t="s">
        <v>745</v>
      </c>
      <c r="D1339">
        <v>338132</v>
      </c>
      <c r="E1339">
        <v>11947</v>
      </c>
      <c r="F1339">
        <v>13524</v>
      </c>
    </row>
    <row r="1340" spans="1:6">
      <c r="A1340" t="s">
        <v>2384</v>
      </c>
      <c r="B1340">
        <v>149</v>
      </c>
      <c r="C1340" t="s">
        <v>1052</v>
      </c>
      <c r="D1340">
        <v>760797</v>
      </c>
      <c r="E1340">
        <v>11947</v>
      </c>
      <c r="F1340">
        <v>13524</v>
      </c>
    </row>
    <row r="1341" spans="1:6">
      <c r="A1341" t="s">
        <v>2385</v>
      </c>
      <c r="B1341">
        <v>149</v>
      </c>
      <c r="C1341" t="s">
        <v>164</v>
      </c>
      <c r="D1341">
        <v>7148217</v>
      </c>
      <c r="E1341">
        <v>13743</v>
      </c>
      <c r="F1341">
        <v>13524</v>
      </c>
    </row>
    <row r="1342" spans="1:6">
      <c r="A1342" t="s">
        <v>2386</v>
      </c>
      <c r="B1342">
        <v>149</v>
      </c>
      <c r="C1342" t="s">
        <v>651</v>
      </c>
      <c r="D1342">
        <v>3574109</v>
      </c>
      <c r="E1342">
        <v>13743</v>
      </c>
      <c r="F1342">
        <v>13524</v>
      </c>
    </row>
    <row r="1343" spans="1:6">
      <c r="A1343" t="s">
        <v>2387</v>
      </c>
      <c r="B1343">
        <v>150</v>
      </c>
      <c r="C1343" t="s">
        <v>154</v>
      </c>
      <c r="D1343">
        <v>85780</v>
      </c>
      <c r="E1343">
        <v>12074</v>
      </c>
      <c r="F1343">
        <v>13632</v>
      </c>
    </row>
    <row r="1344" spans="1:6">
      <c r="A1344" t="s">
        <v>2388</v>
      </c>
      <c r="B1344">
        <v>150</v>
      </c>
      <c r="C1344" t="s">
        <v>1043</v>
      </c>
      <c r="D1344">
        <v>257340</v>
      </c>
      <c r="E1344">
        <v>12074</v>
      </c>
      <c r="F1344">
        <v>13632</v>
      </c>
    </row>
    <row r="1345" spans="1:6">
      <c r="A1345" t="s">
        <v>2389</v>
      </c>
      <c r="B1345">
        <v>150</v>
      </c>
      <c r="C1345" t="s">
        <v>1045</v>
      </c>
      <c r="D1345">
        <v>154404</v>
      </c>
      <c r="E1345">
        <v>12074</v>
      </c>
      <c r="F1345">
        <v>13632</v>
      </c>
    </row>
    <row r="1346" spans="1:6">
      <c r="A1346" t="s">
        <v>2390</v>
      </c>
      <c r="B1346">
        <v>150</v>
      </c>
      <c r="C1346" t="s">
        <v>1047</v>
      </c>
      <c r="D1346">
        <v>42890</v>
      </c>
      <c r="E1346">
        <v>12074</v>
      </c>
      <c r="F1346">
        <v>13632</v>
      </c>
    </row>
    <row r="1347" spans="1:6">
      <c r="A1347" t="s">
        <v>2391</v>
      </c>
      <c r="B1347">
        <v>150</v>
      </c>
      <c r="C1347" t="s">
        <v>1049</v>
      </c>
      <c r="D1347">
        <v>12867</v>
      </c>
      <c r="E1347">
        <v>12074</v>
      </c>
      <c r="F1347">
        <v>13632</v>
      </c>
    </row>
    <row r="1348" spans="1:6">
      <c r="A1348" t="s">
        <v>2392</v>
      </c>
      <c r="B1348">
        <v>150</v>
      </c>
      <c r="C1348" t="s">
        <v>745</v>
      </c>
      <c r="D1348">
        <v>343120</v>
      </c>
      <c r="E1348">
        <v>12074</v>
      </c>
      <c r="F1348">
        <v>13632</v>
      </c>
    </row>
    <row r="1349" spans="1:6">
      <c r="A1349" t="s">
        <v>2393</v>
      </c>
      <c r="B1349">
        <v>150</v>
      </c>
      <c r="C1349" t="s">
        <v>1052</v>
      </c>
      <c r="D1349">
        <v>772020</v>
      </c>
      <c r="E1349">
        <v>12074</v>
      </c>
      <c r="F1349">
        <v>13632</v>
      </c>
    </row>
    <row r="1350" spans="1:6">
      <c r="A1350" t="s">
        <v>2394</v>
      </c>
      <c r="B1350">
        <v>150</v>
      </c>
      <c r="C1350" t="s">
        <v>164</v>
      </c>
      <c r="D1350">
        <v>7264154</v>
      </c>
      <c r="E1350">
        <v>13883</v>
      </c>
      <c r="F1350">
        <v>13632</v>
      </c>
    </row>
    <row r="1351" spans="1:6">
      <c r="A1351" t="s">
        <v>2395</v>
      </c>
      <c r="B1351">
        <v>150</v>
      </c>
      <c r="C1351" t="s">
        <v>651</v>
      </c>
      <c r="D1351">
        <v>3632077</v>
      </c>
      <c r="E1351">
        <v>13883</v>
      </c>
      <c r="F1351">
        <v>13632</v>
      </c>
    </row>
    <row r="1352" spans="1:6">
      <c r="A1352" t="s">
        <v>2396</v>
      </c>
      <c r="B1352">
        <v>151</v>
      </c>
      <c r="C1352" t="s">
        <v>154</v>
      </c>
      <c r="D1352">
        <v>87041</v>
      </c>
      <c r="E1352">
        <v>12202</v>
      </c>
      <c r="F1352">
        <v>13740</v>
      </c>
    </row>
    <row r="1353" spans="1:6">
      <c r="A1353" t="s">
        <v>2397</v>
      </c>
      <c r="B1353">
        <v>151</v>
      </c>
      <c r="C1353" t="s">
        <v>1043</v>
      </c>
      <c r="D1353">
        <v>261123</v>
      </c>
      <c r="E1353">
        <v>12202</v>
      </c>
      <c r="F1353">
        <v>13740</v>
      </c>
    </row>
    <row r="1354" spans="1:6">
      <c r="A1354" t="s">
        <v>2398</v>
      </c>
      <c r="B1354">
        <v>151</v>
      </c>
      <c r="C1354" t="s">
        <v>1045</v>
      </c>
      <c r="D1354">
        <v>156674</v>
      </c>
      <c r="E1354">
        <v>12202</v>
      </c>
      <c r="F1354">
        <v>13740</v>
      </c>
    </row>
    <row r="1355" spans="1:6">
      <c r="A1355" t="s">
        <v>2399</v>
      </c>
      <c r="B1355">
        <v>151</v>
      </c>
      <c r="C1355" t="s">
        <v>1047</v>
      </c>
      <c r="D1355">
        <v>43521</v>
      </c>
      <c r="E1355">
        <v>12202</v>
      </c>
      <c r="F1355">
        <v>13740</v>
      </c>
    </row>
    <row r="1356" spans="1:6">
      <c r="A1356" t="s">
        <v>2400</v>
      </c>
      <c r="B1356">
        <v>151</v>
      </c>
      <c r="C1356" t="s">
        <v>1049</v>
      </c>
      <c r="D1356">
        <v>13057</v>
      </c>
      <c r="E1356">
        <v>12202</v>
      </c>
      <c r="F1356">
        <v>13740</v>
      </c>
    </row>
    <row r="1357" spans="1:6">
      <c r="A1357" t="s">
        <v>2401</v>
      </c>
      <c r="B1357">
        <v>151</v>
      </c>
      <c r="C1357" t="s">
        <v>745</v>
      </c>
      <c r="D1357">
        <v>348164</v>
      </c>
      <c r="E1357">
        <v>12202</v>
      </c>
      <c r="F1357">
        <v>13740</v>
      </c>
    </row>
    <row r="1358" spans="1:6">
      <c r="A1358" t="s">
        <v>2402</v>
      </c>
      <c r="B1358">
        <v>151</v>
      </c>
      <c r="C1358" t="s">
        <v>1052</v>
      </c>
      <c r="D1358">
        <v>783369</v>
      </c>
      <c r="E1358">
        <v>12202</v>
      </c>
      <c r="F1358">
        <v>13740</v>
      </c>
    </row>
    <row r="1359" spans="1:6">
      <c r="A1359" t="s">
        <v>2403</v>
      </c>
      <c r="B1359">
        <v>151</v>
      </c>
      <c r="C1359" t="s">
        <v>164</v>
      </c>
      <c r="D1359">
        <v>7381371</v>
      </c>
      <c r="E1359">
        <v>14024</v>
      </c>
      <c r="F1359">
        <v>13740</v>
      </c>
    </row>
    <row r="1360" spans="1:6">
      <c r="A1360" t="s">
        <v>2404</v>
      </c>
      <c r="B1360">
        <v>151</v>
      </c>
      <c r="C1360" t="s">
        <v>651</v>
      </c>
      <c r="D1360">
        <v>3690686</v>
      </c>
      <c r="E1360">
        <v>14024</v>
      </c>
      <c r="F1360">
        <v>13740</v>
      </c>
    </row>
    <row r="1361" spans="1:6">
      <c r="A1361" t="s">
        <v>2405</v>
      </c>
      <c r="B1361">
        <v>152</v>
      </c>
      <c r="C1361" t="s">
        <v>154</v>
      </c>
      <c r="D1361">
        <v>88314</v>
      </c>
      <c r="E1361">
        <v>12330</v>
      </c>
      <c r="F1361">
        <v>13848</v>
      </c>
    </row>
    <row r="1362" spans="1:6">
      <c r="A1362" t="s">
        <v>2406</v>
      </c>
      <c r="B1362">
        <v>152</v>
      </c>
      <c r="C1362" t="s">
        <v>1043</v>
      </c>
      <c r="D1362">
        <v>264942</v>
      </c>
      <c r="E1362">
        <v>12330</v>
      </c>
      <c r="F1362">
        <v>13848</v>
      </c>
    </row>
    <row r="1363" spans="1:6">
      <c r="A1363" t="s">
        <v>2407</v>
      </c>
      <c r="B1363">
        <v>152</v>
      </c>
      <c r="C1363" t="s">
        <v>1045</v>
      </c>
      <c r="D1363">
        <v>158966</v>
      </c>
      <c r="E1363">
        <v>12330</v>
      </c>
      <c r="F1363">
        <v>13848</v>
      </c>
    </row>
    <row r="1364" spans="1:6">
      <c r="A1364" t="s">
        <v>2408</v>
      </c>
      <c r="B1364">
        <v>152</v>
      </c>
      <c r="C1364" t="s">
        <v>1047</v>
      </c>
      <c r="D1364">
        <v>44157</v>
      </c>
      <c r="E1364">
        <v>12330</v>
      </c>
      <c r="F1364">
        <v>13848</v>
      </c>
    </row>
    <row r="1365" spans="1:6">
      <c r="A1365" t="s">
        <v>2409</v>
      </c>
      <c r="B1365">
        <v>152</v>
      </c>
      <c r="C1365" t="s">
        <v>1049</v>
      </c>
      <c r="D1365">
        <v>13248</v>
      </c>
      <c r="E1365">
        <v>12330</v>
      </c>
      <c r="F1365">
        <v>13848</v>
      </c>
    </row>
    <row r="1366" spans="1:6">
      <c r="A1366" t="s">
        <v>2410</v>
      </c>
      <c r="B1366">
        <v>152</v>
      </c>
      <c r="C1366" t="s">
        <v>745</v>
      </c>
      <c r="D1366">
        <v>353256</v>
      </c>
      <c r="E1366">
        <v>12330</v>
      </c>
      <c r="F1366">
        <v>13848</v>
      </c>
    </row>
    <row r="1367" spans="1:6">
      <c r="A1367" t="s">
        <v>2411</v>
      </c>
      <c r="B1367">
        <v>152</v>
      </c>
      <c r="C1367" t="s">
        <v>1052</v>
      </c>
      <c r="D1367">
        <v>794826</v>
      </c>
      <c r="E1367">
        <v>12330</v>
      </c>
      <c r="F1367">
        <v>13848</v>
      </c>
    </row>
    <row r="1368" spans="1:6">
      <c r="A1368" t="s">
        <v>2412</v>
      </c>
      <c r="B1368">
        <v>152</v>
      </c>
      <c r="C1368" t="s">
        <v>164</v>
      </c>
      <c r="D1368">
        <v>7499972</v>
      </c>
      <c r="E1368">
        <v>14165</v>
      </c>
      <c r="F1368">
        <v>13848</v>
      </c>
    </row>
    <row r="1369" spans="1:6">
      <c r="A1369" t="s">
        <v>2413</v>
      </c>
      <c r="B1369">
        <v>152</v>
      </c>
      <c r="C1369" t="s">
        <v>651</v>
      </c>
      <c r="D1369">
        <v>3749986</v>
      </c>
      <c r="E1369">
        <v>14165</v>
      </c>
      <c r="F1369">
        <v>13848</v>
      </c>
    </row>
    <row r="1370" spans="1:6">
      <c r="A1370" t="s">
        <v>2414</v>
      </c>
      <c r="B1370">
        <v>153</v>
      </c>
      <c r="C1370" t="s">
        <v>154</v>
      </c>
      <c r="D1370">
        <v>89600</v>
      </c>
      <c r="E1370">
        <v>12459</v>
      </c>
      <c r="F1370">
        <v>13957</v>
      </c>
    </row>
    <row r="1371" spans="1:6">
      <c r="A1371" t="s">
        <v>2415</v>
      </c>
      <c r="B1371">
        <v>153</v>
      </c>
      <c r="C1371" t="s">
        <v>1043</v>
      </c>
      <c r="D1371">
        <v>268800</v>
      </c>
      <c r="E1371">
        <v>12459</v>
      </c>
      <c r="F1371">
        <v>13957</v>
      </c>
    </row>
    <row r="1372" spans="1:6">
      <c r="A1372" t="s">
        <v>2416</v>
      </c>
      <c r="B1372">
        <v>153</v>
      </c>
      <c r="C1372" t="s">
        <v>1045</v>
      </c>
      <c r="D1372">
        <v>161280</v>
      </c>
      <c r="E1372">
        <v>12459</v>
      </c>
      <c r="F1372">
        <v>13957</v>
      </c>
    </row>
    <row r="1373" spans="1:6">
      <c r="A1373" t="s">
        <v>2417</v>
      </c>
      <c r="B1373">
        <v>153</v>
      </c>
      <c r="C1373" t="s">
        <v>1047</v>
      </c>
      <c r="D1373">
        <v>44800</v>
      </c>
      <c r="E1373">
        <v>12459</v>
      </c>
      <c r="F1373">
        <v>13957</v>
      </c>
    </row>
    <row r="1374" spans="1:6">
      <c r="A1374" t="s">
        <v>2418</v>
      </c>
      <c r="B1374">
        <v>153</v>
      </c>
      <c r="C1374" t="s">
        <v>1049</v>
      </c>
      <c r="D1374">
        <v>13440</v>
      </c>
      <c r="E1374">
        <v>12459</v>
      </c>
      <c r="F1374">
        <v>13957</v>
      </c>
    </row>
    <row r="1375" spans="1:6">
      <c r="A1375" t="s">
        <v>2419</v>
      </c>
      <c r="B1375">
        <v>153</v>
      </c>
      <c r="C1375" t="s">
        <v>745</v>
      </c>
      <c r="D1375">
        <v>358400</v>
      </c>
      <c r="E1375">
        <v>12459</v>
      </c>
      <c r="F1375">
        <v>13957</v>
      </c>
    </row>
    <row r="1376" spans="1:6">
      <c r="A1376" t="s">
        <v>2420</v>
      </c>
      <c r="B1376">
        <v>153</v>
      </c>
      <c r="C1376" t="s">
        <v>1052</v>
      </c>
      <c r="D1376">
        <v>806400</v>
      </c>
      <c r="E1376">
        <v>12459</v>
      </c>
      <c r="F1376">
        <v>13957</v>
      </c>
    </row>
    <row r="1377" spans="1:6">
      <c r="A1377" t="s">
        <v>2421</v>
      </c>
      <c r="B1377">
        <v>153</v>
      </c>
      <c r="C1377" t="s">
        <v>164</v>
      </c>
      <c r="D1377">
        <v>7619853</v>
      </c>
      <c r="E1377">
        <v>14308</v>
      </c>
      <c r="F1377">
        <v>13957</v>
      </c>
    </row>
    <row r="1378" spans="1:6">
      <c r="A1378" t="s">
        <v>2422</v>
      </c>
      <c r="B1378">
        <v>153</v>
      </c>
      <c r="C1378" t="s">
        <v>651</v>
      </c>
      <c r="D1378">
        <v>3809927</v>
      </c>
      <c r="E1378">
        <v>14308</v>
      </c>
      <c r="F1378">
        <v>13957</v>
      </c>
    </row>
    <row r="1379" spans="1:6">
      <c r="A1379" t="s">
        <v>2423</v>
      </c>
      <c r="B1379">
        <v>154</v>
      </c>
      <c r="C1379" t="s">
        <v>154</v>
      </c>
      <c r="D1379">
        <v>90900</v>
      </c>
      <c r="E1379">
        <v>12589</v>
      </c>
      <c r="F1379">
        <v>14066</v>
      </c>
    </row>
    <row r="1380" spans="1:6">
      <c r="A1380" t="s">
        <v>2424</v>
      </c>
      <c r="B1380">
        <v>154</v>
      </c>
      <c r="C1380" t="s">
        <v>1043</v>
      </c>
      <c r="D1380">
        <v>272700</v>
      </c>
      <c r="E1380">
        <v>12589</v>
      </c>
      <c r="F1380">
        <v>14066</v>
      </c>
    </row>
    <row r="1381" spans="1:6">
      <c r="A1381" t="s">
        <v>2425</v>
      </c>
      <c r="B1381">
        <v>154</v>
      </c>
      <c r="C1381" t="s">
        <v>1045</v>
      </c>
      <c r="D1381">
        <v>163620</v>
      </c>
      <c r="E1381">
        <v>12589</v>
      </c>
      <c r="F1381">
        <v>14066</v>
      </c>
    </row>
    <row r="1382" spans="1:6">
      <c r="A1382" t="s">
        <v>2426</v>
      </c>
      <c r="B1382">
        <v>154</v>
      </c>
      <c r="C1382" t="s">
        <v>1047</v>
      </c>
      <c r="D1382">
        <v>45450</v>
      </c>
      <c r="E1382">
        <v>12589</v>
      </c>
      <c r="F1382">
        <v>14066</v>
      </c>
    </row>
    <row r="1383" spans="1:6">
      <c r="A1383" t="s">
        <v>2427</v>
      </c>
      <c r="B1383">
        <v>154</v>
      </c>
      <c r="C1383" t="s">
        <v>1049</v>
      </c>
      <c r="D1383">
        <v>13635</v>
      </c>
      <c r="E1383">
        <v>12589</v>
      </c>
      <c r="F1383">
        <v>14066</v>
      </c>
    </row>
    <row r="1384" spans="1:6">
      <c r="A1384" t="s">
        <v>2428</v>
      </c>
      <c r="B1384">
        <v>154</v>
      </c>
      <c r="C1384" t="s">
        <v>745</v>
      </c>
      <c r="D1384">
        <v>363600</v>
      </c>
      <c r="E1384">
        <v>12589</v>
      </c>
      <c r="F1384">
        <v>14066</v>
      </c>
    </row>
    <row r="1385" spans="1:6">
      <c r="A1385" t="s">
        <v>2429</v>
      </c>
      <c r="B1385">
        <v>154</v>
      </c>
      <c r="C1385" t="s">
        <v>1052</v>
      </c>
      <c r="D1385">
        <v>818100</v>
      </c>
      <c r="E1385">
        <v>12589</v>
      </c>
      <c r="F1385">
        <v>14066</v>
      </c>
    </row>
    <row r="1386" spans="1:6">
      <c r="A1386" t="s">
        <v>2430</v>
      </c>
      <c r="B1386">
        <v>154</v>
      </c>
      <c r="C1386" t="s">
        <v>164</v>
      </c>
      <c r="D1386">
        <v>7741117</v>
      </c>
      <c r="E1386">
        <v>14451</v>
      </c>
      <c r="F1386">
        <v>14066</v>
      </c>
    </row>
    <row r="1387" spans="1:6">
      <c r="A1387" t="s">
        <v>2431</v>
      </c>
      <c r="B1387">
        <v>154</v>
      </c>
      <c r="C1387" t="s">
        <v>651</v>
      </c>
      <c r="D1387">
        <v>3870559</v>
      </c>
      <c r="E1387">
        <v>14451</v>
      </c>
      <c r="F1387">
        <v>14066</v>
      </c>
    </row>
    <row r="1388" spans="1:6">
      <c r="A1388" t="s">
        <v>2432</v>
      </c>
      <c r="B1388">
        <v>155</v>
      </c>
      <c r="C1388" t="s">
        <v>154</v>
      </c>
      <c r="D1388">
        <v>92213</v>
      </c>
      <c r="E1388">
        <v>12720</v>
      </c>
      <c r="F1388">
        <v>14175</v>
      </c>
    </row>
    <row r="1389" spans="1:6">
      <c r="A1389" t="s">
        <v>2433</v>
      </c>
      <c r="B1389">
        <v>155</v>
      </c>
      <c r="C1389" t="s">
        <v>1043</v>
      </c>
      <c r="D1389">
        <v>276639</v>
      </c>
      <c r="E1389">
        <v>12720</v>
      </c>
      <c r="F1389">
        <v>14175</v>
      </c>
    </row>
    <row r="1390" spans="1:6">
      <c r="A1390" t="s">
        <v>2434</v>
      </c>
      <c r="B1390">
        <v>155</v>
      </c>
      <c r="C1390" t="s">
        <v>1045</v>
      </c>
      <c r="D1390">
        <v>165984</v>
      </c>
      <c r="E1390">
        <v>12720</v>
      </c>
      <c r="F1390">
        <v>14175</v>
      </c>
    </row>
    <row r="1391" spans="1:6">
      <c r="A1391" t="s">
        <v>2435</v>
      </c>
      <c r="B1391">
        <v>155</v>
      </c>
      <c r="C1391" t="s">
        <v>1047</v>
      </c>
      <c r="D1391">
        <v>46107</v>
      </c>
      <c r="E1391">
        <v>12720</v>
      </c>
      <c r="F1391">
        <v>14175</v>
      </c>
    </row>
    <row r="1392" spans="1:6">
      <c r="A1392" t="s">
        <v>2436</v>
      </c>
      <c r="B1392">
        <v>155</v>
      </c>
      <c r="C1392" t="s">
        <v>1049</v>
      </c>
      <c r="D1392">
        <v>13832</v>
      </c>
      <c r="E1392">
        <v>12720</v>
      </c>
      <c r="F1392">
        <v>14175</v>
      </c>
    </row>
    <row r="1393" spans="1:6">
      <c r="A1393" t="s">
        <v>2437</v>
      </c>
      <c r="B1393">
        <v>155</v>
      </c>
      <c r="C1393" t="s">
        <v>745</v>
      </c>
      <c r="D1393">
        <v>368852</v>
      </c>
      <c r="E1393">
        <v>12720</v>
      </c>
      <c r="F1393">
        <v>14175</v>
      </c>
    </row>
    <row r="1394" spans="1:6">
      <c r="A1394" t="s">
        <v>2438</v>
      </c>
      <c r="B1394">
        <v>155</v>
      </c>
      <c r="C1394" t="s">
        <v>1052</v>
      </c>
      <c r="D1394">
        <v>829917</v>
      </c>
      <c r="E1394">
        <v>12720</v>
      </c>
      <c r="F1394">
        <v>14175</v>
      </c>
    </row>
    <row r="1395" spans="1:6">
      <c r="A1395" t="s">
        <v>2439</v>
      </c>
      <c r="B1395">
        <v>155</v>
      </c>
      <c r="C1395" t="s">
        <v>164</v>
      </c>
      <c r="D1395">
        <v>7863764</v>
      </c>
      <c r="E1395">
        <v>14595</v>
      </c>
      <c r="F1395">
        <v>14175</v>
      </c>
    </row>
    <row r="1396" spans="1:6">
      <c r="A1396" t="s">
        <v>2440</v>
      </c>
      <c r="B1396">
        <v>155</v>
      </c>
      <c r="C1396" t="s">
        <v>651</v>
      </c>
      <c r="D1396">
        <v>3931882</v>
      </c>
      <c r="E1396">
        <v>14595</v>
      </c>
      <c r="F1396">
        <v>14175</v>
      </c>
    </row>
    <row r="1397" spans="1:6">
      <c r="A1397" t="s">
        <v>2441</v>
      </c>
      <c r="B1397">
        <v>156</v>
      </c>
      <c r="C1397" t="s">
        <v>154</v>
      </c>
      <c r="D1397">
        <v>93540</v>
      </c>
      <c r="E1397">
        <v>12852</v>
      </c>
      <c r="F1397">
        <v>14284</v>
      </c>
    </row>
    <row r="1398" spans="1:6">
      <c r="A1398" t="s">
        <v>2442</v>
      </c>
      <c r="B1398">
        <v>156</v>
      </c>
      <c r="C1398" t="s">
        <v>1043</v>
      </c>
      <c r="D1398">
        <v>280620</v>
      </c>
      <c r="E1398">
        <v>12852</v>
      </c>
      <c r="F1398">
        <v>14284</v>
      </c>
    </row>
    <row r="1399" spans="1:6">
      <c r="A1399" t="s">
        <v>2443</v>
      </c>
      <c r="B1399">
        <v>156</v>
      </c>
      <c r="C1399" t="s">
        <v>1045</v>
      </c>
      <c r="D1399">
        <v>168372</v>
      </c>
      <c r="E1399">
        <v>12852</v>
      </c>
      <c r="F1399">
        <v>14284</v>
      </c>
    </row>
    <row r="1400" spans="1:6">
      <c r="A1400" t="s">
        <v>2444</v>
      </c>
      <c r="B1400">
        <v>156</v>
      </c>
      <c r="C1400" t="s">
        <v>1047</v>
      </c>
      <c r="D1400">
        <v>46770</v>
      </c>
      <c r="E1400">
        <v>12852</v>
      </c>
      <c r="F1400">
        <v>14284</v>
      </c>
    </row>
    <row r="1401" spans="1:6">
      <c r="A1401" t="s">
        <v>2445</v>
      </c>
      <c r="B1401">
        <v>156</v>
      </c>
      <c r="C1401" t="s">
        <v>1049</v>
      </c>
      <c r="D1401">
        <v>14031</v>
      </c>
      <c r="E1401">
        <v>12852</v>
      </c>
      <c r="F1401">
        <v>14284</v>
      </c>
    </row>
    <row r="1402" spans="1:6">
      <c r="A1402" t="s">
        <v>2446</v>
      </c>
      <c r="B1402">
        <v>156</v>
      </c>
      <c r="C1402" t="s">
        <v>745</v>
      </c>
      <c r="D1402">
        <v>374160</v>
      </c>
      <c r="E1402">
        <v>12852</v>
      </c>
      <c r="F1402">
        <v>14284</v>
      </c>
    </row>
    <row r="1403" spans="1:6">
      <c r="A1403" t="s">
        <v>2447</v>
      </c>
      <c r="B1403">
        <v>156</v>
      </c>
      <c r="C1403" t="s">
        <v>1052</v>
      </c>
      <c r="D1403">
        <v>841860</v>
      </c>
      <c r="E1403">
        <v>12852</v>
      </c>
      <c r="F1403">
        <v>14284</v>
      </c>
    </row>
    <row r="1404" spans="1:6">
      <c r="A1404" t="s">
        <v>2448</v>
      </c>
      <c r="B1404">
        <v>156</v>
      </c>
      <c r="C1404" t="s">
        <v>164</v>
      </c>
      <c r="D1404">
        <v>7987793</v>
      </c>
      <c r="E1404">
        <v>14740</v>
      </c>
      <c r="F1404">
        <v>14284</v>
      </c>
    </row>
    <row r="1405" spans="1:6">
      <c r="A1405" t="s">
        <v>2449</v>
      </c>
      <c r="B1405">
        <v>156</v>
      </c>
      <c r="C1405" t="s">
        <v>651</v>
      </c>
      <c r="D1405">
        <v>3993897</v>
      </c>
      <c r="E1405">
        <v>14740</v>
      </c>
      <c r="F1405">
        <v>14284</v>
      </c>
    </row>
    <row r="1406" spans="1:6">
      <c r="A1406" t="s">
        <v>2450</v>
      </c>
      <c r="B1406">
        <v>157</v>
      </c>
      <c r="C1406" t="s">
        <v>154</v>
      </c>
      <c r="D1406">
        <v>94880</v>
      </c>
      <c r="E1406">
        <v>12985</v>
      </c>
      <c r="F1406">
        <v>14393</v>
      </c>
    </row>
    <row r="1407" spans="1:6">
      <c r="A1407" t="s">
        <v>2451</v>
      </c>
      <c r="B1407">
        <v>157</v>
      </c>
      <c r="C1407" t="s">
        <v>1043</v>
      </c>
      <c r="D1407">
        <v>284640</v>
      </c>
      <c r="E1407">
        <v>12985</v>
      </c>
      <c r="F1407">
        <v>14393</v>
      </c>
    </row>
    <row r="1408" spans="1:6">
      <c r="A1408" t="s">
        <v>2452</v>
      </c>
      <c r="B1408">
        <v>157</v>
      </c>
      <c r="C1408" t="s">
        <v>1045</v>
      </c>
      <c r="D1408">
        <v>170784</v>
      </c>
      <c r="E1408">
        <v>12985</v>
      </c>
      <c r="F1408">
        <v>14393</v>
      </c>
    </row>
    <row r="1409" spans="1:6">
      <c r="A1409" t="s">
        <v>2453</v>
      </c>
      <c r="B1409">
        <v>157</v>
      </c>
      <c r="C1409" t="s">
        <v>1047</v>
      </c>
      <c r="D1409">
        <v>47440</v>
      </c>
      <c r="E1409">
        <v>12985</v>
      </c>
      <c r="F1409">
        <v>14393</v>
      </c>
    </row>
    <row r="1410" spans="1:6">
      <c r="A1410" t="s">
        <v>2454</v>
      </c>
      <c r="B1410">
        <v>157</v>
      </c>
      <c r="C1410" t="s">
        <v>1049</v>
      </c>
      <c r="D1410">
        <v>14232</v>
      </c>
      <c r="E1410">
        <v>12985</v>
      </c>
      <c r="F1410">
        <v>14393</v>
      </c>
    </row>
    <row r="1411" spans="1:6">
      <c r="A1411" t="s">
        <v>2455</v>
      </c>
      <c r="B1411">
        <v>157</v>
      </c>
      <c r="C1411" t="s">
        <v>745</v>
      </c>
      <c r="D1411">
        <v>379520</v>
      </c>
      <c r="E1411">
        <v>12985</v>
      </c>
      <c r="F1411">
        <v>14393</v>
      </c>
    </row>
    <row r="1412" spans="1:6">
      <c r="A1412" t="s">
        <v>2456</v>
      </c>
      <c r="B1412">
        <v>157</v>
      </c>
      <c r="C1412" t="s">
        <v>1052</v>
      </c>
      <c r="D1412">
        <v>853920</v>
      </c>
      <c r="E1412">
        <v>12985</v>
      </c>
      <c r="F1412">
        <v>14393</v>
      </c>
    </row>
    <row r="1413" spans="1:6">
      <c r="A1413" t="s">
        <v>2457</v>
      </c>
      <c r="B1413">
        <v>157</v>
      </c>
      <c r="C1413" t="s">
        <v>164</v>
      </c>
      <c r="D1413">
        <v>8113153</v>
      </c>
      <c r="E1413">
        <v>14886</v>
      </c>
      <c r="F1413">
        <v>14393</v>
      </c>
    </row>
    <row r="1414" spans="1:6">
      <c r="A1414" t="s">
        <v>2458</v>
      </c>
      <c r="B1414">
        <v>157</v>
      </c>
      <c r="C1414" t="s">
        <v>651</v>
      </c>
      <c r="D1414">
        <v>4056577</v>
      </c>
      <c r="E1414">
        <v>14886</v>
      </c>
      <c r="F1414">
        <v>14393</v>
      </c>
    </row>
    <row r="1415" spans="1:6">
      <c r="A1415" t="s">
        <v>2459</v>
      </c>
      <c r="B1415">
        <v>158</v>
      </c>
      <c r="C1415" t="s">
        <v>154</v>
      </c>
      <c r="D1415">
        <v>96234</v>
      </c>
      <c r="E1415">
        <v>13117</v>
      </c>
      <c r="F1415">
        <v>14503</v>
      </c>
    </row>
    <row r="1416" spans="1:6">
      <c r="A1416" t="s">
        <v>2460</v>
      </c>
      <c r="B1416">
        <v>158</v>
      </c>
      <c r="C1416" t="s">
        <v>1043</v>
      </c>
      <c r="D1416">
        <v>288702</v>
      </c>
      <c r="E1416">
        <v>13117</v>
      </c>
      <c r="F1416">
        <v>14503</v>
      </c>
    </row>
    <row r="1417" spans="1:6">
      <c r="A1417" t="s">
        <v>2461</v>
      </c>
      <c r="B1417">
        <v>158</v>
      </c>
      <c r="C1417" t="s">
        <v>1045</v>
      </c>
      <c r="D1417">
        <v>173222</v>
      </c>
      <c r="E1417">
        <v>13117</v>
      </c>
      <c r="F1417">
        <v>14503</v>
      </c>
    </row>
    <row r="1418" spans="1:6">
      <c r="A1418" t="s">
        <v>2462</v>
      </c>
      <c r="B1418">
        <v>158</v>
      </c>
      <c r="C1418" t="s">
        <v>1047</v>
      </c>
      <c r="D1418">
        <v>48117</v>
      </c>
      <c r="E1418">
        <v>13117</v>
      </c>
      <c r="F1418">
        <v>14503</v>
      </c>
    </row>
    <row r="1419" spans="1:6">
      <c r="A1419" t="s">
        <v>2463</v>
      </c>
      <c r="B1419">
        <v>158</v>
      </c>
      <c r="C1419" t="s">
        <v>1049</v>
      </c>
      <c r="D1419">
        <v>14436</v>
      </c>
      <c r="E1419">
        <v>13117</v>
      </c>
      <c r="F1419">
        <v>14503</v>
      </c>
    </row>
    <row r="1420" spans="1:6">
      <c r="A1420" t="s">
        <v>2464</v>
      </c>
      <c r="B1420">
        <v>158</v>
      </c>
      <c r="C1420" t="s">
        <v>745</v>
      </c>
      <c r="D1420">
        <v>384936</v>
      </c>
      <c r="E1420">
        <v>13117</v>
      </c>
      <c r="F1420">
        <v>14503</v>
      </c>
    </row>
    <row r="1421" spans="1:6">
      <c r="A1421" t="s">
        <v>2465</v>
      </c>
      <c r="B1421">
        <v>158</v>
      </c>
      <c r="C1421" t="s">
        <v>1052</v>
      </c>
      <c r="D1421">
        <v>866106</v>
      </c>
      <c r="E1421">
        <v>13117</v>
      </c>
      <c r="F1421">
        <v>14503</v>
      </c>
    </row>
    <row r="1422" spans="1:6">
      <c r="A1422" t="s">
        <v>2466</v>
      </c>
      <c r="B1422">
        <v>158</v>
      </c>
      <c r="C1422" t="s">
        <v>164</v>
      </c>
      <c r="D1422">
        <v>8239946</v>
      </c>
      <c r="E1422">
        <v>15032</v>
      </c>
      <c r="F1422">
        <v>14503</v>
      </c>
    </row>
    <row r="1423" spans="1:6">
      <c r="A1423" t="s">
        <v>2467</v>
      </c>
      <c r="B1423">
        <v>158</v>
      </c>
      <c r="C1423" t="s">
        <v>651</v>
      </c>
      <c r="D1423">
        <v>4119973</v>
      </c>
      <c r="E1423">
        <v>15032</v>
      </c>
      <c r="F1423">
        <v>14503</v>
      </c>
    </row>
    <row r="1424" spans="1:6">
      <c r="A1424" t="s">
        <v>2468</v>
      </c>
      <c r="B1424">
        <v>159</v>
      </c>
      <c r="C1424" t="s">
        <v>154</v>
      </c>
      <c r="D1424">
        <v>97601</v>
      </c>
      <c r="E1424">
        <v>13251</v>
      </c>
      <c r="F1424">
        <v>14613</v>
      </c>
    </row>
    <row r="1425" spans="1:6">
      <c r="A1425" t="s">
        <v>2469</v>
      </c>
      <c r="B1425">
        <v>159</v>
      </c>
      <c r="C1425" t="s">
        <v>1043</v>
      </c>
      <c r="D1425">
        <v>292803</v>
      </c>
      <c r="E1425">
        <v>13251</v>
      </c>
      <c r="F1425">
        <v>14613</v>
      </c>
    </row>
    <row r="1426" spans="1:6">
      <c r="A1426" t="s">
        <v>2470</v>
      </c>
      <c r="B1426">
        <v>159</v>
      </c>
      <c r="C1426" t="s">
        <v>1045</v>
      </c>
      <c r="D1426">
        <v>175682</v>
      </c>
      <c r="E1426">
        <v>13251</v>
      </c>
      <c r="F1426">
        <v>14613</v>
      </c>
    </row>
    <row r="1427" spans="1:6">
      <c r="A1427" t="s">
        <v>2471</v>
      </c>
      <c r="B1427">
        <v>159</v>
      </c>
      <c r="C1427" t="s">
        <v>1047</v>
      </c>
      <c r="D1427">
        <v>48801</v>
      </c>
      <c r="E1427">
        <v>13251</v>
      </c>
      <c r="F1427">
        <v>14613</v>
      </c>
    </row>
    <row r="1428" spans="1:6">
      <c r="A1428" t="s">
        <v>2472</v>
      </c>
      <c r="B1428">
        <v>159</v>
      </c>
      <c r="C1428" t="s">
        <v>1049</v>
      </c>
      <c r="D1428">
        <v>14641</v>
      </c>
      <c r="E1428">
        <v>13251</v>
      </c>
      <c r="F1428">
        <v>14613</v>
      </c>
    </row>
    <row r="1429" spans="1:6">
      <c r="A1429" t="s">
        <v>2473</v>
      </c>
      <c r="B1429">
        <v>159</v>
      </c>
      <c r="C1429" t="s">
        <v>745</v>
      </c>
      <c r="D1429">
        <v>390404</v>
      </c>
      <c r="E1429">
        <v>13251</v>
      </c>
      <c r="F1429">
        <v>14613</v>
      </c>
    </row>
    <row r="1430" spans="1:6">
      <c r="A1430" t="s">
        <v>2474</v>
      </c>
      <c r="B1430">
        <v>159</v>
      </c>
      <c r="C1430" t="s">
        <v>1052</v>
      </c>
      <c r="D1430">
        <v>878409</v>
      </c>
      <c r="E1430">
        <v>13251</v>
      </c>
      <c r="F1430">
        <v>14613</v>
      </c>
    </row>
    <row r="1431" spans="1:6">
      <c r="A1431" t="s">
        <v>2475</v>
      </c>
      <c r="B1431">
        <v>159</v>
      </c>
      <c r="C1431" t="s">
        <v>164</v>
      </c>
      <c r="D1431">
        <v>8368121</v>
      </c>
      <c r="E1431">
        <v>15179</v>
      </c>
      <c r="F1431">
        <v>14613</v>
      </c>
    </row>
    <row r="1432" spans="1:6">
      <c r="A1432" t="s">
        <v>2476</v>
      </c>
      <c r="B1432">
        <v>159</v>
      </c>
      <c r="C1432" t="s">
        <v>651</v>
      </c>
      <c r="D1432">
        <v>4184061</v>
      </c>
      <c r="E1432">
        <v>15179</v>
      </c>
      <c r="F1432">
        <v>14613</v>
      </c>
    </row>
    <row r="1433" spans="1:6">
      <c r="A1433" t="s">
        <v>2477</v>
      </c>
      <c r="B1433">
        <v>160</v>
      </c>
      <c r="C1433" t="s">
        <v>154</v>
      </c>
      <c r="D1433">
        <v>98983</v>
      </c>
      <c r="E1433">
        <v>13387</v>
      </c>
      <c r="F1433">
        <v>14723</v>
      </c>
    </row>
    <row r="1434" spans="1:6">
      <c r="A1434" t="s">
        <v>2478</v>
      </c>
      <c r="B1434">
        <v>160</v>
      </c>
      <c r="C1434" t="s">
        <v>1043</v>
      </c>
      <c r="D1434">
        <v>296949</v>
      </c>
      <c r="E1434">
        <v>13387</v>
      </c>
      <c r="F1434">
        <v>14723</v>
      </c>
    </row>
    <row r="1435" spans="1:6">
      <c r="A1435" t="s">
        <v>2479</v>
      </c>
      <c r="B1435">
        <v>160</v>
      </c>
      <c r="C1435" t="s">
        <v>1045</v>
      </c>
      <c r="D1435">
        <v>178170</v>
      </c>
      <c r="E1435">
        <v>13387</v>
      </c>
      <c r="F1435">
        <v>14723</v>
      </c>
    </row>
    <row r="1436" spans="1:6">
      <c r="A1436" t="s">
        <v>2480</v>
      </c>
      <c r="B1436">
        <v>160</v>
      </c>
      <c r="C1436" t="s">
        <v>1047</v>
      </c>
      <c r="D1436">
        <v>49492</v>
      </c>
      <c r="E1436">
        <v>13387</v>
      </c>
      <c r="F1436">
        <v>14723</v>
      </c>
    </row>
    <row r="1437" spans="1:6">
      <c r="A1437" t="s">
        <v>2481</v>
      </c>
      <c r="B1437">
        <v>160</v>
      </c>
      <c r="C1437" t="s">
        <v>1049</v>
      </c>
      <c r="D1437">
        <v>14848</v>
      </c>
      <c r="E1437">
        <v>13387</v>
      </c>
      <c r="F1437">
        <v>14723</v>
      </c>
    </row>
    <row r="1438" spans="1:6">
      <c r="A1438" t="s">
        <v>2482</v>
      </c>
      <c r="B1438">
        <v>160</v>
      </c>
      <c r="C1438" t="s">
        <v>745</v>
      </c>
      <c r="D1438">
        <v>395932</v>
      </c>
      <c r="E1438">
        <v>13387</v>
      </c>
      <c r="F1438">
        <v>14723</v>
      </c>
    </row>
    <row r="1439" spans="1:6">
      <c r="A1439" t="s">
        <v>2483</v>
      </c>
      <c r="B1439">
        <v>160</v>
      </c>
      <c r="C1439" t="s">
        <v>1052</v>
      </c>
      <c r="D1439">
        <v>890847</v>
      </c>
      <c r="E1439">
        <v>13387</v>
      </c>
      <c r="F1439">
        <v>14723</v>
      </c>
    </row>
    <row r="1440" spans="1:6">
      <c r="A1440" t="s">
        <v>2484</v>
      </c>
      <c r="B1440">
        <v>160</v>
      </c>
      <c r="C1440" t="s">
        <v>164</v>
      </c>
      <c r="D1440">
        <v>8497729</v>
      </c>
      <c r="E1440">
        <v>15328</v>
      </c>
      <c r="F1440">
        <v>14723</v>
      </c>
    </row>
    <row r="1441" spans="1:6">
      <c r="A1441" t="s">
        <v>2485</v>
      </c>
      <c r="B1441">
        <v>160</v>
      </c>
      <c r="C1441" t="s">
        <v>651</v>
      </c>
      <c r="D1441">
        <v>4248864</v>
      </c>
      <c r="E1441">
        <v>15328</v>
      </c>
      <c r="F1441">
        <v>14723</v>
      </c>
    </row>
    <row r="1442" spans="1:6">
      <c r="A1442" t="s">
        <v>2486</v>
      </c>
      <c r="B1442">
        <v>161</v>
      </c>
      <c r="C1442" t="s">
        <v>154</v>
      </c>
      <c r="D1442">
        <v>100378</v>
      </c>
      <c r="E1442">
        <v>13522</v>
      </c>
      <c r="F1442">
        <v>14833</v>
      </c>
    </row>
    <row r="1443" spans="1:6">
      <c r="A1443" t="s">
        <v>2487</v>
      </c>
      <c r="B1443">
        <v>161</v>
      </c>
      <c r="C1443" t="s">
        <v>1043</v>
      </c>
      <c r="D1443">
        <v>301134</v>
      </c>
      <c r="E1443">
        <v>13522</v>
      </c>
      <c r="F1443">
        <v>14833</v>
      </c>
    </row>
    <row r="1444" spans="1:6">
      <c r="A1444" t="s">
        <v>2488</v>
      </c>
      <c r="B1444">
        <v>161</v>
      </c>
      <c r="C1444" t="s">
        <v>1045</v>
      </c>
      <c r="D1444">
        <v>180681</v>
      </c>
      <c r="E1444">
        <v>13522</v>
      </c>
      <c r="F1444">
        <v>14833</v>
      </c>
    </row>
    <row r="1445" spans="1:6">
      <c r="A1445" t="s">
        <v>2489</v>
      </c>
      <c r="B1445">
        <v>161</v>
      </c>
      <c r="C1445" t="s">
        <v>1047</v>
      </c>
      <c r="D1445">
        <v>50189</v>
      </c>
      <c r="E1445">
        <v>13522</v>
      </c>
      <c r="F1445">
        <v>14833</v>
      </c>
    </row>
    <row r="1446" spans="1:6">
      <c r="A1446" t="s">
        <v>2490</v>
      </c>
      <c r="B1446">
        <v>161</v>
      </c>
      <c r="C1446" t="s">
        <v>1049</v>
      </c>
      <c r="D1446">
        <v>15057</v>
      </c>
      <c r="E1446">
        <v>13522</v>
      </c>
      <c r="F1446">
        <v>14833</v>
      </c>
    </row>
    <row r="1447" spans="1:6">
      <c r="A1447" t="s">
        <v>2491</v>
      </c>
      <c r="B1447">
        <v>161</v>
      </c>
      <c r="C1447" t="s">
        <v>745</v>
      </c>
      <c r="D1447">
        <v>401512</v>
      </c>
      <c r="E1447">
        <v>13522</v>
      </c>
      <c r="F1447">
        <v>14833</v>
      </c>
    </row>
    <row r="1448" spans="1:6">
      <c r="A1448" t="s">
        <v>2492</v>
      </c>
      <c r="B1448">
        <v>161</v>
      </c>
      <c r="C1448" t="s">
        <v>1052</v>
      </c>
      <c r="D1448">
        <v>903402</v>
      </c>
      <c r="E1448">
        <v>13522</v>
      </c>
      <c r="F1448">
        <v>14833</v>
      </c>
    </row>
    <row r="1449" spans="1:6">
      <c r="A1449" t="s">
        <v>2493</v>
      </c>
      <c r="B1449">
        <v>161</v>
      </c>
      <c r="C1449" t="s">
        <v>164</v>
      </c>
      <c r="D1449">
        <v>8628769</v>
      </c>
      <c r="E1449">
        <v>15477</v>
      </c>
      <c r="F1449">
        <v>14833</v>
      </c>
    </row>
    <row r="1450" spans="1:6">
      <c r="A1450" t="s">
        <v>2494</v>
      </c>
      <c r="B1450">
        <v>161</v>
      </c>
      <c r="C1450" t="s">
        <v>651</v>
      </c>
      <c r="D1450">
        <v>4314385</v>
      </c>
      <c r="E1450">
        <v>15477</v>
      </c>
      <c r="F1450">
        <v>14833</v>
      </c>
    </row>
    <row r="1451" spans="1:6">
      <c r="A1451" t="s">
        <v>2495</v>
      </c>
      <c r="B1451">
        <v>162</v>
      </c>
      <c r="C1451" t="s">
        <v>154</v>
      </c>
      <c r="D1451">
        <v>101788</v>
      </c>
      <c r="E1451">
        <v>13659</v>
      </c>
      <c r="F1451">
        <v>14944</v>
      </c>
    </row>
    <row r="1452" spans="1:6">
      <c r="A1452" t="s">
        <v>2496</v>
      </c>
      <c r="B1452">
        <v>162</v>
      </c>
      <c r="C1452" t="s">
        <v>1043</v>
      </c>
      <c r="D1452">
        <v>305364</v>
      </c>
      <c r="E1452">
        <v>13659</v>
      </c>
      <c r="F1452">
        <v>14944</v>
      </c>
    </row>
    <row r="1453" spans="1:6">
      <c r="A1453" t="s">
        <v>2497</v>
      </c>
      <c r="B1453">
        <v>162</v>
      </c>
      <c r="C1453" t="s">
        <v>1045</v>
      </c>
      <c r="D1453">
        <v>183219</v>
      </c>
      <c r="E1453">
        <v>13659</v>
      </c>
      <c r="F1453">
        <v>14944</v>
      </c>
    </row>
    <row r="1454" spans="1:6">
      <c r="A1454" t="s">
        <v>2498</v>
      </c>
      <c r="B1454">
        <v>162</v>
      </c>
      <c r="C1454" t="s">
        <v>1047</v>
      </c>
      <c r="D1454">
        <v>50894</v>
      </c>
      <c r="E1454">
        <v>13659</v>
      </c>
      <c r="F1454">
        <v>14944</v>
      </c>
    </row>
    <row r="1455" spans="1:6">
      <c r="A1455" t="s">
        <v>2499</v>
      </c>
      <c r="B1455">
        <v>162</v>
      </c>
      <c r="C1455" t="s">
        <v>1049</v>
      </c>
      <c r="D1455">
        <v>15269</v>
      </c>
      <c r="E1455">
        <v>13659</v>
      </c>
      <c r="F1455">
        <v>14944</v>
      </c>
    </row>
    <row r="1456" spans="1:6">
      <c r="A1456" t="s">
        <v>2500</v>
      </c>
      <c r="B1456">
        <v>162</v>
      </c>
      <c r="C1456" t="s">
        <v>745</v>
      </c>
      <c r="D1456">
        <v>407152</v>
      </c>
      <c r="E1456">
        <v>13659</v>
      </c>
      <c r="F1456">
        <v>14944</v>
      </c>
    </row>
    <row r="1457" spans="1:6">
      <c r="A1457" t="s">
        <v>2501</v>
      </c>
      <c r="B1457">
        <v>162</v>
      </c>
      <c r="C1457" t="s">
        <v>1052</v>
      </c>
      <c r="D1457">
        <v>916092</v>
      </c>
      <c r="E1457">
        <v>13659</v>
      </c>
      <c r="F1457">
        <v>14944</v>
      </c>
    </row>
    <row r="1458" spans="1:6">
      <c r="A1458" t="s">
        <v>2502</v>
      </c>
      <c r="B1458">
        <v>162</v>
      </c>
      <c r="C1458" t="s">
        <v>164</v>
      </c>
      <c r="D1458">
        <v>8761242</v>
      </c>
      <c r="E1458">
        <v>15627</v>
      </c>
      <c r="F1458">
        <v>14944</v>
      </c>
    </row>
    <row r="1459" spans="1:6">
      <c r="A1459" t="s">
        <v>2503</v>
      </c>
      <c r="B1459">
        <v>162</v>
      </c>
      <c r="C1459" t="s">
        <v>651</v>
      </c>
      <c r="D1459">
        <v>4380621</v>
      </c>
      <c r="E1459">
        <v>15627</v>
      </c>
      <c r="F1459">
        <v>14944</v>
      </c>
    </row>
    <row r="1460" spans="1:6">
      <c r="A1460" t="s">
        <v>2504</v>
      </c>
      <c r="B1460">
        <v>163</v>
      </c>
      <c r="C1460" t="s">
        <v>154</v>
      </c>
      <c r="D1460">
        <v>103211</v>
      </c>
      <c r="E1460">
        <v>13796</v>
      </c>
      <c r="F1460">
        <v>15054</v>
      </c>
    </row>
    <row r="1461" spans="1:6">
      <c r="A1461" t="s">
        <v>2505</v>
      </c>
      <c r="B1461">
        <v>163</v>
      </c>
      <c r="C1461" t="s">
        <v>1043</v>
      </c>
      <c r="D1461">
        <v>309633</v>
      </c>
      <c r="E1461">
        <v>13796</v>
      </c>
      <c r="F1461">
        <v>15054</v>
      </c>
    </row>
    <row r="1462" spans="1:6">
      <c r="A1462" t="s">
        <v>2506</v>
      </c>
      <c r="B1462">
        <v>163</v>
      </c>
      <c r="C1462" t="s">
        <v>1045</v>
      </c>
      <c r="D1462">
        <v>185780</v>
      </c>
      <c r="E1462">
        <v>13796</v>
      </c>
      <c r="F1462">
        <v>15054</v>
      </c>
    </row>
    <row r="1463" spans="1:6">
      <c r="A1463" t="s">
        <v>2507</v>
      </c>
      <c r="B1463">
        <v>163</v>
      </c>
      <c r="C1463" t="s">
        <v>1047</v>
      </c>
      <c r="D1463">
        <v>51606</v>
      </c>
      <c r="E1463">
        <v>13796</v>
      </c>
      <c r="F1463">
        <v>15054</v>
      </c>
    </row>
    <row r="1464" spans="1:6">
      <c r="A1464" t="s">
        <v>2508</v>
      </c>
      <c r="B1464">
        <v>163</v>
      </c>
      <c r="C1464" t="s">
        <v>1049</v>
      </c>
      <c r="D1464">
        <v>15482</v>
      </c>
      <c r="E1464">
        <v>13796</v>
      </c>
      <c r="F1464">
        <v>15054</v>
      </c>
    </row>
    <row r="1465" spans="1:6">
      <c r="A1465" t="s">
        <v>2509</v>
      </c>
      <c r="B1465">
        <v>163</v>
      </c>
      <c r="C1465" t="s">
        <v>745</v>
      </c>
      <c r="D1465">
        <v>412844</v>
      </c>
      <c r="E1465">
        <v>13796</v>
      </c>
      <c r="F1465">
        <v>15054</v>
      </c>
    </row>
    <row r="1466" spans="1:6">
      <c r="A1466" t="s">
        <v>2510</v>
      </c>
      <c r="B1466">
        <v>163</v>
      </c>
      <c r="C1466" t="s">
        <v>1052</v>
      </c>
      <c r="D1466">
        <v>928899</v>
      </c>
      <c r="E1466">
        <v>13796</v>
      </c>
      <c r="F1466">
        <v>15054</v>
      </c>
    </row>
    <row r="1467" spans="1:6">
      <c r="A1467" t="s">
        <v>2511</v>
      </c>
      <c r="B1467">
        <v>163</v>
      </c>
      <c r="C1467" t="s">
        <v>164</v>
      </c>
      <c r="D1467">
        <v>8895147</v>
      </c>
      <c r="E1467">
        <v>15777</v>
      </c>
      <c r="F1467">
        <v>15054</v>
      </c>
    </row>
    <row r="1468" spans="1:6">
      <c r="A1468" t="s">
        <v>2512</v>
      </c>
      <c r="B1468">
        <v>163</v>
      </c>
      <c r="C1468" t="s">
        <v>651</v>
      </c>
      <c r="D1468">
        <v>4447573</v>
      </c>
      <c r="E1468">
        <v>15777</v>
      </c>
      <c r="F1468">
        <v>15054</v>
      </c>
    </row>
    <row r="1469" spans="1:6">
      <c r="A1469" t="s">
        <v>2513</v>
      </c>
      <c r="B1469">
        <v>164</v>
      </c>
      <c r="C1469" t="s">
        <v>154</v>
      </c>
      <c r="D1469">
        <v>104649</v>
      </c>
      <c r="E1469">
        <v>13934</v>
      </c>
      <c r="F1469">
        <v>15165</v>
      </c>
    </row>
    <row r="1470" spans="1:6">
      <c r="A1470" t="s">
        <v>2514</v>
      </c>
      <c r="B1470">
        <v>164</v>
      </c>
      <c r="C1470" t="s">
        <v>1043</v>
      </c>
      <c r="D1470">
        <v>313947</v>
      </c>
      <c r="E1470">
        <v>13934</v>
      </c>
      <c r="F1470">
        <v>15165</v>
      </c>
    </row>
    <row r="1471" spans="1:6">
      <c r="A1471" t="s">
        <v>2515</v>
      </c>
      <c r="B1471">
        <v>164</v>
      </c>
      <c r="C1471" t="s">
        <v>1045</v>
      </c>
      <c r="D1471">
        <v>188369</v>
      </c>
      <c r="E1471">
        <v>13934</v>
      </c>
      <c r="F1471">
        <v>15165</v>
      </c>
    </row>
    <row r="1472" spans="1:6">
      <c r="A1472" t="s">
        <v>2516</v>
      </c>
      <c r="B1472">
        <v>164</v>
      </c>
      <c r="C1472" t="s">
        <v>1047</v>
      </c>
      <c r="D1472">
        <v>52325</v>
      </c>
      <c r="E1472">
        <v>13934</v>
      </c>
      <c r="F1472">
        <v>15165</v>
      </c>
    </row>
    <row r="1473" spans="1:6">
      <c r="A1473" t="s">
        <v>2517</v>
      </c>
      <c r="B1473">
        <v>164</v>
      </c>
      <c r="C1473" t="s">
        <v>1049</v>
      </c>
      <c r="D1473">
        <v>15698</v>
      </c>
      <c r="E1473">
        <v>13934</v>
      </c>
      <c r="F1473">
        <v>15165</v>
      </c>
    </row>
    <row r="1474" spans="1:6">
      <c r="A1474" t="s">
        <v>2518</v>
      </c>
      <c r="B1474">
        <v>164</v>
      </c>
      <c r="C1474" t="s">
        <v>745</v>
      </c>
      <c r="D1474">
        <v>418596</v>
      </c>
      <c r="E1474">
        <v>13934</v>
      </c>
      <c r="F1474">
        <v>15165</v>
      </c>
    </row>
    <row r="1475" spans="1:6">
      <c r="A1475" t="s">
        <v>2519</v>
      </c>
      <c r="B1475">
        <v>164</v>
      </c>
      <c r="C1475" t="s">
        <v>1052</v>
      </c>
      <c r="D1475">
        <v>941841</v>
      </c>
      <c r="E1475">
        <v>13934</v>
      </c>
      <c r="F1475">
        <v>15165</v>
      </c>
    </row>
    <row r="1476" spans="1:6">
      <c r="A1476" t="s">
        <v>2520</v>
      </c>
      <c r="B1476">
        <v>164</v>
      </c>
      <c r="C1476" t="s">
        <v>164</v>
      </c>
      <c r="D1476">
        <v>9030484</v>
      </c>
      <c r="E1476">
        <v>15929</v>
      </c>
      <c r="F1476">
        <v>15165</v>
      </c>
    </row>
    <row r="1477" spans="1:6">
      <c r="A1477" t="s">
        <v>2521</v>
      </c>
      <c r="B1477">
        <v>164</v>
      </c>
      <c r="C1477" t="s">
        <v>651</v>
      </c>
      <c r="D1477">
        <v>4515242</v>
      </c>
      <c r="E1477">
        <v>15929</v>
      </c>
      <c r="F1477">
        <v>15165</v>
      </c>
    </row>
    <row r="1478" spans="1:6">
      <c r="A1478" t="s">
        <v>2522</v>
      </c>
      <c r="B1478">
        <v>165</v>
      </c>
      <c r="C1478" t="s">
        <v>154</v>
      </c>
      <c r="D1478">
        <v>106101</v>
      </c>
      <c r="E1478">
        <v>14073</v>
      </c>
      <c r="F1478">
        <v>15277</v>
      </c>
    </row>
    <row r="1479" spans="1:6">
      <c r="A1479" t="s">
        <v>2523</v>
      </c>
      <c r="B1479">
        <v>165</v>
      </c>
      <c r="C1479" t="s">
        <v>1043</v>
      </c>
      <c r="D1479">
        <v>318303</v>
      </c>
      <c r="E1479">
        <v>14073</v>
      </c>
      <c r="F1479">
        <v>15277</v>
      </c>
    </row>
    <row r="1480" spans="1:6">
      <c r="A1480" t="s">
        <v>2524</v>
      </c>
      <c r="B1480">
        <v>165</v>
      </c>
      <c r="C1480" t="s">
        <v>1045</v>
      </c>
      <c r="D1480">
        <v>190982</v>
      </c>
      <c r="E1480">
        <v>14073</v>
      </c>
      <c r="F1480">
        <v>15277</v>
      </c>
    </row>
    <row r="1481" spans="1:6">
      <c r="A1481" t="s">
        <v>2525</v>
      </c>
      <c r="B1481">
        <v>165</v>
      </c>
      <c r="C1481" t="s">
        <v>1047</v>
      </c>
      <c r="D1481">
        <v>53051</v>
      </c>
      <c r="E1481">
        <v>14073</v>
      </c>
      <c r="F1481">
        <v>15277</v>
      </c>
    </row>
    <row r="1482" spans="1:6">
      <c r="A1482" t="s">
        <v>2526</v>
      </c>
      <c r="B1482">
        <v>165</v>
      </c>
      <c r="C1482" t="s">
        <v>1049</v>
      </c>
      <c r="D1482">
        <v>15916</v>
      </c>
      <c r="E1482">
        <v>14073</v>
      </c>
      <c r="F1482">
        <v>15277</v>
      </c>
    </row>
    <row r="1483" spans="1:6">
      <c r="A1483" t="s">
        <v>2527</v>
      </c>
      <c r="B1483">
        <v>165</v>
      </c>
      <c r="C1483" t="s">
        <v>745</v>
      </c>
      <c r="D1483">
        <v>424404</v>
      </c>
      <c r="E1483">
        <v>14073</v>
      </c>
      <c r="F1483">
        <v>15277</v>
      </c>
    </row>
    <row r="1484" spans="1:6">
      <c r="A1484" t="s">
        <v>2528</v>
      </c>
      <c r="B1484">
        <v>165</v>
      </c>
      <c r="C1484" t="s">
        <v>1052</v>
      </c>
      <c r="D1484">
        <v>954909</v>
      </c>
      <c r="E1484">
        <v>14073</v>
      </c>
      <c r="F1484">
        <v>15277</v>
      </c>
    </row>
    <row r="1485" spans="1:6">
      <c r="A1485" t="s">
        <v>2529</v>
      </c>
      <c r="B1485">
        <v>165</v>
      </c>
      <c r="C1485" t="s">
        <v>164</v>
      </c>
      <c r="D1485">
        <v>9167355</v>
      </c>
      <c r="E1485">
        <v>16081</v>
      </c>
      <c r="F1485">
        <v>15277</v>
      </c>
    </row>
    <row r="1486" spans="1:6">
      <c r="A1486" t="s">
        <v>2530</v>
      </c>
      <c r="B1486">
        <v>165</v>
      </c>
      <c r="C1486" t="s">
        <v>651</v>
      </c>
      <c r="D1486">
        <v>4583677</v>
      </c>
      <c r="E1486">
        <v>16081</v>
      </c>
      <c r="F1486">
        <v>15277</v>
      </c>
    </row>
    <row r="1487" spans="1:6">
      <c r="A1487" t="s">
        <v>2531</v>
      </c>
      <c r="B1487">
        <v>166</v>
      </c>
      <c r="C1487" t="s">
        <v>154</v>
      </c>
      <c r="D1487">
        <v>107567</v>
      </c>
      <c r="E1487">
        <v>14214</v>
      </c>
      <c r="F1487">
        <v>15388</v>
      </c>
    </row>
    <row r="1488" spans="1:6">
      <c r="A1488" t="s">
        <v>2532</v>
      </c>
      <c r="B1488">
        <v>166</v>
      </c>
      <c r="C1488" t="s">
        <v>1043</v>
      </c>
      <c r="D1488">
        <v>322701</v>
      </c>
      <c r="E1488">
        <v>14214</v>
      </c>
      <c r="F1488">
        <v>15388</v>
      </c>
    </row>
    <row r="1489" spans="1:6">
      <c r="A1489" t="s">
        <v>2533</v>
      </c>
      <c r="B1489">
        <v>166</v>
      </c>
      <c r="C1489" t="s">
        <v>1045</v>
      </c>
      <c r="D1489">
        <v>193621</v>
      </c>
      <c r="E1489">
        <v>14214</v>
      </c>
      <c r="F1489">
        <v>15388</v>
      </c>
    </row>
    <row r="1490" spans="1:6">
      <c r="A1490" t="s">
        <v>2534</v>
      </c>
      <c r="B1490">
        <v>166</v>
      </c>
      <c r="C1490" t="s">
        <v>1047</v>
      </c>
      <c r="D1490">
        <v>53784</v>
      </c>
      <c r="E1490">
        <v>14214</v>
      </c>
      <c r="F1490">
        <v>15388</v>
      </c>
    </row>
    <row r="1491" spans="1:6">
      <c r="A1491" t="s">
        <v>2535</v>
      </c>
      <c r="B1491">
        <v>166</v>
      </c>
      <c r="C1491" t="s">
        <v>1049</v>
      </c>
      <c r="D1491">
        <v>16136</v>
      </c>
      <c r="E1491">
        <v>14214</v>
      </c>
      <c r="F1491">
        <v>15388</v>
      </c>
    </row>
    <row r="1492" spans="1:6">
      <c r="A1492" t="s">
        <v>2536</v>
      </c>
      <c r="B1492">
        <v>166</v>
      </c>
      <c r="C1492" t="s">
        <v>745</v>
      </c>
      <c r="D1492">
        <v>430268</v>
      </c>
      <c r="E1492">
        <v>14214</v>
      </c>
      <c r="F1492">
        <v>15388</v>
      </c>
    </row>
    <row r="1493" spans="1:6">
      <c r="A1493" t="s">
        <v>2537</v>
      </c>
      <c r="B1493">
        <v>166</v>
      </c>
      <c r="C1493" t="s">
        <v>1052</v>
      </c>
      <c r="D1493">
        <v>968103</v>
      </c>
      <c r="E1493">
        <v>14214</v>
      </c>
      <c r="F1493">
        <v>15388</v>
      </c>
    </row>
    <row r="1494" spans="1:6">
      <c r="A1494" t="s">
        <v>2538</v>
      </c>
      <c r="B1494">
        <v>166</v>
      </c>
      <c r="C1494" t="s">
        <v>164</v>
      </c>
      <c r="D1494">
        <v>9305658</v>
      </c>
      <c r="E1494">
        <v>16235</v>
      </c>
      <c r="F1494">
        <v>15388</v>
      </c>
    </row>
    <row r="1495" spans="1:6">
      <c r="A1495" t="s">
        <v>2539</v>
      </c>
      <c r="B1495">
        <v>166</v>
      </c>
      <c r="C1495" t="s">
        <v>651</v>
      </c>
      <c r="D1495">
        <v>4652829</v>
      </c>
      <c r="E1495">
        <v>16235</v>
      </c>
      <c r="F1495">
        <v>15388</v>
      </c>
    </row>
    <row r="1496" spans="1:6">
      <c r="A1496" t="s">
        <v>2540</v>
      </c>
      <c r="B1496">
        <v>167</v>
      </c>
      <c r="C1496" t="s">
        <v>154</v>
      </c>
      <c r="D1496">
        <v>109048</v>
      </c>
      <c r="E1496">
        <v>14354</v>
      </c>
      <c r="F1496">
        <v>15500</v>
      </c>
    </row>
    <row r="1497" spans="1:6">
      <c r="A1497" t="s">
        <v>2541</v>
      </c>
      <c r="B1497">
        <v>167</v>
      </c>
      <c r="C1497" t="s">
        <v>1043</v>
      </c>
      <c r="D1497">
        <v>327144</v>
      </c>
      <c r="E1497">
        <v>14354</v>
      </c>
      <c r="F1497">
        <v>15500</v>
      </c>
    </row>
    <row r="1498" spans="1:6">
      <c r="A1498" t="s">
        <v>2542</v>
      </c>
      <c r="B1498">
        <v>167</v>
      </c>
      <c r="C1498" t="s">
        <v>1045</v>
      </c>
      <c r="D1498">
        <v>196287</v>
      </c>
      <c r="E1498">
        <v>14354</v>
      </c>
      <c r="F1498">
        <v>15500</v>
      </c>
    </row>
    <row r="1499" spans="1:6">
      <c r="A1499" t="s">
        <v>2543</v>
      </c>
      <c r="B1499">
        <v>167</v>
      </c>
      <c r="C1499" t="s">
        <v>1047</v>
      </c>
      <c r="D1499">
        <v>54524</v>
      </c>
      <c r="E1499">
        <v>14354</v>
      </c>
      <c r="F1499">
        <v>15500</v>
      </c>
    </row>
    <row r="1500" spans="1:6">
      <c r="A1500" t="s">
        <v>2544</v>
      </c>
      <c r="B1500">
        <v>167</v>
      </c>
      <c r="C1500" t="s">
        <v>1049</v>
      </c>
      <c r="D1500">
        <v>16358</v>
      </c>
      <c r="E1500">
        <v>14354</v>
      </c>
      <c r="F1500">
        <v>15500</v>
      </c>
    </row>
    <row r="1501" spans="1:6">
      <c r="A1501" t="s">
        <v>2545</v>
      </c>
      <c r="B1501">
        <v>167</v>
      </c>
      <c r="C1501" t="s">
        <v>745</v>
      </c>
      <c r="D1501">
        <v>436192</v>
      </c>
      <c r="E1501">
        <v>14354</v>
      </c>
      <c r="F1501">
        <v>15500</v>
      </c>
    </row>
    <row r="1502" spans="1:6">
      <c r="A1502" t="s">
        <v>2546</v>
      </c>
      <c r="B1502">
        <v>167</v>
      </c>
      <c r="C1502" t="s">
        <v>1052</v>
      </c>
      <c r="D1502">
        <v>981432</v>
      </c>
      <c r="E1502">
        <v>14354</v>
      </c>
      <c r="F1502">
        <v>15500</v>
      </c>
    </row>
    <row r="1503" spans="1:6">
      <c r="A1503" t="s">
        <v>2547</v>
      </c>
      <c r="B1503">
        <v>167</v>
      </c>
      <c r="C1503" t="s">
        <v>164</v>
      </c>
      <c r="D1503">
        <v>9445444</v>
      </c>
      <c r="E1503">
        <v>16389</v>
      </c>
      <c r="F1503">
        <v>15500</v>
      </c>
    </row>
    <row r="1504" spans="1:6">
      <c r="A1504" t="s">
        <v>2548</v>
      </c>
      <c r="B1504">
        <v>167</v>
      </c>
      <c r="C1504" t="s">
        <v>651</v>
      </c>
      <c r="D1504">
        <v>4722722</v>
      </c>
      <c r="E1504">
        <v>16389</v>
      </c>
      <c r="F1504">
        <v>15500</v>
      </c>
    </row>
    <row r="1505" spans="1:6">
      <c r="A1505" t="s">
        <v>2549</v>
      </c>
      <c r="B1505">
        <v>168</v>
      </c>
      <c r="C1505" t="s">
        <v>154</v>
      </c>
      <c r="D1505">
        <v>110544</v>
      </c>
      <c r="E1505">
        <v>14496</v>
      </c>
      <c r="F1505">
        <v>15612</v>
      </c>
    </row>
    <row r="1506" spans="1:6">
      <c r="A1506" t="s">
        <v>2550</v>
      </c>
      <c r="B1506">
        <v>168</v>
      </c>
      <c r="C1506" t="s">
        <v>1043</v>
      </c>
      <c r="D1506">
        <v>331632</v>
      </c>
      <c r="E1506">
        <v>14496</v>
      </c>
      <c r="F1506">
        <v>15612</v>
      </c>
    </row>
    <row r="1507" spans="1:6">
      <c r="A1507" t="s">
        <v>2551</v>
      </c>
      <c r="B1507">
        <v>168</v>
      </c>
      <c r="C1507" t="s">
        <v>1045</v>
      </c>
      <c r="D1507">
        <v>198980</v>
      </c>
      <c r="E1507">
        <v>14496</v>
      </c>
      <c r="F1507">
        <v>15612</v>
      </c>
    </row>
    <row r="1508" spans="1:6">
      <c r="A1508" t="s">
        <v>2552</v>
      </c>
      <c r="B1508">
        <v>168</v>
      </c>
      <c r="C1508" t="s">
        <v>1047</v>
      </c>
      <c r="D1508">
        <v>55272</v>
      </c>
      <c r="E1508">
        <v>14496</v>
      </c>
      <c r="F1508">
        <v>15612</v>
      </c>
    </row>
    <row r="1509" spans="1:6">
      <c r="A1509" t="s">
        <v>2553</v>
      </c>
      <c r="B1509">
        <v>168</v>
      </c>
      <c r="C1509" t="s">
        <v>1049</v>
      </c>
      <c r="D1509">
        <v>16582</v>
      </c>
      <c r="E1509">
        <v>14496</v>
      </c>
      <c r="F1509">
        <v>15612</v>
      </c>
    </row>
    <row r="1510" spans="1:6">
      <c r="A1510" t="s">
        <v>2554</v>
      </c>
      <c r="B1510">
        <v>168</v>
      </c>
      <c r="C1510" t="s">
        <v>745</v>
      </c>
      <c r="D1510">
        <v>442176</v>
      </c>
      <c r="E1510">
        <v>14496</v>
      </c>
      <c r="F1510">
        <v>15612</v>
      </c>
    </row>
    <row r="1511" spans="1:6">
      <c r="A1511" t="s">
        <v>2555</v>
      </c>
      <c r="B1511">
        <v>168</v>
      </c>
      <c r="C1511" t="s">
        <v>1052</v>
      </c>
      <c r="D1511">
        <v>994896</v>
      </c>
      <c r="E1511">
        <v>14496</v>
      </c>
      <c r="F1511">
        <v>15612</v>
      </c>
    </row>
    <row r="1512" spans="1:6">
      <c r="A1512" t="s">
        <v>2556</v>
      </c>
      <c r="B1512">
        <v>168</v>
      </c>
      <c r="C1512" t="s">
        <v>164</v>
      </c>
      <c r="D1512">
        <v>9586763</v>
      </c>
      <c r="E1512">
        <v>16544</v>
      </c>
      <c r="F1512">
        <v>15612</v>
      </c>
    </row>
    <row r="1513" spans="1:6">
      <c r="A1513" t="s">
        <v>2557</v>
      </c>
      <c r="B1513">
        <v>168</v>
      </c>
      <c r="C1513" t="s">
        <v>651</v>
      </c>
      <c r="D1513">
        <v>4793381</v>
      </c>
      <c r="E1513">
        <v>16544</v>
      </c>
      <c r="F1513">
        <v>15612</v>
      </c>
    </row>
    <row r="1514" spans="1:6">
      <c r="A1514" t="s">
        <v>2558</v>
      </c>
      <c r="B1514">
        <v>169</v>
      </c>
      <c r="C1514" t="s">
        <v>154</v>
      </c>
      <c r="D1514">
        <v>112054</v>
      </c>
      <c r="E1514">
        <v>14638</v>
      </c>
      <c r="F1514">
        <v>15724</v>
      </c>
    </row>
    <row r="1515" spans="1:6">
      <c r="A1515" t="s">
        <v>2559</v>
      </c>
      <c r="B1515">
        <v>169</v>
      </c>
      <c r="C1515" t="s">
        <v>1043</v>
      </c>
      <c r="D1515">
        <v>336162</v>
      </c>
      <c r="E1515">
        <v>14638</v>
      </c>
      <c r="F1515">
        <v>15724</v>
      </c>
    </row>
    <row r="1516" spans="1:6">
      <c r="A1516" t="s">
        <v>2560</v>
      </c>
      <c r="B1516">
        <v>169</v>
      </c>
      <c r="C1516" t="s">
        <v>1045</v>
      </c>
      <c r="D1516">
        <v>201698</v>
      </c>
      <c r="E1516">
        <v>14638</v>
      </c>
      <c r="F1516">
        <v>15724</v>
      </c>
    </row>
    <row r="1517" spans="1:6">
      <c r="A1517" t="s">
        <v>2561</v>
      </c>
      <c r="B1517">
        <v>169</v>
      </c>
      <c r="C1517" t="s">
        <v>1047</v>
      </c>
      <c r="D1517">
        <v>56027</v>
      </c>
      <c r="E1517">
        <v>14638</v>
      </c>
      <c r="F1517">
        <v>15724</v>
      </c>
    </row>
    <row r="1518" spans="1:6">
      <c r="A1518" t="s">
        <v>2562</v>
      </c>
      <c r="B1518">
        <v>169</v>
      </c>
      <c r="C1518" t="s">
        <v>1049</v>
      </c>
      <c r="D1518">
        <v>16809</v>
      </c>
      <c r="E1518">
        <v>14638</v>
      </c>
      <c r="F1518">
        <v>15724</v>
      </c>
    </row>
    <row r="1519" spans="1:6">
      <c r="A1519" t="s">
        <v>2563</v>
      </c>
      <c r="B1519">
        <v>169</v>
      </c>
      <c r="C1519" t="s">
        <v>745</v>
      </c>
      <c r="D1519">
        <v>448216</v>
      </c>
      <c r="E1519">
        <v>14638</v>
      </c>
      <c r="F1519">
        <v>15724</v>
      </c>
    </row>
    <row r="1520" spans="1:6">
      <c r="A1520" t="s">
        <v>2564</v>
      </c>
      <c r="B1520">
        <v>169</v>
      </c>
      <c r="C1520" t="s">
        <v>1052</v>
      </c>
      <c r="D1520">
        <v>1008486</v>
      </c>
      <c r="E1520">
        <v>14638</v>
      </c>
      <c r="F1520">
        <v>15724</v>
      </c>
    </row>
    <row r="1521" spans="1:6">
      <c r="A1521" t="s">
        <v>2565</v>
      </c>
      <c r="B1521">
        <v>169</v>
      </c>
      <c r="C1521" t="s">
        <v>164</v>
      </c>
      <c r="D1521">
        <v>9729616</v>
      </c>
      <c r="E1521">
        <v>16700</v>
      </c>
      <c r="F1521">
        <v>15724</v>
      </c>
    </row>
    <row r="1522" spans="1:6">
      <c r="A1522" t="s">
        <v>2566</v>
      </c>
      <c r="B1522">
        <v>169</v>
      </c>
      <c r="C1522" t="s">
        <v>651</v>
      </c>
      <c r="D1522">
        <v>4864808</v>
      </c>
      <c r="E1522">
        <v>16700</v>
      </c>
      <c r="F1522">
        <v>15724</v>
      </c>
    </row>
    <row r="1523" spans="1:6">
      <c r="A1523" t="s">
        <v>2567</v>
      </c>
      <c r="B1523">
        <v>170</v>
      </c>
      <c r="C1523" t="s">
        <v>154</v>
      </c>
      <c r="D1523">
        <v>113579</v>
      </c>
      <c r="E1523">
        <v>14782</v>
      </c>
      <c r="F1523">
        <v>15836</v>
      </c>
    </row>
    <row r="1524" spans="1:6">
      <c r="A1524" t="s">
        <v>2568</v>
      </c>
      <c r="B1524">
        <v>170</v>
      </c>
      <c r="C1524" t="s">
        <v>1043</v>
      </c>
      <c r="D1524">
        <v>340737</v>
      </c>
      <c r="E1524">
        <v>14782</v>
      </c>
      <c r="F1524">
        <v>15836</v>
      </c>
    </row>
    <row r="1525" spans="1:6">
      <c r="A1525" t="s">
        <v>2569</v>
      </c>
      <c r="B1525">
        <v>170</v>
      </c>
      <c r="C1525" t="s">
        <v>1045</v>
      </c>
      <c r="D1525">
        <v>204443</v>
      </c>
      <c r="E1525">
        <v>14782</v>
      </c>
      <c r="F1525">
        <v>15836</v>
      </c>
    </row>
    <row r="1526" spans="1:6">
      <c r="A1526" t="s">
        <v>2570</v>
      </c>
      <c r="B1526">
        <v>170</v>
      </c>
      <c r="C1526" t="s">
        <v>1047</v>
      </c>
      <c r="D1526">
        <v>56790</v>
      </c>
      <c r="E1526">
        <v>14782</v>
      </c>
      <c r="F1526">
        <v>15836</v>
      </c>
    </row>
    <row r="1527" spans="1:6">
      <c r="A1527" t="s">
        <v>2571</v>
      </c>
      <c r="B1527">
        <v>170</v>
      </c>
      <c r="C1527" t="s">
        <v>1049</v>
      </c>
      <c r="D1527">
        <v>17037</v>
      </c>
      <c r="E1527">
        <v>14782</v>
      </c>
      <c r="F1527">
        <v>15836</v>
      </c>
    </row>
    <row r="1528" spans="1:6">
      <c r="A1528" t="s">
        <v>2572</v>
      </c>
      <c r="B1528">
        <v>170</v>
      </c>
      <c r="C1528" t="s">
        <v>745</v>
      </c>
      <c r="D1528">
        <v>454316</v>
      </c>
      <c r="E1528">
        <v>14782</v>
      </c>
      <c r="F1528">
        <v>15836</v>
      </c>
    </row>
    <row r="1529" spans="1:6">
      <c r="A1529" t="s">
        <v>2573</v>
      </c>
      <c r="B1529">
        <v>170</v>
      </c>
      <c r="C1529" t="s">
        <v>1052</v>
      </c>
      <c r="D1529">
        <v>1022211</v>
      </c>
      <c r="E1529">
        <v>14782</v>
      </c>
      <c r="F1529">
        <v>15836</v>
      </c>
    </row>
    <row r="1530" spans="1:6">
      <c r="A1530" t="s">
        <v>2574</v>
      </c>
      <c r="B1530">
        <v>170</v>
      </c>
      <c r="C1530" t="s">
        <v>164</v>
      </c>
      <c r="D1530">
        <v>9873951</v>
      </c>
      <c r="E1530">
        <v>16857</v>
      </c>
      <c r="F1530">
        <v>15836</v>
      </c>
    </row>
    <row r="1531" spans="1:6">
      <c r="A1531" t="s">
        <v>2575</v>
      </c>
      <c r="B1531">
        <v>170</v>
      </c>
      <c r="C1531" t="s">
        <v>651</v>
      </c>
      <c r="D1531">
        <v>4936976</v>
      </c>
      <c r="E1531">
        <v>16857</v>
      </c>
      <c r="F1531">
        <v>15836</v>
      </c>
    </row>
    <row r="1532" spans="1:6">
      <c r="A1532" t="s">
        <v>2576</v>
      </c>
      <c r="B1532">
        <v>171</v>
      </c>
      <c r="C1532" t="s">
        <v>154</v>
      </c>
      <c r="D1532">
        <v>115120</v>
      </c>
      <c r="E1532">
        <v>14926</v>
      </c>
      <c r="F1532">
        <v>15949</v>
      </c>
    </row>
    <row r="1533" spans="1:6">
      <c r="A1533" t="s">
        <v>2577</v>
      </c>
      <c r="B1533">
        <v>171</v>
      </c>
      <c r="C1533" t="s">
        <v>1043</v>
      </c>
      <c r="D1533">
        <v>345360</v>
      </c>
      <c r="E1533">
        <v>14926</v>
      </c>
      <c r="F1533">
        <v>15949</v>
      </c>
    </row>
    <row r="1534" spans="1:6">
      <c r="A1534" t="s">
        <v>2578</v>
      </c>
      <c r="B1534">
        <v>171</v>
      </c>
      <c r="C1534" t="s">
        <v>1045</v>
      </c>
      <c r="D1534">
        <v>207216</v>
      </c>
      <c r="E1534">
        <v>14926</v>
      </c>
      <c r="F1534">
        <v>15949</v>
      </c>
    </row>
    <row r="1535" spans="1:6">
      <c r="A1535" t="s">
        <v>2579</v>
      </c>
      <c r="B1535">
        <v>171</v>
      </c>
      <c r="C1535" t="s">
        <v>1047</v>
      </c>
      <c r="D1535">
        <v>57560</v>
      </c>
      <c r="E1535">
        <v>14926</v>
      </c>
      <c r="F1535">
        <v>15949</v>
      </c>
    </row>
    <row r="1536" spans="1:6">
      <c r="A1536" t="s">
        <v>2580</v>
      </c>
      <c r="B1536">
        <v>171</v>
      </c>
      <c r="C1536" t="s">
        <v>1049</v>
      </c>
      <c r="D1536">
        <v>17268</v>
      </c>
      <c r="E1536">
        <v>14926</v>
      </c>
      <c r="F1536">
        <v>15949</v>
      </c>
    </row>
    <row r="1537" spans="1:6">
      <c r="A1537" t="s">
        <v>2581</v>
      </c>
      <c r="B1537">
        <v>171</v>
      </c>
      <c r="C1537" t="s">
        <v>745</v>
      </c>
      <c r="D1537">
        <v>460480</v>
      </c>
      <c r="E1537">
        <v>14926</v>
      </c>
      <c r="F1537">
        <v>15949</v>
      </c>
    </row>
    <row r="1538" spans="1:6">
      <c r="A1538" t="s">
        <v>2582</v>
      </c>
      <c r="B1538">
        <v>171</v>
      </c>
      <c r="C1538" t="s">
        <v>1052</v>
      </c>
      <c r="D1538">
        <v>1036080</v>
      </c>
      <c r="E1538">
        <v>14926</v>
      </c>
      <c r="F1538">
        <v>15949</v>
      </c>
    </row>
    <row r="1539" spans="1:6">
      <c r="A1539" t="s">
        <v>2583</v>
      </c>
      <c r="B1539">
        <v>171</v>
      </c>
      <c r="C1539" t="s">
        <v>164</v>
      </c>
      <c r="D1539">
        <v>10019820</v>
      </c>
      <c r="E1539">
        <v>17015</v>
      </c>
      <c r="F1539">
        <v>15949</v>
      </c>
    </row>
    <row r="1540" spans="1:6">
      <c r="A1540" t="s">
        <v>2584</v>
      </c>
      <c r="B1540">
        <v>171</v>
      </c>
      <c r="C1540" t="s">
        <v>651</v>
      </c>
      <c r="D1540">
        <v>5009910</v>
      </c>
      <c r="E1540">
        <v>17015</v>
      </c>
      <c r="F1540">
        <v>15949</v>
      </c>
    </row>
    <row r="1541" spans="1:6">
      <c r="A1541" t="s">
        <v>2585</v>
      </c>
      <c r="B1541">
        <v>172</v>
      </c>
      <c r="C1541" t="s">
        <v>154</v>
      </c>
      <c r="D1541">
        <v>116675</v>
      </c>
      <c r="E1541">
        <v>15071</v>
      </c>
      <c r="F1541">
        <v>16062</v>
      </c>
    </row>
    <row r="1542" spans="1:6">
      <c r="A1542" t="s">
        <v>2586</v>
      </c>
      <c r="B1542">
        <v>172</v>
      </c>
      <c r="C1542" t="s">
        <v>1043</v>
      </c>
      <c r="D1542">
        <v>350025</v>
      </c>
      <c r="E1542">
        <v>15071</v>
      </c>
      <c r="F1542">
        <v>16062</v>
      </c>
    </row>
    <row r="1543" spans="1:6">
      <c r="A1543" t="s">
        <v>2587</v>
      </c>
      <c r="B1543">
        <v>172</v>
      </c>
      <c r="C1543" t="s">
        <v>1045</v>
      </c>
      <c r="D1543">
        <v>210015</v>
      </c>
      <c r="E1543">
        <v>15071</v>
      </c>
      <c r="F1543">
        <v>16062</v>
      </c>
    </row>
    <row r="1544" spans="1:6">
      <c r="A1544" t="s">
        <v>2588</v>
      </c>
      <c r="B1544">
        <v>172</v>
      </c>
      <c r="C1544" t="s">
        <v>1047</v>
      </c>
      <c r="D1544">
        <v>58338</v>
      </c>
      <c r="E1544">
        <v>15071</v>
      </c>
      <c r="F1544">
        <v>16062</v>
      </c>
    </row>
    <row r="1545" spans="1:6">
      <c r="A1545" t="s">
        <v>2589</v>
      </c>
      <c r="B1545">
        <v>172</v>
      </c>
      <c r="C1545" t="s">
        <v>1049</v>
      </c>
      <c r="D1545">
        <v>17502</v>
      </c>
      <c r="E1545">
        <v>15071</v>
      </c>
      <c r="F1545">
        <v>16062</v>
      </c>
    </row>
    <row r="1546" spans="1:6">
      <c r="A1546" t="s">
        <v>2590</v>
      </c>
      <c r="B1546">
        <v>172</v>
      </c>
      <c r="C1546" t="s">
        <v>745</v>
      </c>
      <c r="D1546">
        <v>466700</v>
      </c>
      <c r="E1546">
        <v>15071</v>
      </c>
      <c r="F1546">
        <v>16062</v>
      </c>
    </row>
    <row r="1547" spans="1:6">
      <c r="A1547" t="s">
        <v>2591</v>
      </c>
      <c r="B1547">
        <v>172</v>
      </c>
      <c r="C1547" t="s">
        <v>1052</v>
      </c>
      <c r="D1547">
        <v>1050075</v>
      </c>
      <c r="E1547">
        <v>15071</v>
      </c>
      <c r="F1547">
        <v>16062</v>
      </c>
    </row>
    <row r="1548" spans="1:6">
      <c r="A1548" t="s">
        <v>2592</v>
      </c>
      <c r="B1548">
        <v>172</v>
      </c>
      <c r="C1548" t="s">
        <v>164</v>
      </c>
      <c r="D1548">
        <v>10167222</v>
      </c>
      <c r="E1548">
        <v>17173</v>
      </c>
      <c r="F1548">
        <v>16062</v>
      </c>
    </row>
    <row r="1549" spans="1:6">
      <c r="A1549" t="s">
        <v>2593</v>
      </c>
      <c r="B1549">
        <v>172</v>
      </c>
      <c r="C1549" t="s">
        <v>651</v>
      </c>
      <c r="D1549">
        <v>5083611</v>
      </c>
      <c r="E1549">
        <v>17173</v>
      </c>
      <c r="F1549">
        <v>16062</v>
      </c>
    </row>
    <row r="1550" spans="1:6">
      <c r="A1550" t="s">
        <v>2594</v>
      </c>
      <c r="B1550">
        <v>173</v>
      </c>
      <c r="C1550" t="s">
        <v>154</v>
      </c>
      <c r="D1550">
        <v>118245</v>
      </c>
      <c r="E1550">
        <v>15217</v>
      </c>
      <c r="F1550">
        <v>16175</v>
      </c>
    </row>
    <row r="1551" spans="1:6">
      <c r="A1551" t="s">
        <v>2595</v>
      </c>
      <c r="B1551">
        <v>173</v>
      </c>
      <c r="C1551" t="s">
        <v>1043</v>
      </c>
      <c r="D1551">
        <v>354735</v>
      </c>
      <c r="E1551">
        <v>15217</v>
      </c>
      <c r="F1551">
        <v>16175</v>
      </c>
    </row>
    <row r="1552" spans="1:6">
      <c r="A1552" t="s">
        <v>2596</v>
      </c>
      <c r="B1552">
        <v>173</v>
      </c>
      <c r="C1552" t="s">
        <v>1045</v>
      </c>
      <c r="D1552">
        <v>212841</v>
      </c>
      <c r="E1552">
        <v>15217</v>
      </c>
      <c r="F1552">
        <v>16175</v>
      </c>
    </row>
    <row r="1553" spans="1:6">
      <c r="A1553" t="s">
        <v>2597</v>
      </c>
      <c r="B1553">
        <v>173</v>
      </c>
      <c r="C1553" t="s">
        <v>1047</v>
      </c>
      <c r="D1553">
        <v>59123</v>
      </c>
      <c r="E1553">
        <v>15217</v>
      </c>
      <c r="F1553">
        <v>16175</v>
      </c>
    </row>
    <row r="1554" spans="1:6">
      <c r="A1554" t="s">
        <v>2598</v>
      </c>
      <c r="B1554">
        <v>173</v>
      </c>
      <c r="C1554" t="s">
        <v>1049</v>
      </c>
      <c r="D1554">
        <v>17737</v>
      </c>
      <c r="E1554">
        <v>15217</v>
      </c>
      <c r="F1554">
        <v>16175</v>
      </c>
    </row>
    <row r="1555" spans="1:6">
      <c r="A1555" t="s">
        <v>2599</v>
      </c>
      <c r="B1555">
        <v>173</v>
      </c>
      <c r="C1555" t="s">
        <v>745</v>
      </c>
      <c r="D1555">
        <v>472980</v>
      </c>
      <c r="E1555">
        <v>15217</v>
      </c>
      <c r="F1555">
        <v>16175</v>
      </c>
    </row>
    <row r="1556" spans="1:6">
      <c r="A1556" t="s">
        <v>2600</v>
      </c>
      <c r="B1556">
        <v>173</v>
      </c>
      <c r="C1556" t="s">
        <v>1052</v>
      </c>
      <c r="D1556">
        <v>1064205</v>
      </c>
      <c r="E1556">
        <v>15217</v>
      </c>
      <c r="F1556">
        <v>16175</v>
      </c>
    </row>
    <row r="1557" spans="1:6">
      <c r="A1557" t="s">
        <v>2601</v>
      </c>
      <c r="B1557">
        <v>173</v>
      </c>
      <c r="C1557" t="s">
        <v>164</v>
      </c>
      <c r="D1557">
        <v>10316208</v>
      </c>
      <c r="E1557">
        <v>17333</v>
      </c>
      <c r="F1557">
        <v>16175</v>
      </c>
    </row>
    <row r="1558" spans="1:6">
      <c r="A1558" t="s">
        <v>2602</v>
      </c>
      <c r="B1558">
        <v>173</v>
      </c>
      <c r="C1558" t="s">
        <v>651</v>
      </c>
      <c r="D1558">
        <v>5158104</v>
      </c>
      <c r="E1558">
        <v>17333</v>
      </c>
      <c r="F1558">
        <v>16175</v>
      </c>
    </row>
    <row r="1559" spans="1:6">
      <c r="A1559" t="s">
        <v>2603</v>
      </c>
      <c r="B1559">
        <v>174</v>
      </c>
      <c r="C1559" t="s">
        <v>154</v>
      </c>
      <c r="D1559">
        <v>119830</v>
      </c>
      <c r="E1559">
        <v>15364</v>
      </c>
      <c r="F1559">
        <v>16288</v>
      </c>
    </row>
    <row r="1560" spans="1:6">
      <c r="A1560" t="s">
        <v>2604</v>
      </c>
      <c r="B1560">
        <v>174</v>
      </c>
      <c r="C1560" t="s">
        <v>1043</v>
      </c>
      <c r="D1560">
        <v>359490</v>
      </c>
      <c r="E1560">
        <v>15364</v>
      </c>
      <c r="F1560">
        <v>16288</v>
      </c>
    </row>
    <row r="1561" spans="1:6">
      <c r="A1561" t="s">
        <v>2605</v>
      </c>
      <c r="B1561">
        <v>174</v>
      </c>
      <c r="C1561" t="s">
        <v>1045</v>
      </c>
      <c r="D1561">
        <v>215694</v>
      </c>
      <c r="E1561">
        <v>15364</v>
      </c>
      <c r="F1561">
        <v>16288</v>
      </c>
    </row>
    <row r="1562" spans="1:6">
      <c r="A1562" t="s">
        <v>2606</v>
      </c>
      <c r="B1562">
        <v>174</v>
      </c>
      <c r="C1562" t="s">
        <v>1047</v>
      </c>
      <c r="D1562">
        <v>59915</v>
      </c>
      <c r="E1562">
        <v>15364</v>
      </c>
      <c r="F1562">
        <v>16288</v>
      </c>
    </row>
    <row r="1563" spans="1:6">
      <c r="A1563" t="s">
        <v>2607</v>
      </c>
      <c r="B1563">
        <v>174</v>
      </c>
      <c r="C1563" t="s">
        <v>1049</v>
      </c>
      <c r="D1563">
        <v>17975</v>
      </c>
      <c r="E1563">
        <v>15364</v>
      </c>
      <c r="F1563">
        <v>16288</v>
      </c>
    </row>
    <row r="1564" spans="1:6">
      <c r="A1564" t="s">
        <v>2608</v>
      </c>
      <c r="B1564">
        <v>174</v>
      </c>
      <c r="C1564" t="s">
        <v>745</v>
      </c>
      <c r="D1564">
        <v>479320</v>
      </c>
      <c r="E1564">
        <v>15364</v>
      </c>
      <c r="F1564">
        <v>16288</v>
      </c>
    </row>
    <row r="1565" spans="1:6">
      <c r="A1565" t="s">
        <v>2609</v>
      </c>
      <c r="B1565">
        <v>174</v>
      </c>
      <c r="C1565" t="s">
        <v>1052</v>
      </c>
      <c r="D1565">
        <v>1078470</v>
      </c>
      <c r="E1565">
        <v>15364</v>
      </c>
      <c r="F1565">
        <v>16288</v>
      </c>
    </row>
    <row r="1566" spans="1:6">
      <c r="A1566" t="s">
        <v>2610</v>
      </c>
      <c r="B1566">
        <v>174</v>
      </c>
      <c r="C1566" t="s">
        <v>164</v>
      </c>
      <c r="D1566">
        <v>10466727</v>
      </c>
      <c r="E1566">
        <v>17493</v>
      </c>
      <c r="F1566">
        <v>16288</v>
      </c>
    </row>
    <row r="1567" spans="1:6">
      <c r="A1567" t="s">
        <v>2611</v>
      </c>
      <c r="B1567">
        <v>174</v>
      </c>
      <c r="C1567" t="s">
        <v>651</v>
      </c>
      <c r="D1567">
        <v>5233363</v>
      </c>
      <c r="E1567">
        <v>17493</v>
      </c>
      <c r="F1567">
        <v>16288</v>
      </c>
    </row>
    <row r="1568" spans="1:6">
      <c r="A1568" t="s">
        <v>2612</v>
      </c>
      <c r="B1568">
        <v>175</v>
      </c>
      <c r="C1568" t="s">
        <v>154</v>
      </c>
      <c r="D1568">
        <v>121431</v>
      </c>
      <c r="E1568">
        <v>15511</v>
      </c>
      <c r="F1568">
        <v>16402</v>
      </c>
    </row>
    <row r="1569" spans="1:6">
      <c r="A1569" t="s">
        <v>2613</v>
      </c>
      <c r="B1569">
        <v>175</v>
      </c>
      <c r="C1569" t="s">
        <v>1043</v>
      </c>
      <c r="D1569">
        <v>364293</v>
      </c>
      <c r="E1569">
        <v>15511</v>
      </c>
      <c r="F1569">
        <v>16402</v>
      </c>
    </row>
    <row r="1570" spans="1:6">
      <c r="A1570" t="s">
        <v>2614</v>
      </c>
      <c r="B1570">
        <v>175</v>
      </c>
      <c r="C1570" t="s">
        <v>1045</v>
      </c>
      <c r="D1570">
        <v>218576</v>
      </c>
      <c r="E1570">
        <v>15511</v>
      </c>
      <c r="F1570">
        <v>16402</v>
      </c>
    </row>
    <row r="1571" spans="1:6">
      <c r="A1571" t="s">
        <v>2615</v>
      </c>
      <c r="B1571">
        <v>175</v>
      </c>
      <c r="C1571" t="s">
        <v>1047</v>
      </c>
      <c r="D1571">
        <v>60716</v>
      </c>
      <c r="E1571">
        <v>15511</v>
      </c>
      <c r="F1571">
        <v>16402</v>
      </c>
    </row>
    <row r="1572" spans="1:6">
      <c r="A1572" t="s">
        <v>2616</v>
      </c>
      <c r="B1572">
        <v>175</v>
      </c>
      <c r="C1572" t="s">
        <v>1049</v>
      </c>
      <c r="D1572">
        <v>18215</v>
      </c>
      <c r="E1572">
        <v>15511</v>
      </c>
      <c r="F1572">
        <v>16402</v>
      </c>
    </row>
    <row r="1573" spans="1:6">
      <c r="A1573" t="s">
        <v>2617</v>
      </c>
      <c r="B1573">
        <v>175</v>
      </c>
      <c r="C1573" t="s">
        <v>745</v>
      </c>
      <c r="D1573">
        <v>485724</v>
      </c>
      <c r="E1573">
        <v>15511</v>
      </c>
      <c r="F1573">
        <v>16402</v>
      </c>
    </row>
    <row r="1574" spans="1:6">
      <c r="A1574" t="s">
        <v>2618</v>
      </c>
      <c r="B1574">
        <v>175</v>
      </c>
      <c r="C1574" t="s">
        <v>1052</v>
      </c>
      <c r="D1574">
        <v>1092879</v>
      </c>
      <c r="E1574">
        <v>15511</v>
      </c>
      <c r="F1574">
        <v>16402</v>
      </c>
    </row>
    <row r="1575" spans="1:6">
      <c r="A1575" t="s">
        <v>2619</v>
      </c>
      <c r="B1575">
        <v>175</v>
      </c>
      <c r="C1575" t="s">
        <v>164</v>
      </c>
      <c r="D1575">
        <v>10618881</v>
      </c>
      <c r="E1575">
        <v>17654</v>
      </c>
      <c r="F1575">
        <v>16402</v>
      </c>
    </row>
    <row r="1576" spans="1:6">
      <c r="A1576" t="s">
        <v>2620</v>
      </c>
      <c r="B1576">
        <v>175</v>
      </c>
      <c r="C1576" t="s">
        <v>651</v>
      </c>
      <c r="D1576">
        <v>5309440</v>
      </c>
      <c r="E1576">
        <v>17654</v>
      </c>
      <c r="F1576">
        <v>16402</v>
      </c>
    </row>
    <row r="1577" spans="1:6">
      <c r="A1577" t="s">
        <v>2621</v>
      </c>
      <c r="B1577">
        <v>176</v>
      </c>
      <c r="C1577" t="s">
        <v>154</v>
      </c>
      <c r="D1577">
        <v>123047</v>
      </c>
      <c r="E1577">
        <v>15661</v>
      </c>
      <c r="F1577">
        <v>16515</v>
      </c>
    </row>
    <row r="1578" spans="1:6">
      <c r="A1578" t="s">
        <v>2622</v>
      </c>
      <c r="B1578">
        <v>176</v>
      </c>
      <c r="C1578" t="s">
        <v>1043</v>
      </c>
      <c r="D1578">
        <v>369141</v>
      </c>
      <c r="E1578">
        <v>15661</v>
      </c>
      <c r="F1578">
        <v>16515</v>
      </c>
    </row>
    <row r="1579" spans="1:6">
      <c r="A1579" t="s">
        <v>2623</v>
      </c>
      <c r="B1579">
        <v>176</v>
      </c>
      <c r="C1579" t="s">
        <v>1045</v>
      </c>
      <c r="D1579">
        <v>221485</v>
      </c>
      <c r="E1579">
        <v>15661</v>
      </c>
      <c r="F1579">
        <v>16515</v>
      </c>
    </row>
    <row r="1580" spans="1:6">
      <c r="A1580" t="s">
        <v>2624</v>
      </c>
      <c r="B1580">
        <v>176</v>
      </c>
      <c r="C1580" t="s">
        <v>1047</v>
      </c>
      <c r="D1580">
        <v>61524</v>
      </c>
      <c r="E1580">
        <v>15661</v>
      </c>
      <c r="F1580">
        <v>16515</v>
      </c>
    </row>
    <row r="1581" spans="1:6">
      <c r="A1581" t="s">
        <v>2625</v>
      </c>
      <c r="B1581">
        <v>176</v>
      </c>
      <c r="C1581" t="s">
        <v>1049</v>
      </c>
      <c r="D1581">
        <v>18458</v>
      </c>
      <c r="E1581">
        <v>15661</v>
      </c>
      <c r="F1581">
        <v>16515</v>
      </c>
    </row>
    <row r="1582" spans="1:6">
      <c r="A1582" t="s">
        <v>2626</v>
      </c>
      <c r="B1582">
        <v>176</v>
      </c>
      <c r="C1582" t="s">
        <v>745</v>
      </c>
      <c r="D1582">
        <v>492188</v>
      </c>
      <c r="E1582">
        <v>15661</v>
      </c>
      <c r="F1582">
        <v>16515</v>
      </c>
    </row>
    <row r="1583" spans="1:6">
      <c r="A1583" t="s">
        <v>2627</v>
      </c>
      <c r="B1583">
        <v>176</v>
      </c>
      <c r="C1583" t="s">
        <v>1052</v>
      </c>
      <c r="D1583">
        <v>1107423</v>
      </c>
      <c r="E1583">
        <v>15661</v>
      </c>
      <c r="F1583">
        <v>16515</v>
      </c>
    </row>
    <row r="1584" spans="1:6">
      <c r="A1584" t="s">
        <v>2628</v>
      </c>
      <c r="B1584">
        <v>176</v>
      </c>
      <c r="C1584" t="s">
        <v>164</v>
      </c>
      <c r="D1584">
        <v>10772619</v>
      </c>
      <c r="E1584">
        <v>17817</v>
      </c>
      <c r="F1584">
        <v>16515</v>
      </c>
    </row>
    <row r="1585" spans="1:6">
      <c r="A1585" t="s">
        <v>2629</v>
      </c>
      <c r="B1585">
        <v>176</v>
      </c>
      <c r="C1585" t="s">
        <v>651</v>
      </c>
      <c r="D1585">
        <v>5386309</v>
      </c>
      <c r="E1585">
        <v>17817</v>
      </c>
      <c r="F1585">
        <v>16515</v>
      </c>
    </row>
    <row r="1586" spans="1:6">
      <c r="A1586" t="s">
        <v>2630</v>
      </c>
      <c r="B1586">
        <v>177</v>
      </c>
      <c r="C1586" t="s">
        <v>154</v>
      </c>
      <c r="D1586">
        <v>124679</v>
      </c>
      <c r="E1586">
        <v>15810</v>
      </c>
      <c r="F1586">
        <v>16629</v>
      </c>
    </row>
    <row r="1587" spans="1:6">
      <c r="A1587" t="s">
        <v>2631</v>
      </c>
      <c r="B1587">
        <v>177</v>
      </c>
      <c r="C1587" t="s">
        <v>1043</v>
      </c>
      <c r="D1587">
        <v>374037</v>
      </c>
      <c r="E1587">
        <v>15810</v>
      </c>
      <c r="F1587">
        <v>16629</v>
      </c>
    </row>
    <row r="1588" spans="1:6">
      <c r="A1588" t="s">
        <v>2632</v>
      </c>
      <c r="B1588">
        <v>177</v>
      </c>
      <c r="C1588" t="s">
        <v>1045</v>
      </c>
      <c r="D1588">
        <v>224423</v>
      </c>
      <c r="E1588">
        <v>15810</v>
      </c>
      <c r="F1588">
        <v>16629</v>
      </c>
    </row>
    <row r="1589" spans="1:6">
      <c r="A1589" t="s">
        <v>2633</v>
      </c>
      <c r="B1589">
        <v>177</v>
      </c>
      <c r="C1589" t="s">
        <v>1047</v>
      </c>
      <c r="D1589">
        <v>62340</v>
      </c>
      <c r="E1589">
        <v>15810</v>
      </c>
      <c r="F1589">
        <v>16629</v>
      </c>
    </row>
    <row r="1590" spans="1:6">
      <c r="A1590" t="s">
        <v>2634</v>
      </c>
      <c r="B1590">
        <v>177</v>
      </c>
      <c r="C1590" t="s">
        <v>1049</v>
      </c>
      <c r="D1590">
        <v>18702</v>
      </c>
      <c r="E1590">
        <v>15810</v>
      </c>
      <c r="F1590">
        <v>16629</v>
      </c>
    </row>
    <row r="1591" spans="1:6">
      <c r="A1591" t="s">
        <v>2635</v>
      </c>
      <c r="B1591">
        <v>177</v>
      </c>
      <c r="C1591" t="s">
        <v>745</v>
      </c>
      <c r="D1591">
        <v>498716</v>
      </c>
      <c r="E1591">
        <v>15810</v>
      </c>
      <c r="F1591">
        <v>16629</v>
      </c>
    </row>
    <row r="1592" spans="1:6">
      <c r="A1592" t="s">
        <v>2636</v>
      </c>
      <c r="B1592">
        <v>177</v>
      </c>
      <c r="C1592" t="s">
        <v>1052</v>
      </c>
      <c r="D1592">
        <v>1122111</v>
      </c>
      <c r="E1592">
        <v>15810</v>
      </c>
      <c r="F1592">
        <v>16629</v>
      </c>
    </row>
    <row r="1593" spans="1:6">
      <c r="A1593" t="s">
        <v>2637</v>
      </c>
      <c r="B1593">
        <v>177</v>
      </c>
      <c r="C1593" t="s">
        <v>164</v>
      </c>
      <c r="D1593">
        <v>10927889</v>
      </c>
      <c r="E1593">
        <v>17980</v>
      </c>
      <c r="F1593">
        <v>16629</v>
      </c>
    </row>
    <row r="1594" spans="1:6">
      <c r="A1594" t="s">
        <v>2638</v>
      </c>
      <c r="B1594">
        <v>177</v>
      </c>
      <c r="C1594" t="s">
        <v>651</v>
      </c>
      <c r="D1594">
        <v>5463945</v>
      </c>
      <c r="E1594">
        <v>17980</v>
      </c>
      <c r="F1594">
        <v>16629</v>
      </c>
    </row>
    <row r="1595" spans="1:6">
      <c r="A1595" t="s">
        <v>2639</v>
      </c>
      <c r="B1595">
        <v>178</v>
      </c>
      <c r="C1595" t="s">
        <v>154</v>
      </c>
      <c r="D1595">
        <v>126326</v>
      </c>
      <c r="E1595">
        <v>15960</v>
      </c>
      <c r="F1595">
        <v>16743</v>
      </c>
    </row>
    <row r="1596" spans="1:6">
      <c r="A1596" t="s">
        <v>2640</v>
      </c>
      <c r="B1596">
        <v>178</v>
      </c>
      <c r="C1596" t="s">
        <v>1043</v>
      </c>
      <c r="D1596">
        <v>378978</v>
      </c>
      <c r="E1596">
        <v>15960</v>
      </c>
      <c r="F1596">
        <v>16743</v>
      </c>
    </row>
    <row r="1597" spans="1:6">
      <c r="A1597" t="s">
        <v>2641</v>
      </c>
      <c r="B1597">
        <v>178</v>
      </c>
      <c r="C1597" t="s">
        <v>1045</v>
      </c>
      <c r="D1597">
        <v>227387</v>
      </c>
      <c r="E1597">
        <v>15960</v>
      </c>
      <c r="F1597">
        <v>16743</v>
      </c>
    </row>
    <row r="1598" spans="1:6">
      <c r="A1598" t="s">
        <v>2642</v>
      </c>
      <c r="B1598">
        <v>178</v>
      </c>
      <c r="C1598" t="s">
        <v>1047</v>
      </c>
      <c r="D1598">
        <v>63163</v>
      </c>
      <c r="E1598">
        <v>15960</v>
      </c>
      <c r="F1598">
        <v>16743</v>
      </c>
    </row>
    <row r="1599" spans="1:6">
      <c r="A1599" t="s">
        <v>2643</v>
      </c>
      <c r="B1599">
        <v>178</v>
      </c>
      <c r="C1599" t="s">
        <v>1049</v>
      </c>
      <c r="D1599">
        <v>18949</v>
      </c>
      <c r="E1599">
        <v>15960</v>
      </c>
      <c r="F1599">
        <v>16743</v>
      </c>
    </row>
    <row r="1600" spans="1:6">
      <c r="A1600" t="s">
        <v>2644</v>
      </c>
      <c r="B1600">
        <v>178</v>
      </c>
      <c r="C1600" t="s">
        <v>745</v>
      </c>
      <c r="D1600">
        <v>505304</v>
      </c>
      <c r="E1600">
        <v>15960</v>
      </c>
      <c r="F1600">
        <v>16743</v>
      </c>
    </row>
    <row r="1601" spans="1:6">
      <c r="A1601" t="s">
        <v>2645</v>
      </c>
      <c r="B1601">
        <v>178</v>
      </c>
      <c r="C1601" t="s">
        <v>1052</v>
      </c>
      <c r="D1601">
        <v>1136934</v>
      </c>
      <c r="E1601">
        <v>15960</v>
      </c>
      <c r="F1601">
        <v>16743</v>
      </c>
    </row>
    <row r="1602" spans="1:6">
      <c r="A1602" t="s">
        <v>2646</v>
      </c>
      <c r="B1602">
        <v>178</v>
      </c>
      <c r="C1602" t="s">
        <v>164</v>
      </c>
      <c r="D1602">
        <v>11084845</v>
      </c>
      <c r="E1602">
        <v>18144</v>
      </c>
      <c r="F1602">
        <v>16743</v>
      </c>
    </row>
    <row r="1603" spans="1:6">
      <c r="A1603" t="s">
        <v>2647</v>
      </c>
      <c r="B1603">
        <v>178</v>
      </c>
      <c r="C1603" t="s">
        <v>651</v>
      </c>
      <c r="D1603">
        <v>5542423</v>
      </c>
      <c r="E1603">
        <v>18144</v>
      </c>
      <c r="F1603">
        <v>16743</v>
      </c>
    </row>
    <row r="1604" spans="1:6">
      <c r="A1604" t="s">
        <v>2648</v>
      </c>
      <c r="B1604">
        <v>179</v>
      </c>
      <c r="C1604" t="s">
        <v>154</v>
      </c>
      <c r="D1604">
        <v>127989</v>
      </c>
      <c r="E1604">
        <v>16112</v>
      </c>
      <c r="F1604">
        <v>16858</v>
      </c>
    </row>
    <row r="1605" spans="1:6">
      <c r="A1605" t="s">
        <v>2649</v>
      </c>
      <c r="B1605">
        <v>179</v>
      </c>
      <c r="C1605" t="s">
        <v>1043</v>
      </c>
      <c r="D1605">
        <v>383967</v>
      </c>
      <c r="E1605">
        <v>16112</v>
      </c>
      <c r="F1605">
        <v>16858</v>
      </c>
    </row>
    <row r="1606" spans="1:6">
      <c r="A1606" t="s">
        <v>2650</v>
      </c>
      <c r="B1606">
        <v>179</v>
      </c>
      <c r="C1606" t="s">
        <v>1045</v>
      </c>
      <c r="D1606">
        <v>230381</v>
      </c>
      <c r="E1606">
        <v>16112</v>
      </c>
      <c r="F1606">
        <v>16858</v>
      </c>
    </row>
    <row r="1607" spans="1:6">
      <c r="A1607" t="s">
        <v>2651</v>
      </c>
      <c r="B1607">
        <v>179</v>
      </c>
      <c r="C1607" t="s">
        <v>1047</v>
      </c>
      <c r="D1607">
        <v>63995</v>
      </c>
      <c r="E1607">
        <v>16112</v>
      </c>
      <c r="F1607">
        <v>16858</v>
      </c>
    </row>
    <row r="1608" spans="1:6">
      <c r="A1608" t="s">
        <v>2652</v>
      </c>
      <c r="B1608">
        <v>179</v>
      </c>
      <c r="C1608" t="s">
        <v>1049</v>
      </c>
      <c r="D1608">
        <v>19199</v>
      </c>
      <c r="E1608">
        <v>16112</v>
      </c>
      <c r="F1608">
        <v>16858</v>
      </c>
    </row>
    <row r="1609" spans="1:6">
      <c r="A1609" t="s">
        <v>2653</v>
      </c>
      <c r="B1609">
        <v>179</v>
      </c>
      <c r="C1609" t="s">
        <v>745</v>
      </c>
      <c r="D1609">
        <v>511956</v>
      </c>
      <c r="E1609">
        <v>16112</v>
      </c>
      <c r="F1609">
        <v>16858</v>
      </c>
    </row>
    <row r="1610" spans="1:6">
      <c r="A1610" t="s">
        <v>2654</v>
      </c>
      <c r="B1610">
        <v>179</v>
      </c>
      <c r="C1610" t="s">
        <v>1052</v>
      </c>
      <c r="D1610">
        <v>1151901</v>
      </c>
      <c r="E1610">
        <v>16112</v>
      </c>
      <c r="F1610">
        <v>16858</v>
      </c>
    </row>
    <row r="1611" spans="1:6">
      <c r="A1611" t="s">
        <v>2655</v>
      </c>
      <c r="B1611">
        <v>179</v>
      </c>
      <c r="C1611" t="s">
        <v>164</v>
      </c>
      <c r="D1611">
        <v>11243385</v>
      </c>
      <c r="E1611">
        <v>18309</v>
      </c>
      <c r="F1611">
        <v>16858</v>
      </c>
    </row>
    <row r="1612" spans="1:6">
      <c r="A1612" t="s">
        <v>2656</v>
      </c>
      <c r="B1612">
        <v>179</v>
      </c>
      <c r="C1612" t="s">
        <v>651</v>
      </c>
      <c r="D1612">
        <v>5621692</v>
      </c>
      <c r="E1612">
        <v>18309</v>
      </c>
      <c r="F1612">
        <v>16858</v>
      </c>
    </row>
    <row r="1613" spans="1:6">
      <c r="A1613" t="s">
        <v>2657</v>
      </c>
      <c r="B1613">
        <v>180</v>
      </c>
      <c r="C1613" t="s">
        <v>154</v>
      </c>
      <c r="D1613">
        <v>129668</v>
      </c>
      <c r="E1613">
        <v>16264</v>
      </c>
      <c r="F1613">
        <v>16973</v>
      </c>
    </row>
    <row r="1614" spans="1:6">
      <c r="A1614" t="s">
        <v>2658</v>
      </c>
      <c r="B1614">
        <v>180</v>
      </c>
      <c r="C1614" t="s">
        <v>1043</v>
      </c>
      <c r="D1614">
        <v>389004</v>
      </c>
      <c r="E1614">
        <v>16264</v>
      </c>
      <c r="F1614">
        <v>16973</v>
      </c>
    </row>
    <row r="1615" spans="1:6">
      <c r="A1615" t="s">
        <v>2659</v>
      </c>
      <c r="B1615">
        <v>180</v>
      </c>
      <c r="C1615" t="s">
        <v>1045</v>
      </c>
      <c r="D1615">
        <v>233403</v>
      </c>
      <c r="E1615">
        <v>16264</v>
      </c>
      <c r="F1615">
        <v>16973</v>
      </c>
    </row>
    <row r="1616" spans="1:6">
      <c r="A1616" t="s">
        <v>2660</v>
      </c>
      <c r="B1616">
        <v>180</v>
      </c>
      <c r="C1616" t="s">
        <v>1047</v>
      </c>
      <c r="D1616">
        <v>64834</v>
      </c>
      <c r="E1616">
        <v>16264</v>
      </c>
      <c r="F1616">
        <v>16973</v>
      </c>
    </row>
    <row r="1617" spans="1:6">
      <c r="A1617" t="s">
        <v>2661</v>
      </c>
      <c r="B1617">
        <v>180</v>
      </c>
      <c r="C1617" t="s">
        <v>1049</v>
      </c>
      <c r="D1617">
        <v>19451</v>
      </c>
      <c r="E1617">
        <v>16264</v>
      </c>
      <c r="F1617">
        <v>16973</v>
      </c>
    </row>
    <row r="1618" spans="1:6">
      <c r="A1618" t="s">
        <v>2662</v>
      </c>
      <c r="B1618">
        <v>180</v>
      </c>
      <c r="C1618" t="s">
        <v>745</v>
      </c>
      <c r="D1618">
        <v>518672</v>
      </c>
      <c r="E1618">
        <v>16264</v>
      </c>
      <c r="F1618">
        <v>16973</v>
      </c>
    </row>
    <row r="1619" spans="1:6">
      <c r="A1619" t="s">
        <v>2663</v>
      </c>
      <c r="B1619">
        <v>180</v>
      </c>
      <c r="C1619" t="s">
        <v>1052</v>
      </c>
      <c r="D1619">
        <v>1167012</v>
      </c>
      <c r="E1619">
        <v>16264</v>
      </c>
      <c r="F1619">
        <v>16973</v>
      </c>
    </row>
    <row r="1620" spans="1:6">
      <c r="A1620" t="s">
        <v>2664</v>
      </c>
      <c r="B1620">
        <v>180</v>
      </c>
      <c r="C1620" t="s">
        <v>164</v>
      </c>
      <c r="D1620">
        <v>11403610</v>
      </c>
      <c r="E1620">
        <v>18475</v>
      </c>
      <c r="F1620">
        <v>16973</v>
      </c>
    </row>
    <row r="1621" spans="1:6">
      <c r="A1621" t="s">
        <v>2665</v>
      </c>
      <c r="B1621">
        <v>180</v>
      </c>
      <c r="C1621" t="s">
        <v>651</v>
      </c>
      <c r="D1621">
        <v>5701805</v>
      </c>
      <c r="E1621">
        <v>18475</v>
      </c>
      <c r="F1621">
        <v>16973</v>
      </c>
    </row>
    <row r="1622" spans="1:6">
      <c r="A1622" t="s">
        <v>2666</v>
      </c>
      <c r="B1622">
        <v>181</v>
      </c>
      <c r="C1622" t="s">
        <v>154</v>
      </c>
      <c r="D1622">
        <v>131363</v>
      </c>
      <c r="E1622">
        <v>16418</v>
      </c>
      <c r="F1622">
        <v>17087</v>
      </c>
    </row>
    <row r="1623" spans="1:6">
      <c r="A1623" t="s">
        <v>2667</v>
      </c>
      <c r="B1623">
        <v>181</v>
      </c>
      <c r="C1623" t="s">
        <v>1043</v>
      </c>
      <c r="D1623">
        <v>394089</v>
      </c>
      <c r="E1623">
        <v>16418</v>
      </c>
      <c r="F1623">
        <v>17087</v>
      </c>
    </row>
    <row r="1624" spans="1:6">
      <c r="A1624" t="s">
        <v>2668</v>
      </c>
      <c r="B1624">
        <v>181</v>
      </c>
      <c r="C1624" t="s">
        <v>1045</v>
      </c>
      <c r="D1624">
        <v>236454</v>
      </c>
      <c r="E1624">
        <v>16418</v>
      </c>
      <c r="F1624">
        <v>17087</v>
      </c>
    </row>
    <row r="1625" spans="1:6">
      <c r="A1625" t="s">
        <v>2669</v>
      </c>
      <c r="B1625">
        <v>181</v>
      </c>
      <c r="C1625" t="s">
        <v>1047</v>
      </c>
      <c r="D1625">
        <v>65682</v>
      </c>
      <c r="E1625">
        <v>16418</v>
      </c>
      <c r="F1625">
        <v>17087</v>
      </c>
    </row>
    <row r="1626" spans="1:6">
      <c r="A1626" t="s">
        <v>2670</v>
      </c>
      <c r="B1626">
        <v>181</v>
      </c>
      <c r="C1626" t="s">
        <v>1049</v>
      </c>
      <c r="D1626">
        <v>19705</v>
      </c>
      <c r="E1626">
        <v>16418</v>
      </c>
      <c r="F1626">
        <v>17087</v>
      </c>
    </row>
    <row r="1627" spans="1:6">
      <c r="A1627" t="s">
        <v>2671</v>
      </c>
      <c r="B1627">
        <v>181</v>
      </c>
      <c r="C1627" t="s">
        <v>745</v>
      </c>
      <c r="D1627">
        <v>525452</v>
      </c>
      <c r="E1627">
        <v>16418</v>
      </c>
      <c r="F1627">
        <v>17087</v>
      </c>
    </row>
    <row r="1628" spans="1:6">
      <c r="A1628" t="s">
        <v>2672</v>
      </c>
      <c r="B1628">
        <v>181</v>
      </c>
      <c r="C1628" t="s">
        <v>1052</v>
      </c>
      <c r="D1628">
        <v>1182267</v>
      </c>
      <c r="E1628">
        <v>16418</v>
      </c>
      <c r="F1628">
        <v>17087</v>
      </c>
    </row>
    <row r="1629" spans="1:6">
      <c r="A1629" t="s">
        <v>2673</v>
      </c>
      <c r="B1629">
        <v>181</v>
      </c>
      <c r="C1629" t="s">
        <v>164</v>
      </c>
      <c r="D1629">
        <v>11565469</v>
      </c>
      <c r="E1629">
        <v>18642</v>
      </c>
      <c r="F1629">
        <v>17087</v>
      </c>
    </row>
    <row r="1630" spans="1:6">
      <c r="A1630" t="s">
        <v>2674</v>
      </c>
      <c r="B1630">
        <v>181</v>
      </c>
      <c r="C1630" t="s">
        <v>651</v>
      </c>
      <c r="D1630">
        <v>5782735</v>
      </c>
      <c r="E1630">
        <v>18642</v>
      </c>
      <c r="F1630">
        <v>17087</v>
      </c>
    </row>
    <row r="1631" spans="1:6">
      <c r="A1631" t="s">
        <v>2675</v>
      </c>
      <c r="B1631">
        <v>182</v>
      </c>
      <c r="C1631" t="s">
        <v>154</v>
      </c>
      <c r="D1631">
        <v>133074</v>
      </c>
      <c r="E1631">
        <v>16571</v>
      </c>
      <c r="F1631">
        <v>17203</v>
      </c>
    </row>
    <row r="1632" spans="1:6">
      <c r="A1632" t="s">
        <v>2676</v>
      </c>
      <c r="B1632">
        <v>182</v>
      </c>
      <c r="C1632" t="s">
        <v>1043</v>
      </c>
      <c r="D1632">
        <v>399222</v>
      </c>
      <c r="E1632">
        <v>16571</v>
      </c>
      <c r="F1632">
        <v>17203</v>
      </c>
    </row>
    <row r="1633" spans="1:6">
      <c r="A1633" t="s">
        <v>2677</v>
      </c>
      <c r="B1633">
        <v>182</v>
      </c>
      <c r="C1633" t="s">
        <v>1045</v>
      </c>
      <c r="D1633">
        <v>239534</v>
      </c>
      <c r="E1633">
        <v>16571</v>
      </c>
      <c r="F1633">
        <v>17203</v>
      </c>
    </row>
    <row r="1634" spans="1:6">
      <c r="A1634" t="s">
        <v>2678</v>
      </c>
      <c r="B1634">
        <v>182</v>
      </c>
      <c r="C1634" t="s">
        <v>1047</v>
      </c>
      <c r="D1634">
        <v>66537</v>
      </c>
      <c r="E1634">
        <v>16571</v>
      </c>
      <c r="F1634">
        <v>17203</v>
      </c>
    </row>
    <row r="1635" spans="1:6">
      <c r="A1635" t="s">
        <v>2679</v>
      </c>
      <c r="B1635">
        <v>182</v>
      </c>
      <c r="C1635" t="s">
        <v>1049</v>
      </c>
      <c r="D1635">
        <v>19962</v>
      </c>
      <c r="E1635">
        <v>16571</v>
      </c>
      <c r="F1635">
        <v>17203</v>
      </c>
    </row>
    <row r="1636" spans="1:6">
      <c r="A1636" t="s">
        <v>2680</v>
      </c>
      <c r="B1636">
        <v>182</v>
      </c>
      <c r="C1636" t="s">
        <v>745</v>
      </c>
      <c r="D1636">
        <v>532296</v>
      </c>
      <c r="E1636">
        <v>16571</v>
      </c>
      <c r="F1636">
        <v>17203</v>
      </c>
    </row>
    <row r="1637" spans="1:6">
      <c r="A1637" t="s">
        <v>2681</v>
      </c>
      <c r="B1637">
        <v>182</v>
      </c>
      <c r="C1637" t="s">
        <v>1052</v>
      </c>
      <c r="D1637">
        <v>1197666</v>
      </c>
      <c r="E1637">
        <v>16571</v>
      </c>
      <c r="F1637">
        <v>17203</v>
      </c>
    </row>
    <row r="1638" spans="1:6">
      <c r="A1638" t="s">
        <v>2682</v>
      </c>
      <c r="B1638">
        <v>182</v>
      </c>
      <c r="C1638" t="s">
        <v>164</v>
      </c>
      <c r="D1638">
        <v>11728963</v>
      </c>
      <c r="E1638">
        <v>18809</v>
      </c>
      <c r="F1638">
        <v>17203</v>
      </c>
    </row>
    <row r="1639" spans="1:6">
      <c r="A1639" t="s">
        <v>2683</v>
      </c>
      <c r="B1639">
        <v>182</v>
      </c>
      <c r="C1639" t="s">
        <v>651</v>
      </c>
      <c r="D1639">
        <v>5864482</v>
      </c>
      <c r="E1639">
        <v>18809</v>
      </c>
      <c r="F1639">
        <v>17203</v>
      </c>
    </row>
    <row r="1640" spans="1:6">
      <c r="A1640" t="s">
        <v>2684</v>
      </c>
      <c r="B1640">
        <v>183</v>
      </c>
      <c r="C1640" t="s">
        <v>154</v>
      </c>
      <c r="D1640">
        <v>134801</v>
      </c>
      <c r="E1640">
        <v>16726</v>
      </c>
      <c r="F1640">
        <v>17318</v>
      </c>
    </row>
    <row r="1641" spans="1:6">
      <c r="A1641" t="s">
        <v>2685</v>
      </c>
      <c r="B1641">
        <v>183</v>
      </c>
      <c r="C1641" t="s">
        <v>1043</v>
      </c>
      <c r="D1641">
        <v>404403</v>
      </c>
      <c r="E1641">
        <v>16726</v>
      </c>
      <c r="F1641">
        <v>17318</v>
      </c>
    </row>
    <row r="1642" spans="1:6">
      <c r="A1642" t="s">
        <v>2686</v>
      </c>
      <c r="B1642">
        <v>183</v>
      </c>
      <c r="C1642" t="s">
        <v>1045</v>
      </c>
      <c r="D1642">
        <v>242642</v>
      </c>
      <c r="E1642">
        <v>16726</v>
      </c>
      <c r="F1642">
        <v>17318</v>
      </c>
    </row>
    <row r="1643" spans="1:6">
      <c r="A1643" t="s">
        <v>2687</v>
      </c>
      <c r="B1643">
        <v>183</v>
      </c>
      <c r="C1643" t="s">
        <v>1047</v>
      </c>
      <c r="D1643">
        <v>67401</v>
      </c>
      <c r="E1643">
        <v>16726</v>
      </c>
      <c r="F1643">
        <v>17318</v>
      </c>
    </row>
    <row r="1644" spans="1:6">
      <c r="A1644" t="s">
        <v>2688</v>
      </c>
      <c r="B1644">
        <v>183</v>
      </c>
      <c r="C1644" t="s">
        <v>1049</v>
      </c>
      <c r="D1644">
        <v>20221</v>
      </c>
      <c r="E1644">
        <v>16726</v>
      </c>
      <c r="F1644">
        <v>17318</v>
      </c>
    </row>
    <row r="1645" spans="1:6">
      <c r="A1645" t="s">
        <v>2689</v>
      </c>
      <c r="B1645">
        <v>183</v>
      </c>
      <c r="C1645" t="s">
        <v>745</v>
      </c>
      <c r="D1645">
        <v>539204</v>
      </c>
      <c r="E1645">
        <v>16726</v>
      </c>
      <c r="F1645">
        <v>17318</v>
      </c>
    </row>
    <row r="1646" spans="1:6">
      <c r="A1646" t="s">
        <v>2690</v>
      </c>
      <c r="B1646">
        <v>183</v>
      </c>
      <c r="C1646" t="s">
        <v>1052</v>
      </c>
      <c r="D1646">
        <v>1213209</v>
      </c>
      <c r="E1646">
        <v>16726</v>
      </c>
      <c r="F1646">
        <v>17318</v>
      </c>
    </row>
    <row r="1647" spans="1:6">
      <c r="A1647" t="s">
        <v>2691</v>
      </c>
      <c r="B1647">
        <v>183</v>
      </c>
      <c r="C1647" t="s">
        <v>164</v>
      </c>
      <c r="D1647">
        <v>11894142</v>
      </c>
      <c r="E1647">
        <v>18978</v>
      </c>
      <c r="F1647">
        <v>17318</v>
      </c>
    </row>
    <row r="1648" spans="1:6">
      <c r="A1648" t="s">
        <v>2692</v>
      </c>
      <c r="B1648">
        <v>183</v>
      </c>
      <c r="C1648" t="s">
        <v>651</v>
      </c>
      <c r="D1648">
        <v>5947071</v>
      </c>
      <c r="E1648">
        <v>18978</v>
      </c>
      <c r="F1648">
        <v>17318</v>
      </c>
    </row>
    <row r="1649" spans="1:6">
      <c r="A1649" t="s">
        <v>2693</v>
      </c>
      <c r="B1649">
        <v>184</v>
      </c>
      <c r="C1649" t="s">
        <v>154</v>
      </c>
      <c r="D1649">
        <v>136544</v>
      </c>
      <c r="E1649">
        <v>16882</v>
      </c>
      <c r="F1649">
        <v>17433</v>
      </c>
    </row>
    <row r="1650" spans="1:6">
      <c r="A1650" t="s">
        <v>2694</v>
      </c>
      <c r="B1650">
        <v>184</v>
      </c>
      <c r="C1650" t="s">
        <v>1043</v>
      </c>
      <c r="D1650">
        <v>409632</v>
      </c>
      <c r="E1650">
        <v>16882</v>
      </c>
      <c r="F1650">
        <v>17433</v>
      </c>
    </row>
    <row r="1651" spans="1:6">
      <c r="A1651" t="s">
        <v>2695</v>
      </c>
      <c r="B1651">
        <v>184</v>
      </c>
      <c r="C1651" t="s">
        <v>1045</v>
      </c>
      <c r="D1651">
        <v>245780</v>
      </c>
      <c r="E1651">
        <v>16882</v>
      </c>
      <c r="F1651">
        <v>17433</v>
      </c>
    </row>
    <row r="1652" spans="1:6">
      <c r="A1652" t="s">
        <v>2696</v>
      </c>
      <c r="B1652">
        <v>184</v>
      </c>
      <c r="C1652" t="s">
        <v>1047</v>
      </c>
      <c r="D1652">
        <v>68272</v>
      </c>
      <c r="E1652">
        <v>16882</v>
      </c>
      <c r="F1652">
        <v>17433</v>
      </c>
    </row>
    <row r="1653" spans="1:6">
      <c r="A1653" t="s">
        <v>2697</v>
      </c>
      <c r="B1653">
        <v>184</v>
      </c>
      <c r="C1653" t="s">
        <v>1049</v>
      </c>
      <c r="D1653">
        <v>20482</v>
      </c>
      <c r="E1653">
        <v>16882</v>
      </c>
      <c r="F1653">
        <v>17433</v>
      </c>
    </row>
    <row r="1654" spans="1:6">
      <c r="A1654" t="s">
        <v>2698</v>
      </c>
      <c r="B1654">
        <v>184</v>
      </c>
      <c r="C1654" t="s">
        <v>745</v>
      </c>
      <c r="D1654">
        <v>546176</v>
      </c>
      <c r="E1654">
        <v>16882</v>
      </c>
      <c r="F1654">
        <v>17433</v>
      </c>
    </row>
    <row r="1655" spans="1:6">
      <c r="A1655" t="s">
        <v>2699</v>
      </c>
      <c r="B1655">
        <v>184</v>
      </c>
      <c r="C1655" t="s">
        <v>1052</v>
      </c>
      <c r="D1655">
        <v>1228896</v>
      </c>
      <c r="E1655">
        <v>16882</v>
      </c>
      <c r="F1655">
        <v>17433</v>
      </c>
    </row>
    <row r="1656" spans="1:6">
      <c r="A1656" t="s">
        <v>2700</v>
      </c>
      <c r="B1656">
        <v>184</v>
      </c>
      <c r="C1656" t="s">
        <v>164</v>
      </c>
      <c r="D1656">
        <v>12061006</v>
      </c>
      <c r="E1656">
        <v>19148</v>
      </c>
      <c r="F1656">
        <v>17433</v>
      </c>
    </row>
    <row r="1657" spans="1:6">
      <c r="A1657" t="s">
        <v>2701</v>
      </c>
      <c r="B1657">
        <v>184</v>
      </c>
      <c r="C1657" t="s">
        <v>651</v>
      </c>
      <c r="D1657">
        <v>6030503</v>
      </c>
      <c r="E1657">
        <v>19148</v>
      </c>
      <c r="F1657">
        <v>17433</v>
      </c>
    </row>
    <row r="1658" spans="1:6">
      <c r="A1658" t="s">
        <v>2702</v>
      </c>
      <c r="B1658">
        <v>185</v>
      </c>
      <c r="C1658" t="s">
        <v>154</v>
      </c>
      <c r="D1658">
        <v>138304</v>
      </c>
      <c r="E1658">
        <v>17039</v>
      </c>
      <c r="F1658">
        <v>17549</v>
      </c>
    </row>
    <row r="1659" spans="1:6">
      <c r="A1659" t="s">
        <v>2703</v>
      </c>
      <c r="B1659">
        <v>185</v>
      </c>
      <c r="C1659" t="s">
        <v>1043</v>
      </c>
      <c r="D1659">
        <v>414912</v>
      </c>
      <c r="E1659">
        <v>17039</v>
      </c>
      <c r="F1659">
        <v>17549</v>
      </c>
    </row>
    <row r="1660" spans="1:6">
      <c r="A1660" t="s">
        <v>2704</v>
      </c>
      <c r="B1660">
        <v>185</v>
      </c>
      <c r="C1660" t="s">
        <v>1045</v>
      </c>
      <c r="D1660">
        <v>248948</v>
      </c>
      <c r="E1660">
        <v>17039</v>
      </c>
      <c r="F1660">
        <v>17549</v>
      </c>
    </row>
    <row r="1661" spans="1:6">
      <c r="A1661" t="s">
        <v>2705</v>
      </c>
      <c r="B1661">
        <v>185</v>
      </c>
      <c r="C1661" t="s">
        <v>1047</v>
      </c>
      <c r="D1661">
        <v>69152</v>
      </c>
      <c r="E1661">
        <v>17039</v>
      </c>
      <c r="F1661">
        <v>17549</v>
      </c>
    </row>
    <row r="1662" spans="1:6">
      <c r="A1662" t="s">
        <v>2706</v>
      </c>
      <c r="B1662">
        <v>185</v>
      </c>
      <c r="C1662" t="s">
        <v>1049</v>
      </c>
      <c r="D1662">
        <v>20746</v>
      </c>
      <c r="E1662">
        <v>17039</v>
      </c>
      <c r="F1662">
        <v>17549</v>
      </c>
    </row>
    <row r="1663" spans="1:6">
      <c r="A1663" t="s">
        <v>2707</v>
      </c>
      <c r="B1663">
        <v>185</v>
      </c>
      <c r="C1663" t="s">
        <v>745</v>
      </c>
      <c r="D1663">
        <v>553216</v>
      </c>
      <c r="E1663">
        <v>17039</v>
      </c>
      <c r="F1663">
        <v>17549</v>
      </c>
    </row>
    <row r="1664" spans="1:6">
      <c r="A1664" t="s">
        <v>2708</v>
      </c>
      <c r="B1664">
        <v>185</v>
      </c>
      <c r="C1664" t="s">
        <v>1052</v>
      </c>
      <c r="D1664">
        <v>1244736</v>
      </c>
      <c r="E1664">
        <v>17039</v>
      </c>
      <c r="F1664">
        <v>17549</v>
      </c>
    </row>
    <row r="1665" spans="1:6">
      <c r="A1665" t="s">
        <v>2709</v>
      </c>
      <c r="B1665">
        <v>185</v>
      </c>
      <c r="C1665" t="s">
        <v>164</v>
      </c>
      <c r="D1665">
        <v>12229555</v>
      </c>
      <c r="E1665">
        <v>19318</v>
      </c>
      <c r="F1665">
        <v>17549</v>
      </c>
    </row>
    <row r="1666" spans="1:6">
      <c r="A1666" t="s">
        <v>2710</v>
      </c>
      <c r="B1666">
        <v>185</v>
      </c>
      <c r="C1666" t="s">
        <v>651</v>
      </c>
      <c r="D1666">
        <v>6114778</v>
      </c>
      <c r="E1666">
        <v>19318</v>
      </c>
      <c r="F1666">
        <v>17549</v>
      </c>
    </row>
    <row r="1667" spans="1:6">
      <c r="A1667" t="s">
        <v>2711</v>
      </c>
      <c r="B1667">
        <v>186</v>
      </c>
      <c r="C1667" t="s">
        <v>154</v>
      </c>
      <c r="D1667">
        <v>140080</v>
      </c>
      <c r="E1667">
        <v>17197</v>
      </c>
      <c r="F1667">
        <v>17665</v>
      </c>
    </row>
    <row r="1668" spans="1:6">
      <c r="A1668" t="s">
        <v>2712</v>
      </c>
      <c r="B1668">
        <v>186</v>
      </c>
      <c r="C1668" t="s">
        <v>1043</v>
      </c>
      <c r="D1668">
        <v>420240</v>
      </c>
      <c r="E1668">
        <v>17197</v>
      </c>
      <c r="F1668">
        <v>17665</v>
      </c>
    </row>
    <row r="1669" spans="1:6">
      <c r="A1669" t="s">
        <v>2713</v>
      </c>
      <c r="B1669">
        <v>186</v>
      </c>
      <c r="C1669" t="s">
        <v>1045</v>
      </c>
      <c r="D1669">
        <v>252144</v>
      </c>
      <c r="E1669">
        <v>17197</v>
      </c>
      <c r="F1669">
        <v>17665</v>
      </c>
    </row>
    <row r="1670" spans="1:6">
      <c r="A1670" t="s">
        <v>2714</v>
      </c>
      <c r="B1670">
        <v>186</v>
      </c>
      <c r="C1670" t="s">
        <v>1047</v>
      </c>
      <c r="D1670">
        <v>70040</v>
      </c>
      <c r="E1670">
        <v>17197</v>
      </c>
      <c r="F1670">
        <v>17665</v>
      </c>
    </row>
    <row r="1671" spans="1:6">
      <c r="A1671" t="s">
        <v>2715</v>
      </c>
      <c r="B1671">
        <v>186</v>
      </c>
      <c r="C1671" t="s">
        <v>1049</v>
      </c>
      <c r="D1671">
        <v>21012</v>
      </c>
      <c r="E1671">
        <v>17197</v>
      </c>
      <c r="F1671">
        <v>17665</v>
      </c>
    </row>
    <row r="1672" spans="1:6">
      <c r="A1672" t="s">
        <v>2716</v>
      </c>
      <c r="B1672">
        <v>186</v>
      </c>
      <c r="C1672" t="s">
        <v>745</v>
      </c>
      <c r="D1672">
        <v>560320</v>
      </c>
      <c r="E1672">
        <v>17197</v>
      </c>
      <c r="F1672">
        <v>17665</v>
      </c>
    </row>
    <row r="1673" spans="1:6">
      <c r="A1673" t="s">
        <v>2717</v>
      </c>
      <c r="B1673">
        <v>186</v>
      </c>
      <c r="C1673" t="s">
        <v>1052</v>
      </c>
      <c r="D1673">
        <v>1260720</v>
      </c>
      <c r="E1673">
        <v>17197</v>
      </c>
      <c r="F1673">
        <v>17665</v>
      </c>
    </row>
    <row r="1674" spans="1:6">
      <c r="A1674" t="s">
        <v>2718</v>
      </c>
      <c r="B1674">
        <v>186</v>
      </c>
      <c r="C1674" t="s">
        <v>164</v>
      </c>
      <c r="D1674">
        <v>12399841</v>
      </c>
      <c r="E1674">
        <v>19490</v>
      </c>
      <c r="F1674">
        <v>17665</v>
      </c>
    </row>
    <row r="1675" spans="1:6">
      <c r="A1675" t="s">
        <v>2719</v>
      </c>
      <c r="B1675">
        <v>186</v>
      </c>
      <c r="C1675" t="s">
        <v>651</v>
      </c>
      <c r="D1675">
        <v>6199920</v>
      </c>
      <c r="E1675">
        <v>19490</v>
      </c>
      <c r="F1675">
        <v>17665</v>
      </c>
    </row>
    <row r="1676" spans="1:6">
      <c r="A1676" t="s">
        <v>2720</v>
      </c>
      <c r="B1676">
        <v>187</v>
      </c>
      <c r="C1676" t="s">
        <v>154</v>
      </c>
      <c r="D1676">
        <v>141873</v>
      </c>
      <c r="E1676">
        <v>17356</v>
      </c>
      <c r="F1676">
        <v>17781</v>
      </c>
    </row>
    <row r="1677" spans="1:6">
      <c r="A1677" t="s">
        <v>2721</v>
      </c>
      <c r="B1677">
        <v>187</v>
      </c>
      <c r="C1677" t="s">
        <v>1043</v>
      </c>
      <c r="D1677">
        <v>425619</v>
      </c>
      <c r="E1677">
        <v>17356</v>
      </c>
      <c r="F1677">
        <v>17781</v>
      </c>
    </row>
    <row r="1678" spans="1:6">
      <c r="A1678" t="s">
        <v>2722</v>
      </c>
      <c r="B1678">
        <v>187</v>
      </c>
      <c r="C1678" t="s">
        <v>1045</v>
      </c>
      <c r="D1678">
        <v>255372</v>
      </c>
      <c r="E1678">
        <v>17356</v>
      </c>
      <c r="F1678">
        <v>17781</v>
      </c>
    </row>
    <row r="1679" spans="1:6">
      <c r="A1679" t="s">
        <v>2723</v>
      </c>
      <c r="B1679">
        <v>187</v>
      </c>
      <c r="C1679" t="s">
        <v>1047</v>
      </c>
      <c r="D1679">
        <v>70937</v>
      </c>
      <c r="E1679">
        <v>17356</v>
      </c>
      <c r="F1679">
        <v>17781</v>
      </c>
    </row>
    <row r="1680" spans="1:6">
      <c r="A1680" t="s">
        <v>2724</v>
      </c>
      <c r="B1680">
        <v>187</v>
      </c>
      <c r="C1680" t="s">
        <v>1049</v>
      </c>
      <c r="D1680">
        <v>21281</v>
      </c>
      <c r="E1680">
        <v>17356</v>
      </c>
      <c r="F1680">
        <v>17781</v>
      </c>
    </row>
    <row r="1681" spans="1:6">
      <c r="A1681" t="s">
        <v>2725</v>
      </c>
      <c r="B1681">
        <v>187</v>
      </c>
      <c r="C1681" t="s">
        <v>745</v>
      </c>
      <c r="D1681">
        <v>567492</v>
      </c>
      <c r="E1681">
        <v>17356</v>
      </c>
      <c r="F1681">
        <v>17781</v>
      </c>
    </row>
    <row r="1682" spans="1:6">
      <c r="A1682" t="s">
        <v>2726</v>
      </c>
      <c r="B1682">
        <v>187</v>
      </c>
      <c r="C1682" t="s">
        <v>1052</v>
      </c>
      <c r="D1682">
        <v>1276857</v>
      </c>
      <c r="E1682">
        <v>17356</v>
      </c>
      <c r="F1682">
        <v>17781</v>
      </c>
    </row>
    <row r="1683" spans="1:6">
      <c r="A1683" t="s">
        <v>2727</v>
      </c>
      <c r="B1683">
        <v>187</v>
      </c>
      <c r="C1683" t="s">
        <v>164</v>
      </c>
      <c r="D1683">
        <v>12571862</v>
      </c>
      <c r="E1683">
        <v>19663</v>
      </c>
      <c r="F1683">
        <v>17781</v>
      </c>
    </row>
    <row r="1684" spans="1:6">
      <c r="A1684" t="s">
        <v>2728</v>
      </c>
      <c r="B1684">
        <v>187</v>
      </c>
      <c r="C1684" t="s">
        <v>651</v>
      </c>
      <c r="D1684">
        <v>6285931</v>
      </c>
      <c r="E1684">
        <v>19663</v>
      </c>
      <c r="F1684">
        <v>17781</v>
      </c>
    </row>
    <row r="1685" spans="1:6">
      <c r="A1685" t="s">
        <v>2729</v>
      </c>
      <c r="B1685">
        <v>188</v>
      </c>
      <c r="C1685" t="s">
        <v>154</v>
      </c>
      <c r="D1685">
        <v>143682</v>
      </c>
      <c r="E1685">
        <v>17515</v>
      </c>
      <c r="F1685">
        <v>17898</v>
      </c>
    </row>
    <row r="1686" spans="1:6">
      <c r="A1686" t="s">
        <v>2730</v>
      </c>
      <c r="B1686">
        <v>188</v>
      </c>
      <c r="C1686" t="s">
        <v>1043</v>
      </c>
      <c r="D1686">
        <v>431046</v>
      </c>
      <c r="E1686">
        <v>17515</v>
      </c>
      <c r="F1686">
        <v>17898</v>
      </c>
    </row>
    <row r="1687" spans="1:6">
      <c r="A1687" t="s">
        <v>2731</v>
      </c>
      <c r="B1687">
        <v>188</v>
      </c>
      <c r="C1687" t="s">
        <v>1045</v>
      </c>
      <c r="D1687">
        <v>258628</v>
      </c>
      <c r="E1687">
        <v>17515</v>
      </c>
      <c r="F1687">
        <v>17898</v>
      </c>
    </row>
    <row r="1688" spans="1:6">
      <c r="A1688" t="s">
        <v>2732</v>
      </c>
      <c r="B1688">
        <v>188</v>
      </c>
      <c r="C1688" t="s">
        <v>1047</v>
      </c>
      <c r="D1688">
        <v>71841</v>
      </c>
      <c r="E1688">
        <v>17515</v>
      </c>
      <c r="F1688">
        <v>17898</v>
      </c>
    </row>
    <row r="1689" spans="1:6">
      <c r="A1689" t="s">
        <v>2733</v>
      </c>
      <c r="B1689">
        <v>188</v>
      </c>
      <c r="C1689" t="s">
        <v>1049</v>
      </c>
      <c r="D1689">
        <v>21553</v>
      </c>
      <c r="E1689">
        <v>17515</v>
      </c>
      <c r="F1689">
        <v>17898</v>
      </c>
    </row>
    <row r="1690" spans="1:6">
      <c r="A1690" t="s">
        <v>2734</v>
      </c>
      <c r="B1690">
        <v>188</v>
      </c>
      <c r="C1690" t="s">
        <v>745</v>
      </c>
      <c r="D1690">
        <v>574728</v>
      </c>
      <c r="E1690">
        <v>17515</v>
      </c>
      <c r="F1690">
        <v>17898</v>
      </c>
    </row>
    <row r="1691" spans="1:6">
      <c r="A1691" t="s">
        <v>2735</v>
      </c>
      <c r="B1691">
        <v>188</v>
      </c>
      <c r="C1691" t="s">
        <v>1052</v>
      </c>
      <c r="D1691">
        <v>1293138</v>
      </c>
      <c r="E1691">
        <v>17515</v>
      </c>
      <c r="F1691">
        <v>17898</v>
      </c>
    </row>
    <row r="1692" spans="1:6">
      <c r="A1692" t="s">
        <v>2736</v>
      </c>
      <c r="B1692">
        <v>188</v>
      </c>
      <c r="C1692" t="s">
        <v>164</v>
      </c>
      <c r="D1692">
        <v>12745568</v>
      </c>
      <c r="E1692">
        <v>19836</v>
      </c>
      <c r="F1692">
        <v>17898</v>
      </c>
    </row>
    <row r="1693" spans="1:6">
      <c r="A1693" t="s">
        <v>2737</v>
      </c>
      <c r="B1693">
        <v>188</v>
      </c>
      <c r="C1693" t="s">
        <v>651</v>
      </c>
      <c r="D1693">
        <v>6372784</v>
      </c>
      <c r="E1693">
        <v>19836</v>
      </c>
      <c r="F1693">
        <v>17898</v>
      </c>
    </row>
    <row r="1694" spans="1:6">
      <c r="A1694" t="s">
        <v>2738</v>
      </c>
      <c r="B1694">
        <v>189</v>
      </c>
      <c r="C1694" t="s">
        <v>154</v>
      </c>
      <c r="D1694">
        <v>145508</v>
      </c>
      <c r="E1694">
        <v>17677</v>
      </c>
      <c r="F1694">
        <v>18015</v>
      </c>
    </row>
    <row r="1695" spans="1:6">
      <c r="A1695" t="s">
        <v>2739</v>
      </c>
      <c r="B1695">
        <v>189</v>
      </c>
      <c r="C1695" t="s">
        <v>1043</v>
      </c>
      <c r="D1695">
        <v>436524</v>
      </c>
      <c r="E1695">
        <v>17677</v>
      </c>
      <c r="F1695">
        <v>18015</v>
      </c>
    </row>
    <row r="1696" spans="1:6">
      <c r="A1696" t="s">
        <v>2740</v>
      </c>
      <c r="B1696">
        <v>189</v>
      </c>
      <c r="C1696" t="s">
        <v>1045</v>
      </c>
      <c r="D1696">
        <v>261915</v>
      </c>
      <c r="E1696">
        <v>17677</v>
      </c>
      <c r="F1696">
        <v>18015</v>
      </c>
    </row>
    <row r="1697" spans="1:6">
      <c r="A1697" t="s">
        <v>2741</v>
      </c>
      <c r="B1697">
        <v>189</v>
      </c>
      <c r="C1697" t="s">
        <v>1047</v>
      </c>
      <c r="D1697">
        <v>72754</v>
      </c>
      <c r="E1697">
        <v>17677</v>
      </c>
      <c r="F1697">
        <v>18015</v>
      </c>
    </row>
    <row r="1698" spans="1:6">
      <c r="A1698" t="s">
        <v>2742</v>
      </c>
      <c r="B1698">
        <v>189</v>
      </c>
      <c r="C1698" t="s">
        <v>1049</v>
      </c>
      <c r="D1698">
        <v>21827</v>
      </c>
      <c r="E1698">
        <v>17677</v>
      </c>
      <c r="F1698">
        <v>18015</v>
      </c>
    </row>
    <row r="1699" spans="1:6">
      <c r="A1699" t="s">
        <v>2743</v>
      </c>
      <c r="B1699">
        <v>189</v>
      </c>
      <c r="C1699" t="s">
        <v>745</v>
      </c>
      <c r="D1699">
        <v>582032</v>
      </c>
      <c r="E1699">
        <v>17677</v>
      </c>
      <c r="F1699">
        <v>18015</v>
      </c>
    </row>
    <row r="1700" spans="1:6">
      <c r="A1700" t="s">
        <v>2744</v>
      </c>
      <c r="B1700">
        <v>189</v>
      </c>
      <c r="C1700" t="s">
        <v>1052</v>
      </c>
      <c r="D1700">
        <v>1309572</v>
      </c>
      <c r="E1700">
        <v>17677</v>
      </c>
      <c r="F1700">
        <v>18015</v>
      </c>
    </row>
    <row r="1701" spans="1:6">
      <c r="A1701" t="s">
        <v>2745</v>
      </c>
      <c r="B1701">
        <v>189</v>
      </c>
      <c r="C1701" t="s">
        <v>164</v>
      </c>
      <c r="D1701">
        <v>12921061</v>
      </c>
      <c r="E1701">
        <v>20011</v>
      </c>
      <c r="F1701">
        <v>18015</v>
      </c>
    </row>
    <row r="1702" spans="1:6">
      <c r="A1702" t="s">
        <v>2746</v>
      </c>
      <c r="B1702">
        <v>189</v>
      </c>
      <c r="C1702" t="s">
        <v>651</v>
      </c>
      <c r="D1702">
        <v>6460530</v>
      </c>
      <c r="E1702">
        <v>20011</v>
      </c>
      <c r="F1702">
        <v>18015</v>
      </c>
    </row>
    <row r="1703" spans="1:6">
      <c r="A1703" t="s">
        <v>2747</v>
      </c>
      <c r="B1703">
        <v>190</v>
      </c>
      <c r="C1703" t="s">
        <v>154</v>
      </c>
      <c r="D1703">
        <v>147351</v>
      </c>
      <c r="E1703">
        <v>17838</v>
      </c>
      <c r="F1703">
        <v>18132</v>
      </c>
    </row>
    <row r="1704" spans="1:6">
      <c r="A1704" t="s">
        <v>2748</v>
      </c>
      <c r="B1704">
        <v>190</v>
      </c>
      <c r="C1704" t="s">
        <v>1043</v>
      </c>
      <c r="D1704">
        <v>442053</v>
      </c>
      <c r="E1704">
        <v>17838</v>
      </c>
      <c r="F1704">
        <v>18132</v>
      </c>
    </row>
    <row r="1705" spans="1:6">
      <c r="A1705" t="s">
        <v>2749</v>
      </c>
      <c r="B1705">
        <v>190</v>
      </c>
      <c r="C1705" t="s">
        <v>1045</v>
      </c>
      <c r="D1705">
        <v>265232</v>
      </c>
      <c r="E1705">
        <v>17838</v>
      </c>
      <c r="F1705">
        <v>18132</v>
      </c>
    </row>
    <row r="1706" spans="1:6">
      <c r="A1706" t="s">
        <v>2750</v>
      </c>
      <c r="B1706">
        <v>190</v>
      </c>
      <c r="C1706" t="s">
        <v>1047</v>
      </c>
      <c r="D1706">
        <v>73676</v>
      </c>
      <c r="E1706">
        <v>17838</v>
      </c>
      <c r="F1706">
        <v>18132</v>
      </c>
    </row>
    <row r="1707" spans="1:6">
      <c r="A1707" t="s">
        <v>2751</v>
      </c>
      <c r="B1707">
        <v>190</v>
      </c>
      <c r="C1707" t="s">
        <v>1049</v>
      </c>
      <c r="D1707">
        <v>22103</v>
      </c>
      <c r="E1707">
        <v>17838</v>
      </c>
      <c r="F1707">
        <v>18132</v>
      </c>
    </row>
    <row r="1708" spans="1:6">
      <c r="A1708" t="s">
        <v>2752</v>
      </c>
      <c r="B1708">
        <v>190</v>
      </c>
      <c r="C1708" t="s">
        <v>745</v>
      </c>
      <c r="D1708">
        <v>589404</v>
      </c>
      <c r="E1708">
        <v>17838</v>
      </c>
      <c r="F1708">
        <v>18132</v>
      </c>
    </row>
    <row r="1709" spans="1:6">
      <c r="A1709" t="s">
        <v>2753</v>
      </c>
      <c r="B1709">
        <v>190</v>
      </c>
      <c r="C1709" t="s">
        <v>1052</v>
      </c>
      <c r="D1709">
        <v>1326159</v>
      </c>
      <c r="E1709">
        <v>17838</v>
      </c>
      <c r="F1709">
        <v>18132</v>
      </c>
    </row>
    <row r="1710" spans="1:6">
      <c r="A1710" t="s">
        <v>2754</v>
      </c>
      <c r="B1710">
        <v>190</v>
      </c>
      <c r="C1710" t="s">
        <v>164</v>
      </c>
      <c r="D1710">
        <v>13098340</v>
      </c>
      <c r="E1710">
        <v>20186</v>
      </c>
      <c r="F1710">
        <v>18132</v>
      </c>
    </row>
    <row r="1711" spans="1:6">
      <c r="A1711" t="s">
        <v>2755</v>
      </c>
      <c r="B1711">
        <v>190</v>
      </c>
      <c r="C1711" t="s">
        <v>651</v>
      </c>
      <c r="D1711">
        <v>6549170</v>
      </c>
      <c r="E1711">
        <v>20186</v>
      </c>
      <c r="F1711">
        <v>18132</v>
      </c>
    </row>
    <row r="1712" spans="1:6">
      <c r="A1712" t="s">
        <v>2756</v>
      </c>
      <c r="B1712">
        <v>191</v>
      </c>
      <c r="C1712" t="s">
        <v>154</v>
      </c>
      <c r="D1712">
        <v>149211</v>
      </c>
      <c r="E1712">
        <v>18001</v>
      </c>
      <c r="F1712">
        <v>18249</v>
      </c>
    </row>
    <row r="1713" spans="1:6">
      <c r="A1713" t="s">
        <v>2757</v>
      </c>
      <c r="B1713">
        <v>191</v>
      </c>
      <c r="C1713" t="s">
        <v>1043</v>
      </c>
      <c r="D1713">
        <v>447633</v>
      </c>
      <c r="E1713">
        <v>18001</v>
      </c>
      <c r="F1713">
        <v>18249</v>
      </c>
    </row>
    <row r="1714" spans="1:6">
      <c r="A1714" t="s">
        <v>2758</v>
      </c>
      <c r="B1714">
        <v>191</v>
      </c>
      <c r="C1714" t="s">
        <v>1045</v>
      </c>
      <c r="D1714">
        <v>268580</v>
      </c>
      <c r="E1714">
        <v>18001</v>
      </c>
      <c r="F1714">
        <v>18249</v>
      </c>
    </row>
    <row r="1715" spans="1:6">
      <c r="A1715" t="s">
        <v>2759</v>
      </c>
      <c r="B1715">
        <v>191</v>
      </c>
      <c r="C1715" t="s">
        <v>1047</v>
      </c>
      <c r="D1715">
        <v>74606</v>
      </c>
      <c r="E1715">
        <v>18001</v>
      </c>
      <c r="F1715">
        <v>18249</v>
      </c>
    </row>
    <row r="1716" spans="1:6">
      <c r="A1716" t="s">
        <v>2760</v>
      </c>
      <c r="B1716">
        <v>191</v>
      </c>
      <c r="C1716" t="s">
        <v>1049</v>
      </c>
      <c r="D1716">
        <v>22382</v>
      </c>
      <c r="E1716">
        <v>18001</v>
      </c>
      <c r="F1716">
        <v>18249</v>
      </c>
    </row>
    <row r="1717" spans="1:6">
      <c r="A1717" t="s">
        <v>2761</v>
      </c>
      <c r="B1717">
        <v>191</v>
      </c>
      <c r="C1717" t="s">
        <v>745</v>
      </c>
      <c r="D1717">
        <v>596844</v>
      </c>
      <c r="E1717">
        <v>18001</v>
      </c>
      <c r="F1717">
        <v>18249</v>
      </c>
    </row>
    <row r="1718" spans="1:6">
      <c r="A1718" t="s">
        <v>2762</v>
      </c>
      <c r="B1718">
        <v>191</v>
      </c>
      <c r="C1718" t="s">
        <v>1052</v>
      </c>
      <c r="D1718">
        <v>1342899</v>
      </c>
      <c r="E1718">
        <v>18001</v>
      </c>
      <c r="F1718">
        <v>18249</v>
      </c>
    </row>
    <row r="1719" spans="1:6">
      <c r="A1719" t="s">
        <v>2763</v>
      </c>
      <c r="B1719">
        <v>191</v>
      </c>
      <c r="C1719" t="s">
        <v>164</v>
      </c>
      <c r="D1719">
        <v>13277356</v>
      </c>
      <c r="E1719">
        <v>20363</v>
      </c>
      <c r="F1719">
        <v>18249</v>
      </c>
    </row>
    <row r="1720" spans="1:6">
      <c r="A1720" t="s">
        <v>2764</v>
      </c>
      <c r="B1720">
        <v>191</v>
      </c>
      <c r="C1720" t="s">
        <v>651</v>
      </c>
      <c r="D1720">
        <v>6638678</v>
      </c>
      <c r="E1720">
        <v>20363</v>
      </c>
      <c r="F1720">
        <v>18249</v>
      </c>
    </row>
    <row r="1721" spans="1:6">
      <c r="A1721" t="s">
        <v>2765</v>
      </c>
      <c r="B1721">
        <v>192</v>
      </c>
      <c r="C1721" t="s">
        <v>154</v>
      </c>
      <c r="D1721">
        <v>151088</v>
      </c>
      <c r="E1721">
        <v>18164</v>
      </c>
      <c r="F1721">
        <v>18366</v>
      </c>
    </row>
    <row r="1722" spans="1:6">
      <c r="A1722" t="s">
        <v>2766</v>
      </c>
      <c r="B1722">
        <v>192</v>
      </c>
      <c r="C1722" t="s">
        <v>1043</v>
      </c>
      <c r="D1722">
        <v>453264</v>
      </c>
      <c r="E1722">
        <v>18164</v>
      </c>
      <c r="F1722">
        <v>18366</v>
      </c>
    </row>
    <row r="1723" spans="1:6">
      <c r="A1723" t="s">
        <v>2767</v>
      </c>
      <c r="B1723">
        <v>192</v>
      </c>
      <c r="C1723" t="s">
        <v>1045</v>
      </c>
      <c r="D1723">
        <v>271959</v>
      </c>
      <c r="E1723">
        <v>18164</v>
      </c>
      <c r="F1723">
        <v>18366</v>
      </c>
    </row>
    <row r="1724" spans="1:6">
      <c r="A1724" t="s">
        <v>2768</v>
      </c>
      <c r="B1724">
        <v>192</v>
      </c>
      <c r="C1724" t="s">
        <v>1047</v>
      </c>
      <c r="D1724">
        <v>75544</v>
      </c>
      <c r="E1724">
        <v>18164</v>
      </c>
      <c r="F1724">
        <v>18366</v>
      </c>
    </row>
    <row r="1725" spans="1:6">
      <c r="A1725" t="s">
        <v>2769</v>
      </c>
      <c r="B1725">
        <v>192</v>
      </c>
      <c r="C1725" t="s">
        <v>1049</v>
      </c>
      <c r="D1725">
        <v>22664</v>
      </c>
      <c r="E1725">
        <v>18164</v>
      </c>
      <c r="F1725">
        <v>18366</v>
      </c>
    </row>
    <row r="1726" spans="1:6">
      <c r="A1726" t="s">
        <v>2770</v>
      </c>
      <c r="B1726">
        <v>192</v>
      </c>
      <c r="C1726" t="s">
        <v>745</v>
      </c>
      <c r="D1726">
        <v>604352</v>
      </c>
      <c r="E1726">
        <v>18164</v>
      </c>
      <c r="F1726">
        <v>18366</v>
      </c>
    </row>
    <row r="1727" spans="1:6">
      <c r="A1727" t="s">
        <v>2771</v>
      </c>
      <c r="B1727">
        <v>192</v>
      </c>
      <c r="C1727" t="s">
        <v>1052</v>
      </c>
      <c r="D1727">
        <v>1359792</v>
      </c>
      <c r="E1727">
        <v>18164</v>
      </c>
      <c r="F1727">
        <v>18366</v>
      </c>
    </row>
    <row r="1728" spans="1:6">
      <c r="A1728" t="s">
        <v>2772</v>
      </c>
      <c r="B1728">
        <v>192</v>
      </c>
      <c r="C1728" t="s">
        <v>164</v>
      </c>
      <c r="D1728">
        <v>13458107</v>
      </c>
      <c r="E1728">
        <v>20540</v>
      </c>
      <c r="F1728">
        <v>18366</v>
      </c>
    </row>
    <row r="1729" spans="1:6">
      <c r="A1729" t="s">
        <v>2773</v>
      </c>
      <c r="B1729">
        <v>192</v>
      </c>
      <c r="C1729" t="s">
        <v>651</v>
      </c>
      <c r="D1729">
        <v>6729053</v>
      </c>
      <c r="E1729">
        <v>20540</v>
      </c>
      <c r="F1729">
        <v>18366</v>
      </c>
    </row>
    <row r="1730" spans="1:6">
      <c r="A1730" t="s">
        <v>2774</v>
      </c>
      <c r="B1730">
        <v>193</v>
      </c>
      <c r="C1730" t="s">
        <v>154</v>
      </c>
      <c r="D1730">
        <v>152982</v>
      </c>
      <c r="E1730">
        <v>18328</v>
      </c>
      <c r="F1730">
        <v>18484</v>
      </c>
    </row>
    <row r="1731" spans="1:6">
      <c r="A1731" t="s">
        <v>2775</v>
      </c>
      <c r="B1731">
        <v>193</v>
      </c>
      <c r="C1731" t="s">
        <v>1043</v>
      </c>
      <c r="D1731">
        <v>458946</v>
      </c>
      <c r="E1731">
        <v>18328</v>
      </c>
      <c r="F1731">
        <v>18484</v>
      </c>
    </row>
    <row r="1732" spans="1:6">
      <c r="A1732" t="s">
        <v>2776</v>
      </c>
      <c r="B1732">
        <v>193</v>
      </c>
      <c r="C1732" t="s">
        <v>1045</v>
      </c>
      <c r="D1732">
        <v>275368</v>
      </c>
      <c r="E1732">
        <v>18328</v>
      </c>
      <c r="F1732">
        <v>18484</v>
      </c>
    </row>
    <row r="1733" spans="1:6">
      <c r="A1733" t="s">
        <v>2777</v>
      </c>
      <c r="B1733">
        <v>193</v>
      </c>
      <c r="C1733" t="s">
        <v>1047</v>
      </c>
      <c r="D1733">
        <v>76491</v>
      </c>
      <c r="E1733">
        <v>18328</v>
      </c>
      <c r="F1733">
        <v>18484</v>
      </c>
    </row>
    <row r="1734" spans="1:6">
      <c r="A1734" t="s">
        <v>2778</v>
      </c>
      <c r="B1734">
        <v>193</v>
      </c>
      <c r="C1734" t="s">
        <v>1049</v>
      </c>
      <c r="D1734">
        <v>22948</v>
      </c>
      <c r="E1734">
        <v>18328</v>
      </c>
      <c r="F1734">
        <v>18484</v>
      </c>
    </row>
    <row r="1735" spans="1:6">
      <c r="A1735" t="s">
        <v>2779</v>
      </c>
      <c r="B1735">
        <v>193</v>
      </c>
      <c r="C1735" t="s">
        <v>745</v>
      </c>
      <c r="D1735">
        <v>611928</v>
      </c>
      <c r="E1735">
        <v>18328</v>
      </c>
      <c r="F1735">
        <v>18484</v>
      </c>
    </row>
    <row r="1736" spans="1:6">
      <c r="A1736" t="s">
        <v>2780</v>
      </c>
      <c r="B1736">
        <v>193</v>
      </c>
      <c r="C1736" t="s">
        <v>1052</v>
      </c>
      <c r="D1736">
        <v>1376838</v>
      </c>
      <c r="E1736">
        <v>18328</v>
      </c>
      <c r="F1736">
        <v>18484</v>
      </c>
    </row>
    <row r="1737" spans="1:6">
      <c r="A1737" t="s">
        <v>2781</v>
      </c>
      <c r="B1737">
        <v>193</v>
      </c>
      <c r="C1737" t="s">
        <v>164</v>
      </c>
      <c r="D1737">
        <v>13640746</v>
      </c>
      <c r="E1737">
        <v>20718</v>
      </c>
      <c r="F1737">
        <v>18484</v>
      </c>
    </row>
    <row r="1738" spans="1:6">
      <c r="A1738" t="s">
        <v>2782</v>
      </c>
      <c r="B1738">
        <v>193</v>
      </c>
      <c r="C1738" t="s">
        <v>651</v>
      </c>
      <c r="D1738">
        <v>6820373</v>
      </c>
      <c r="E1738">
        <v>20718</v>
      </c>
      <c r="F1738">
        <v>18484</v>
      </c>
    </row>
    <row r="1739" spans="1:6">
      <c r="A1739" t="s">
        <v>2783</v>
      </c>
      <c r="B1739">
        <v>194</v>
      </c>
      <c r="C1739" t="s">
        <v>154</v>
      </c>
      <c r="D1739">
        <v>154894</v>
      </c>
      <c r="E1739">
        <v>18494</v>
      </c>
      <c r="F1739">
        <v>18602</v>
      </c>
    </row>
    <row r="1740" spans="1:6">
      <c r="A1740" t="s">
        <v>2784</v>
      </c>
      <c r="B1740">
        <v>194</v>
      </c>
      <c r="C1740" t="s">
        <v>1043</v>
      </c>
      <c r="D1740">
        <v>464682</v>
      </c>
      <c r="E1740">
        <v>18494</v>
      </c>
      <c r="F1740">
        <v>18602</v>
      </c>
    </row>
    <row r="1741" spans="1:6">
      <c r="A1741" t="s">
        <v>2785</v>
      </c>
      <c r="B1741">
        <v>194</v>
      </c>
      <c r="C1741" t="s">
        <v>1045</v>
      </c>
      <c r="D1741">
        <v>278810</v>
      </c>
      <c r="E1741">
        <v>18494</v>
      </c>
      <c r="F1741">
        <v>18602</v>
      </c>
    </row>
    <row r="1742" spans="1:6">
      <c r="A1742" t="s">
        <v>2786</v>
      </c>
      <c r="B1742">
        <v>194</v>
      </c>
      <c r="C1742" t="s">
        <v>1047</v>
      </c>
      <c r="D1742">
        <v>77447</v>
      </c>
      <c r="E1742">
        <v>18494</v>
      </c>
      <c r="F1742">
        <v>18602</v>
      </c>
    </row>
    <row r="1743" spans="1:6">
      <c r="A1743" t="s">
        <v>2787</v>
      </c>
      <c r="B1743">
        <v>194</v>
      </c>
      <c r="C1743" t="s">
        <v>1049</v>
      </c>
      <c r="D1743">
        <v>23235</v>
      </c>
      <c r="E1743">
        <v>18494</v>
      </c>
      <c r="F1743">
        <v>18602</v>
      </c>
    </row>
    <row r="1744" spans="1:6">
      <c r="A1744" t="s">
        <v>2788</v>
      </c>
      <c r="B1744">
        <v>194</v>
      </c>
      <c r="C1744" t="s">
        <v>745</v>
      </c>
      <c r="D1744">
        <v>619576</v>
      </c>
      <c r="E1744">
        <v>18494</v>
      </c>
      <c r="F1744">
        <v>18602</v>
      </c>
    </row>
    <row r="1745" spans="1:6">
      <c r="A1745" t="s">
        <v>2789</v>
      </c>
      <c r="B1745">
        <v>194</v>
      </c>
      <c r="C1745" t="s">
        <v>1052</v>
      </c>
      <c r="D1745">
        <v>1394046</v>
      </c>
      <c r="E1745">
        <v>18494</v>
      </c>
      <c r="F1745">
        <v>18602</v>
      </c>
    </row>
    <row r="1746" spans="1:6">
      <c r="A1746" t="s">
        <v>2790</v>
      </c>
      <c r="B1746">
        <v>194</v>
      </c>
      <c r="C1746" t="s">
        <v>164</v>
      </c>
      <c r="D1746">
        <v>13825121</v>
      </c>
      <c r="E1746">
        <v>20898</v>
      </c>
      <c r="F1746">
        <v>18602</v>
      </c>
    </row>
    <row r="1747" spans="1:6">
      <c r="A1747" t="s">
        <v>2791</v>
      </c>
      <c r="B1747">
        <v>194</v>
      </c>
      <c r="C1747" t="s">
        <v>651</v>
      </c>
      <c r="D1747">
        <v>6912561</v>
      </c>
      <c r="E1747">
        <v>20898</v>
      </c>
      <c r="F1747">
        <v>18602</v>
      </c>
    </row>
    <row r="1748" spans="1:6">
      <c r="A1748" t="s">
        <v>2792</v>
      </c>
      <c r="B1748">
        <v>195</v>
      </c>
      <c r="C1748" t="s">
        <v>154</v>
      </c>
      <c r="D1748">
        <v>156823</v>
      </c>
      <c r="E1748">
        <v>18660</v>
      </c>
      <c r="F1748">
        <v>18720</v>
      </c>
    </row>
    <row r="1749" spans="1:6">
      <c r="A1749" t="s">
        <v>2793</v>
      </c>
      <c r="B1749">
        <v>195</v>
      </c>
      <c r="C1749" t="s">
        <v>1043</v>
      </c>
      <c r="D1749">
        <v>470469</v>
      </c>
      <c r="E1749">
        <v>18660</v>
      </c>
      <c r="F1749">
        <v>18720</v>
      </c>
    </row>
    <row r="1750" spans="1:6">
      <c r="A1750" t="s">
        <v>2794</v>
      </c>
      <c r="B1750">
        <v>195</v>
      </c>
      <c r="C1750" t="s">
        <v>1045</v>
      </c>
      <c r="D1750">
        <v>282282</v>
      </c>
      <c r="E1750">
        <v>18660</v>
      </c>
      <c r="F1750">
        <v>18720</v>
      </c>
    </row>
    <row r="1751" spans="1:6">
      <c r="A1751" t="s">
        <v>2795</v>
      </c>
      <c r="B1751">
        <v>195</v>
      </c>
      <c r="C1751" t="s">
        <v>1047</v>
      </c>
      <c r="D1751">
        <v>78412</v>
      </c>
      <c r="E1751">
        <v>18660</v>
      </c>
      <c r="F1751">
        <v>18720</v>
      </c>
    </row>
    <row r="1752" spans="1:6">
      <c r="A1752" t="s">
        <v>2796</v>
      </c>
      <c r="B1752">
        <v>195</v>
      </c>
      <c r="C1752" t="s">
        <v>1049</v>
      </c>
      <c r="D1752">
        <v>23524</v>
      </c>
      <c r="E1752">
        <v>18660</v>
      </c>
      <c r="F1752">
        <v>18720</v>
      </c>
    </row>
    <row r="1753" spans="1:6">
      <c r="A1753" t="s">
        <v>2797</v>
      </c>
      <c r="B1753">
        <v>195</v>
      </c>
      <c r="C1753" t="s">
        <v>745</v>
      </c>
      <c r="D1753">
        <v>627292</v>
      </c>
      <c r="E1753">
        <v>18660</v>
      </c>
      <c r="F1753">
        <v>18720</v>
      </c>
    </row>
    <row r="1754" spans="1:6">
      <c r="A1754" t="s">
        <v>2798</v>
      </c>
      <c r="B1754">
        <v>195</v>
      </c>
      <c r="C1754" t="s">
        <v>1052</v>
      </c>
      <c r="D1754">
        <v>1411407</v>
      </c>
      <c r="E1754">
        <v>18660</v>
      </c>
      <c r="F1754">
        <v>18720</v>
      </c>
    </row>
    <row r="1755" spans="1:6">
      <c r="A1755" t="s">
        <v>2799</v>
      </c>
      <c r="B1755">
        <v>195</v>
      </c>
      <c r="C1755" t="s">
        <v>164</v>
      </c>
      <c r="D1755">
        <v>14011385</v>
      </c>
      <c r="E1755">
        <v>21078</v>
      </c>
      <c r="F1755">
        <v>18720</v>
      </c>
    </row>
    <row r="1756" spans="1:6">
      <c r="A1756" t="s">
        <v>2800</v>
      </c>
      <c r="B1756">
        <v>195</v>
      </c>
      <c r="C1756" t="s">
        <v>651</v>
      </c>
      <c r="D1756">
        <v>7005692</v>
      </c>
      <c r="E1756">
        <v>21078</v>
      </c>
      <c r="F1756">
        <v>18720</v>
      </c>
    </row>
    <row r="1757" spans="1:6">
      <c r="A1757" t="s">
        <v>2801</v>
      </c>
      <c r="B1757">
        <v>196</v>
      </c>
      <c r="C1757" t="s">
        <v>154</v>
      </c>
      <c r="D1757">
        <v>158769</v>
      </c>
      <c r="E1757">
        <v>18828</v>
      </c>
      <c r="F1757">
        <v>18838</v>
      </c>
    </row>
    <row r="1758" spans="1:6">
      <c r="A1758" t="s">
        <v>2802</v>
      </c>
      <c r="B1758">
        <v>196</v>
      </c>
      <c r="C1758" t="s">
        <v>1043</v>
      </c>
      <c r="D1758">
        <v>476307</v>
      </c>
      <c r="E1758">
        <v>18828</v>
      </c>
      <c r="F1758">
        <v>18838</v>
      </c>
    </row>
    <row r="1759" spans="1:6">
      <c r="A1759" t="s">
        <v>2803</v>
      </c>
      <c r="B1759">
        <v>196</v>
      </c>
      <c r="C1759" t="s">
        <v>1045</v>
      </c>
      <c r="D1759">
        <v>285785</v>
      </c>
      <c r="E1759">
        <v>18828</v>
      </c>
      <c r="F1759">
        <v>18838</v>
      </c>
    </row>
    <row r="1760" spans="1:6">
      <c r="A1760" t="s">
        <v>2804</v>
      </c>
      <c r="B1760">
        <v>196</v>
      </c>
      <c r="C1760" t="s">
        <v>1047</v>
      </c>
      <c r="D1760">
        <v>79385</v>
      </c>
      <c r="E1760">
        <v>18828</v>
      </c>
      <c r="F1760">
        <v>18838</v>
      </c>
    </row>
    <row r="1761" spans="1:6">
      <c r="A1761" t="s">
        <v>2805</v>
      </c>
      <c r="B1761">
        <v>196</v>
      </c>
      <c r="C1761" t="s">
        <v>1049</v>
      </c>
      <c r="D1761">
        <v>23816</v>
      </c>
      <c r="E1761">
        <v>18828</v>
      </c>
      <c r="F1761">
        <v>18838</v>
      </c>
    </row>
    <row r="1762" spans="1:6">
      <c r="A1762" t="s">
        <v>2806</v>
      </c>
      <c r="B1762">
        <v>196</v>
      </c>
      <c r="C1762" t="s">
        <v>745</v>
      </c>
      <c r="D1762">
        <v>635076</v>
      </c>
      <c r="E1762">
        <v>18828</v>
      </c>
      <c r="F1762">
        <v>18838</v>
      </c>
    </row>
    <row r="1763" spans="1:6">
      <c r="A1763" t="s">
        <v>2807</v>
      </c>
      <c r="B1763">
        <v>196</v>
      </c>
      <c r="C1763" t="s">
        <v>1052</v>
      </c>
      <c r="D1763">
        <v>1428921</v>
      </c>
      <c r="E1763">
        <v>18828</v>
      </c>
      <c r="F1763">
        <v>18838</v>
      </c>
    </row>
    <row r="1764" spans="1:6">
      <c r="A1764" t="s">
        <v>2808</v>
      </c>
      <c r="B1764">
        <v>196</v>
      </c>
      <c r="C1764" t="s">
        <v>164</v>
      </c>
      <c r="D1764">
        <v>14199435</v>
      </c>
      <c r="E1764">
        <v>21260</v>
      </c>
      <c r="F1764">
        <v>18838</v>
      </c>
    </row>
    <row r="1765" spans="1:6">
      <c r="A1765" t="s">
        <v>2809</v>
      </c>
      <c r="B1765">
        <v>196</v>
      </c>
      <c r="C1765" t="s">
        <v>651</v>
      </c>
      <c r="D1765">
        <v>7099717</v>
      </c>
      <c r="E1765">
        <v>21260</v>
      </c>
      <c r="F1765">
        <v>18838</v>
      </c>
    </row>
    <row r="1766" spans="1:6">
      <c r="A1766" t="s">
        <v>2810</v>
      </c>
      <c r="B1766">
        <v>197</v>
      </c>
      <c r="C1766" t="s">
        <v>154</v>
      </c>
      <c r="D1766">
        <v>160734</v>
      </c>
      <c r="E1766">
        <v>18997</v>
      </c>
      <c r="F1766">
        <v>18956</v>
      </c>
    </row>
    <row r="1767" spans="1:6">
      <c r="A1767" t="s">
        <v>2811</v>
      </c>
      <c r="B1767">
        <v>197</v>
      </c>
      <c r="C1767" t="s">
        <v>1043</v>
      </c>
      <c r="D1767">
        <v>482202</v>
      </c>
      <c r="E1767">
        <v>18997</v>
      </c>
      <c r="F1767">
        <v>18956</v>
      </c>
    </row>
    <row r="1768" spans="1:6">
      <c r="A1768" t="s">
        <v>2812</v>
      </c>
      <c r="B1768">
        <v>197</v>
      </c>
      <c r="C1768" t="s">
        <v>1045</v>
      </c>
      <c r="D1768">
        <v>289322</v>
      </c>
      <c r="E1768">
        <v>18997</v>
      </c>
      <c r="F1768">
        <v>18956</v>
      </c>
    </row>
    <row r="1769" spans="1:6">
      <c r="A1769" t="s">
        <v>2813</v>
      </c>
      <c r="B1769">
        <v>197</v>
      </c>
      <c r="C1769" t="s">
        <v>1047</v>
      </c>
      <c r="D1769">
        <v>80367</v>
      </c>
      <c r="E1769">
        <v>18997</v>
      </c>
      <c r="F1769">
        <v>18956</v>
      </c>
    </row>
    <row r="1770" spans="1:6">
      <c r="A1770" t="s">
        <v>2814</v>
      </c>
      <c r="B1770">
        <v>197</v>
      </c>
      <c r="C1770" t="s">
        <v>1049</v>
      </c>
      <c r="D1770">
        <v>24111</v>
      </c>
      <c r="E1770">
        <v>18997</v>
      </c>
      <c r="F1770">
        <v>18956</v>
      </c>
    </row>
    <row r="1771" spans="1:6">
      <c r="A1771" t="s">
        <v>2815</v>
      </c>
      <c r="B1771">
        <v>197</v>
      </c>
      <c r="C1771" t="s">
        <v>745</v>
      </c>
      <c r="D1771">
        <v>642936</v>
      </c>
      <c r="E1771">
        <v>18997</v>
      </c>
      <c r="F1771">
        <v>18956</v>
      </c>
    </row>
    <row r="1772" spans="1:6">
      <c r="A1772" t="s">
        <v>2816</v>
      </c>
      <c r="B1772">
        <v>197</v>
      </c>
      <c r="C1772" t="s">
        <v>1052</v>
      </c>
      <c r="D1772">
        <v>1446606</v>
      </c>
      <c r="E1772">
        <v>18997</v>
      </c>
      <c r="F1772">
        <v>18956</v>
      </c>
    </row>
    <row r="1773" spans="1:6">
      <c r="A1773" t="s">
        <v>2817</v>
      </c>
      <c r="B1773">
        <v>197</v>
      </c>
      <c r="C1773" t="s">
        <v>164</v>
      </c>
      <c r="D1773">
        <v>14389373</v>
      </c>
      <c r="E1773">
        <v>21442</v>
      </c>
      <c r="F1773">
        <v>18956</v>
      </c>
    </row>
    <row r="1774" spans="1:6">
      <c r="A1774" t="s">
        <v>2818</v>
      </c>
      <c r="B1774">
        <v>197</v>
      </c>
      <c r="C1774" t="s">
        <v>651</v>
      </c>
      <c r="D1774">
        <v>7194687</v>
      </c>
      <c r="E1774">
        <v>21442</v>
      </c>
      <c r="F1774">
        <v>18956</v>
      </c>
    </row>
    <row r="1775" spans="1:6">
      <c r="A1775" t="s">
        <v>2819</v>
      </c>
      <c r="B1775">
        <v>198</v>
      </c>
      <c r="C1775" t="s">
        <v>154</v>
      </c>
      <c r="D1775">
        <v>162716</v>
      </c>
      <c r="E1775">
        <v>19166</v>
      </c>
      <c r="F1775">
        <v>19075</v>
      </c>
    </row>
    <row r="1776" spans="1:6">
      <c r="A1776" t="s">
        <v>2820</v>
      </c>
      <c r="B1776">
        <v>198</v>
      </c>
      <c r="C1776" t="s">
        <v>1043</v>
      </c>
      <c r="D1776">
        <v>488148</v>
      </c>
      <c r="E1776">
        <v>19166</v>
      </c>
      <c r="F1776">
        <v>19075</v>
      </c>
    </row>
    <row r="1777" spans="1:6">
      <c r="A1777" t="s">
        <v>2821</v>
      </c>
      <c r="B1777">
        <v>198</v>
      </c>
      <c r="C1777" t="s">
        <v>1045</v>
      </c>
      <c r="D1777">
        <v>292889</v>
      </c>
      <c r="E1777">
        <v>19166</v>
      </c>
      <c r="F1777">
        <v>19075</v>
      </c>
    </row>
    <row r="1778" spans="1:6">
      <c r="A1778" t="s">
        <v>2822</v>
      </c>
      <c r="B1778">
        <v>198</v>
      </c>
      <c r="C1778" t="s">
        <v>1047</v>
      </c>
      <c r="D1778">
        <v>81358</v>
      </c>
      <c r="E1778">
        <v>19166</v>
      </c>
      <c r="F1778">
        <v>19075</v>
      </c>
    </row>
    <row r="1779" spans="1:6">
      <c r="A1779" t="s">
        <v>2823</v>
      </c>
      <c r="B1779">
        <v>198</v>
      </c>
      <c r="C1779" t="s">
        <v>1049</v>
      </c>
      <c r="D1779">
        <v>24408</v>
      </c>
      <c r="E1779">
        <v>19166</v>
      </c>
      <c r="F1779">
        <v>19075</v>
      </c>
    </row>
    <row r="1780" spans="1:6">
      <c r="A1780" t="s">
        <v>2824</v>
      </c>
      <c r="B1780">
        <v>198</v>
      </c>
      <c r="C1780" t="s">
        <v>745</v>
      </c>
      <c r="D1780">
        <v>650864</v>
      </c>
      <c r="E1780">
        <v>19166</v>
      </c>
      <c r="F1780">
        <v>19075</v>
      </c>
    </row>
    <row r="1781" spans="1:6">
      <c r="A1781" t="s">
        <v>2825</v>
      </c>
      <c r="B1781">
        <v>198</v>
      </c>
      <c r="C1781" t="s">
        <v>1052</v>
      </c>
      <c r="D1781">
        <v>1464444</v>
      </c>
      <c r="E1781">
        <v>19166</v>
      </c>
      <c r="F1781">
        <v>19075</v>
      </c>
    </row>
    <row r="1782" spans="1:6">
      <c r="A1782" t="s">
        <v>2826</v>
      </c>
      <c r="B1782">
        <v>198</v>
      </c>
      <c r="C1782" t="s">
        <v>164</v>
      </c>
      <c r="D1782">
        <v>14581149</v>
      </c>
      <c r="E1782">
        <v>21625</v>
      </c>
      <c r="F1782">
        <v>19075</v>
      </c>
    </row>
    <row r="1783" spans="1:6">
      <c r="A1783" t="s">
        <v>2827</v>
      </c>
      <c r="B1783">
        <v>198</v>
      </c>
      <c r="C1783" t="s">
        <v>651</v>
      </c>
      <c r="D1783">
        <v>7290574</v>
      </c>
      <c r="E1783">
        <v>21625</v>
      </c>
      <c r="F1783">
        <v>19075</v>
      </c>
    </row>
    <row r="1784" spans="1:6">
      <c r="A1784" t="s">
        <v>2828</v>
      </c>
      <c r="B1784">
        <v>199</v>
      </c>
      <c r="C1784" t="s">
        <v>154</v>
      </c>
      <c r="D1784">
        <v>164715</v>
      </c>
      <c r="E1784">
        <v>19337</v>
      </c>
      <c r="F1784">
        <v>19194</v>
      </c>
    </row>
    <row r="1785" spans="1:6">
      <c r="A1785" t="s">
        <v>2829</v>
      </c>
      <c r="B1785">
        <v>199</v>
      </c>
      <c r="C1785" t="s">
        <v>1043</v>
      </c>
      <c r="D1785">
        <v>494145</v>
      </c>
      <c r="E1785">
        <v>19337</v>
      </c>
      <c r="F1785">
        <v>19194</v>
      </c>
    </row>
    <row r="1786" spans="1:6">
      <c r="A1786" t="s">
        <v>2830</v>
      </c>
      <c r="B1786">
        <v>199</v>
      </c>
      <c r="C1786" t="s">
        <v>1045</v>
      </c>
      <c r="D1786">
        <v>296487</v>
      </c>
      <c r="E1786">
        <v>19337</v>
      </c>
      <c r="F1786">
        <v>19194</v>
      </c>
    </row>
    <row r="1787" spans="1:6">
      <c r="A1787" t="s">
        <v>2831</v>
      </c>
      <c r="B1787">
        <v>199</v>
      </c>
      <c r="C1787" t="s">
        <v>1047</v>
      </c>
      <c r="D1787">
        <v>82358</v>
      </c>
      <c r="E1787">
        <v>19337</v>
      </c>
      <c r="F1787">
        <v>19194</v>
      </c>
    </row>
    <row r="1788" spans="1:6">
      <c r="A1788" t="s">
        <v>2832</v>
      </c>
      <c r="B1788">
        <v>199</v>
      </c>
      <c r="C1788" t="s">
        <v>1049</v>
      </c>
      <c r="D1788">
        <v>24708</v>
      </c>
      <c r="E1788">
        <v>19337</v>
      </c>
      <c r="F1788">
        <v>19194</v>
      </c>
    </row>
    <row r="1789" spans="1:6">
      <c r="A1789" t="s">
        <v>2833</v>
      </c>
      <c r="B1789">
        <v>199</v>
      </c>
      <c r="C1789" t="s">
        <v>745</v>
      </c>
      <c r="D1789">
        <v>658860</v>
      </c>
      <c r="E1789">
        <v>19337</v>
      </c>
      <c r="F1789">
        <v>19194</v>
      </c>
    </row>
    <row r="1790" spans="1:6">
      <c r="A1790" t="s">
        <v>2834</v>
      </c>
      <c r="B1790">
        <v>199</v>
      </c>
      <c r="C1790" t="s">
        <v>1052</v>
      </c>
      <c r="D1790">
        <v>1482435</v>
      </c>
      <c r="E1790">
        <v>19337</v>
      </c>
      <c r="F1790">
        <v>19194</v>
      </c>
    </row>
    <row r="1791" spans="1:6">
      <c r="A1791" t="s">
        <v>2835</v>
      </c>
      <c r="B1791">
        <v>199</v>
      </c>
      <c r="C1791" t="s">
        <v>164</v>
      </c>
      <c r="D1791">
        <v>14774813</v>
      </c>
      <c r="E1791">
        <v>21810</v>
      </c>
      <c r="F1791">
        <v>19194</v>
      </c>
    </row>
    <row r="1792" spans="1:6">
      <c r="A1792" t="s">
        <v>2836</v>
      </c>
      <c r="B1792">
        <v>199</v>
      </c>
      <c r="C1792" t="s">
        <v>651</v>
      </c>
      <c r="D1792">
        <v>7387406</v>
      </c>
      <c r="E1792">
        <v>21810</v>
      </c>
      <c r="F1792">
        <v>19194</v>
      </c>
    </row>
    <row r="1793" spans="1:6">
      <c r="A1793" t="s">
        <v>2837</v>
      </c>
      <c r="B1793">
        <v>200</v>
      </c>
      <c r="C1793" t="s">
        <v>154</v>
      </c>
      <c r="D1793">
        <v>166733</v>
      </c>
      <c r="E1793">
        <v>19508</v>
      </c>
      <c r="F1793">
        <v>19313</v>
      </c>
    </row>
    <row r="1794" spans="1:6">
      <c r="A1794" t="s">
        <v>2838</v>
      </c>
      <c r="B1794">
        <v>200</v>
      </c>
      <c r="C1794" t="s">
        <v>1043</v>
      </c>
      <c r="D1794">
        <v>500199</v>
      </c>
      <c r="E1794">
        <v>19508</v>
      </c>
      <c r="F1794">
        <v>19313</v>
      </c>
    </row>
    <row r="1795" spans="1:6">
      <c r="A1795" t="s">
        <v>2839</v>
      </c>
      <c r="B1795">
        <v>200</v>
      </c>
      <c r="C1795" t="s">
        <v>1045</v>
      </c>
      <c r="D1795">
        <v>300120</v>
      </c>
      <c r="E1795">
        <v>19508</v>
      </c>
      <c r="F1795">
        <v>19313</v>
      </c>
    </row>
    <row r="1796" spans="1:6">
      <c r="A1796" t="s">
        <v>2840</v>
      </c>
      <c r="B1796">
        <v>200</v>
      </c>
      <c r="C1796" t="s">
        <v>1047</v>
      </c>
      <c r="D1796">
        <v>83367</v>
      </c>
      <c r="E1796">
        <v>19508</v>
      </c>
      <c r="F1796">
        <v>19313</v>
      </c>
    </row>
    <row r="1797" spans="1:6">
      <c r="A1797" t="s">
        <v>2841</v>
      </c>
      <c r="B1797">
        <v>200</v>
      </c>
      <c r="C1797" t="s">
        <v>1049</v>
      </c>
      <c r="D1797">
        <v>25010</v>
      </c>
      <c r="E1797">
        <v>19508</v>
      </c>
      <c r="F1797">
        <v>19313</v>
      </c>
    </row>
    <row r="1798" spans="1:6">
      <c r="A1798" t="s">
        <v>2842</v>
      </c>
      <c r="B1798">
        <v>200</v>
      </c>
      <c r="C1798" t="s">
        <v>745</v>
      </c>
      <c r="D1798">
        <v>666932</v>
      </c>
      <c r="E1798">
        <v>19508</v>
      </c>
      <c r="F1798">
        <v>19313</v>
      </c>
    </row>
    <row r="1799" spans="1:6">
      <c r="A1799" t="s">
        <v>2843</v>
      </c>
      <c r="B1799">
        <v>200</v>
      </c>
      <c r="C1799" t="s">
        <v>1052</v>
      </c>
      <c r="D1799">
        <v>1500597</v>
      </c>
      <c r="E1799">
        <v>19508</v>
      </c>
      <c r="F1799">
        <v>19313</v>
      </c>
    </row>
    <row r="1800" spans="1:6">
      <c r="A1800" t="s">
        <v>2844</v>
      </c>
      <c r="B1800">
        <v>200</v>
      </c>
      <c r="C1800" t="s">
        <v>164</v>
      </c>
      <c r="D1800">
        <v>14970365</v>
      </c>
      <c r="E1800">
        <v>21995</v>
      </c>
      <c r="F1800">
        <v>19313</v>
      </c>
    </row>
    <row r="1801" spans="1:6">
      <c r="A1801" t="s">
        <v>2845</v>
      </c>
      <c r="B1801">
        <v>200</v>
      </c>
      <c r="C1801" t="s">
        <v>651</v>
      </c>
      <c r="D1801">
        <v>7485182</v>
      </c>
      <c r="E1801">
        <v>21995</v>
      </c>
      <c r="F1801">
        <v>19313</v>
      </c>
    </row>
    <row r="1802" spans="1:6">
      <c r="A1802" t="s">
        <v>2846</v>
      </c>
      <c r="B1802">
        <v>201</v>
      </c>
      <c r="C1802" t="s">
        <v>154</v>
      </c>
      <c r="D1802">
        <v>168769</v>
      </c>
      <c r="E1802">
        <v>19681</v>
      </c>
      <c r="F1802">
        <v>19433</v>
      </c>
    </row>
    <row r="1803" spans="1:6">
      <c r="A1803" t="s">
        <v>2847</v>
      </c>
      <c r="B1803">
        <v>201</v>
      </c>
      <c r="C1803" t="s">
        <v>1043</v>
      </c>
      <c r="D1803">
        <v>506307</v>
      </c>
      <c r="E1803">
        <v>19681</v>
      </c>
      <c r="F1803">
        <v>19433</v>
      </c>
    </row>
    <row r="1804" spans="1:6">
      <c r="A1804" t="s">
        <v>2848</v>
      </c>
      <c r="B1804">
        <v>201</v>
      </c>
      <c r="C1804" t="s">
        <v>1045</v>
      </c>
      <c r="D1804">
        <v>303785</v>
      </c>
      <c r="E1804">
        <v>19681</v>
      </c>
      <c r="F1804">
        <v>19433</v>
      </c>
    </row>
    <row r="1805" spans="1:6">
      <c r="A1805" t="s">
        <v>2849</v>
      </c>
      <c r="B1805">
        <v>201</v>
      </c>
      <c r="C1805" t="s">
        <v>1047</v>
      </c>
      <c r="D1805">
        <v>84385</v>
      </c>
      <c r="E1805">
        <v>19681</v>
      </c>
      <c r="F1805">
        <v>19433</v>
      </c>
    </row>
    <row r="1806" spans="1:6">
      <c r="A1806" t="s">
        <v>2850</v>
      </c>
      <c r="B1806">
        <v>201</v>
      </c>
      <c r="C1806" t="s">
        <v>1049</v>
      </c>
      <c r="D1806">
        <v>25316</v>
      </c>
      <c r="E1806">
        <v>19681</v>
      </c>
      <c r="F1806">
        <v>19433</v>
      </c>
    </row>
    <row r="1807" spans="1:6">
      <c r="A1807" t="s">
        <v>2851</v>
      </c>
      <c r="B1807">
        <v>201</v>
      </c>
      <c r="C1807" t="s">
        <v>745</v>
      </c>
      <c r="D1807">
        <v>675076</v>
      </c>
      <c r="E1807">
        <v>19681</v>
      </c>
      <c r="F1807">
        <v>19433</v>
      </c>
    </row>
    <row r="1808" spans="1:6">
      <c r="A1808" t="s">
        <v>2852</v>
      </c>
      <c r="B1808">
        <v>201</v>
      </c>
      <c r="C1808" t="s">
        <v>1052</v>
      </c>
      <c r="D1808">
        <v>1518921</v>
      </c>
      <c r="E1808">
        <v>19681</v>
      </c>
      <c r="F1808">
        <v>19433</v>
      </c>
    </row>
    <row r="1809" spans="1:6">
      <c r="A1809" t="s">
        <v>2853</v>
      </c>
      <c r="B1809">
        <v>201</v>
      </c>
      <c r="C1809" t="s">
        <v>164</v>
      </c>
      <c r="D1809">
        <v>15167805</v>
      </c>
      <c r="E1809">
        <v>22182</v>
      </c>
      <c r="F1809">
        <v>19433</v>
      </c>
    </row>
    <row r="1810" spans="1:6">
      <c r="A1810" t="s">
        <v>2854</v>
      </c>
      <c r="B1810">
        <v>201</v>
      </c>
      <c r="C1810" t="s">
        <v>651</v>
      </c>
      <c r="D1810">
        <v>7583903</v>
      </c>
      <c r="E1810">
        <v>22182</v>
      </c>
      <c r="F1810">
        <v>19433</v>
      </c>
    </row>
    <row r="1811" spans="1:6">
      <c r="A1811" t="s">
        <v>2855</v>
      </c>
      <c r="B1811">
        <v>202</v>
      </c>
      <c r="C1811" t="s">
        <v>154</v>
      </c>
      <c r="D1811">
        <v>170823</v>
      </c>
      <c r="E1811">
        <v>19854</v>
      </c>
      <c r="F1811">
        <v>19552</v>
      </c>
    </row>
    <row r="1812" spans="1:6">
      <c r="A1812" t="s">
        <v>2856</v>
      </c>
      <c r="B1812">
        <v>202</v>
      </c>
      <c r="C1812" t="s">
        <v>1043</v>
      </c>
      <c r="D1812">
        <v>512469</v>
      </c>
      <c r="E1812">
        <v>19854</v>
      </c>
      <c r="F1812">
        <v>19552</v>
      </c>
    </row>
    <row r="1813" spans="1:6">
      <c r="A1813" t="s">
        <v>2857</v>
      </c>
      <c r="B1813">
        <v>202</v>
      </c>
      <c r="C1813" t="s">
        <v>1045</v>
      </c>
      <c r="D1813">
        <v>307482</v>
      </c>
      <c r="E1813">
        <v>19854</v>
      </c>
      <c r="F1813">
        <v>19552</v>
      </c>
    </row>
    <row r="1814" spans="1:6">
      <c r="A1814" t="s">
        <v>2858</v>
      </c>
      <c r="B1814">
        <v>202</v>
      </c>
      <c r="C1814" t="s">
        <v>1047</v>
      </c>
      <c r="D1814">
        <v>85412</v>
      </c>
      <c r="E1814">
        <v>19854</v>
      </c>
      <c r="F1814">
        <v>19552</v>
      </c>
    </row>
    <row r="1815" spans="1:6">
      <c r="A1815" t="s">
        <v>2859</v>
      </c>
      <c r="B1815">
        <v>202</v>
      </c>
      <c r="C1815" t="s">
        <v>1049</v>
      </c>
      <c r="D1815">
        <v>25624</v>
      </c>
      <c r="E1815">
        <v>19854</v>
      </c>
      <c r="F1815">
        <v>19552</v>
      </c>
    </row>
    <row r="1816" spans="1:6">
      <c r="A1816" t="s">
        <v>2860</v>
      </c>
      <c r="B1816">
        <v>202</v>
      </c>
      <c r="C1816" t="s">
        <v>745</v>
      </c>
      <c r="D1816">
        <v>683292</v>
      </c>
      <c r="E1816">
        <v>19854</v>
      </c>
      <c r="F1816">
        <v>19552</v>
      </c>
    </row>
    <row r="1817" spans="1:6">
      <c r="A1817" t="s">
        <v>2861</v>
      </c>
      <c r="B1817">
        <v>202</v>
      </c>
      <c r="C1817" t="s">
        <v>1052</v>
      </c>
      <c r="D1817">
        <v>1537407</v>
      </c>
      <c r="E1817">
        <v>19854</v>
      </c>
      <c r="F1817">
        <v>19552</v>
      </c>
    </row>
    <row r="1818" spans="1:6">
      <c r="A1818" t="s">
        <v>2862</v>
      </c>
      <c r="B1818">
        <v>202</v>
      </c>
      <c r="C1818" t="s">
        <v>164</v>
      </c>
      <c r="D1818">
        <v>15367185</v>
      </c>
      <c r="E1818">
        <v>22369</v>
      </c>
      <c r="F1818">
        <v>19552</v>
      </c>
    </row>
    <row r="1819" spans="1:6">
      <c r="A1819" t="s">
        <v>2863</v>
      </c>
      <c r="B1819">
        <v>202</v>
      </c>
      <c r="C1819" t="s">
        <v>651</v>
      </c>
      <c r="D1819">
        <v>7683592</v>
      </c>
      <c r="E1819">
        <v>22369</v>
      </c>
      <c r="F1819">
        <v>19552</v>
      </c>
    </row>
    <row r="1820" spans="1:6">
      <c r="A1820" t="s">
        <v>2864</v>
      </c>
      <c r="B1820">
        <v>203</v>
      </c>
      <c r="C1820" t="s">
        <v>154</v>
      </c>
      <c r="D1820">
        <v>172896</v>
      </c>
      <c r="E1820">
        <v>20028</v>
      </c>
      <c r="F1820">
        <v>19672</v>
      </c>
    </row>
    <row r="1821" spans="1:6">
      <c r="A1821" t="s">
        <v>2865</v>
      </c>
      <c r="B1821">
        <v>203</v>
      </c>
      <c r="C1821" t="s">
        <v>1043</v>
      </c>
      <c r="D1821">
        <v>518688</v>
      </c>
      <c r="E1821">
        <v>20028</v>
      </c>
      <c r="F1821">
        <v>19672</v>
      </c>
    </row>
    <row r="1822" spans="1:6">
      <c r="A1822" t="s">
        <v>2866</v>
      </c>
      <c r="B1822">
        <v>203</v>
      </c>
      <c r="C1822" t="s">
        <v>1045</v>
      </c>
      <c r="D1822">
        <v>311213</v>
      </c>
      <c r="E1822">
        <v>20028</v>
      </c>
      <c r="F1822">
        <v>19672</v>
      </c>
    </row>
    <row r="1823" spans="1:6">
      <c r="A1823" t="s">
        <v>2867</v>
      </c>
      <c r="B1823">
        <v>203</v>
      </c>
      <c r="C1823" t="s">
        <v>1047</v>
      </c>
      <c r="D1823">
        <v>86448</v>
      </c>
      <c r="E1823">
        <v>20028</v>
      </c>
      <c r="F1823">
        <v>19672</v>
      </c>
    </row>
    <row r="1824" spans="1:6">
      <c r="A1824" t="s">
        <v>2868</v>
      </c>
      <c r="B1824">
        <v>203</v>
      </c>
      <c r="C1824" t="s">
        <v>1049</v>
      </c>
      <c r="D1824">
        <v>25935</v>
      </c>
      <c r="E1824">
        <v>20028</v>
      </c>
      <c r="F1824">
        <v>19672</v>
      </c>
    </row>
    <row r="1825" spans="1:6">
      <c r="A1825" t="s">
        <v>2869</v>
      </c>
      <c r="B1825">
        <v>203</v>
      </c>
      <c r="C1825" t="s">
        <v>745</v>
      </c>
      <c r="D1825">
        <v>691584</v>
      </c>
      <c r="E1825">
        <v>20028</v>
      </c>
      <c r="F1825">
        <v>19672</v>
      </c>
    </row>
    <row r="1826" spans="1:6">
      <c r="A1826" t="s">
        <v>2870</v>
      </c>
      <c r="B1826">
        <v>203</v>
      </c>
      <c r="C1826" t="s">
        <v>1052</v>
      </c>
      <c r="D1826">
        <v>1556064</v>
      </c>
      <c r="E1826">
        <v>20028</v>
      </c>
      <c r="F1826">
        <v>19672</v>
      </c>
    </row>
    <row r="1827" spans="1:6">
      <c r="A1827" t="s">
        <v>2871</v>
      </c>
      <c r="B1827">
        <v>203</v>
      </c>
      <c r="C1827" t="s">
        <v>164</v>
      </c>
      <c r="D1827">
        <v>15568452</v>
      </c>
      <c r="E1827">
        <v>22558</v>
      </c>
      <c r="F1827">
        <v>19672</v>
      </c>
    </row>
    <row r="1828" spans="1:6">
      <c r="A1828" t="s">
        <v>2872</v>
      </c>
      <c r="B1828">
        <v>203</v>
      </c>
      <c r="C1828" t="s">
        <v>651</v>
      </c>
      <c r="D1828">
        <v>7784226</v>
      </c>
      <c r="E1828">
        <v>22558</v>
      </c>
      <c r="F1828">
        <v>19672</v>
      </c>
    </row>
    <row r="1829" spans="1:6">
      <c r="A1829" t="s">
        <v>2873</v>
      </c>
      <c r="B1829">
        <v>204</v>
      </c>
      <c r="C1829" t="s">
        <v>154</v>
      </c>
      <c r="D1829">
        <v>174987</v>
      </c>
      <c r="E1829">
        <v>20204</v>
      </c>
      <c r="F1829">
        <v>19792</v>
      </c>
    </row>
    <row r="1830" spans="1:6">
      <c r="A1830" t="s">
        <v>2874</v>
      </c>
      <c r="B1830">
        <v>204</v>
      </c>
      <c r="C1830" t="s">
        <v>1043</v>
      </c>
      <c r="D1830">
        <v>524961</v>
      </c>
      <c r="E1830">
        <v>20204</v>
      </c>
      <c r="F1830">
        <v>19792</v>
      </c>
    </row>
    <row r="1831" spans="1:6">
      <c r="A1831" t="s">
        <v>2875</v>
      </c>
      <c r="B1831">
        <v>204</v>
      </c>
      <c r="C1831" t="s">
        <v>1045</v>
      </c>
      <c r="D1831">
        <v>314977</v>
      </c>
      <c r="E1831">
        <v>20204</v>
      </c>
      <c r="F1831">
        <v>19792</v>
      </c>
    </row>
    <row r="1832" spans="1:6">
      <c r="A1832" t="s">
        <v>2876</v>
      </c>
      <c r="B1832">
        <v>204</v>
      </c>
      <c r="C1832" t="s">
        <v>1047</v>
      </c>
      <c r="D1832">
        <v>87494</v>
      </c>
      <c r="E1832">
        <v>20204</v>
      </c>
      <c r="F1832">
        <v>19792</v>
      </c>
    </row>
    <row r="1833" spans="1:6">
      <c r="A1833" t="s">
        <v>2877</v>
      </c>
      <c r="B1833">
        <v>204</v>
      </c>
      <c r="C1833" t="s">
        <v>1049</v>
      </c>
      <c r="D1833">
        <v>26249</v>
      </c>
      <c r="E1833">
        <v>20204</v>
      </c>
      <c r="F1833">
        <v>19792</v>
      </c>
    </row>
    <row r="1834" spans="1:6">
      <c r="A1834" t="s">
        <v>2878</v>
      </c>
      <c r="B1834">
        <v>204</v>
      </c>
      <c r="C1834" t="s">
        <v>745</v>
      </c>
      <c r="D1834">
        <v>699948</v>
      </c>
      <c r="E1834">
        <v>20204</v>
      </c>
      <c r="F1834">
        <v>19792</v>
      </c>
    </row>
    <row r="1835" spans="1:6">
      <c r="A1835" t="s">
        <v>2879</v>
      </c>
      <c r="B1835">
        <v>204</v>
      </c>
      <c r="C1835" t="s">
        <v>1052</v>
      </c>
      <c r="D1835">
        <v>1574883</v>
      </c>
      <c r="E1835">
        <v>20204</v>
      </c>
      <c r="F1835">
        <v>19792</v>
      </c>
    </row>
    <row r="1836" spans="1:6">
      <c r="A1836" t="s">
        <v>2880</v>
      </c>
      <c r="B1836">
        <v>204</v>
      </c>
      <c r="C1836" t="s">
        <v>164</v>
      </c>
      <c r="D1836">
        <v>15771710</v>
      </c>
      <c r="E1836">
        <v>22748</v>
      </c>
      <c r="F1836">
        <v>19792</v>
      </c>
    </row>
    <row r="1837" spans="1:6">
      <c r="A1837" t="s">
        <v>2881</v>
      </c>
      <c r="B1837">
        <v>204</v>
      </c>
      <c r="C1837" t="s">
        <v>651</v>
      </c>
      <c r="D1837">
        <v>7885855</v>
      </c>
      <c r="E1837">
        <v>22748</v>
      </c>
      <c r="F1837">
        <v>19792</v>
      </c>
    </row>
    <row r="1838" spans="1:6">
      <c r="A1838" t="s">
        <v>2882</v>
      </c>
      <c r="B1838">
        <v>205</v>
      </c>
      <c r="C1838" t="s">
        <v>154</v>
      </c>
      <c r="D1838">
        <v>177096</v>
      </c>
      <c r="E1838">
        <v>20380</v>
      </c>
      <c r="F1838">
        <v>19913</v>
      </c>
    </row>
    <row r="1839" spans="1:6">
      <c r="A1839" t="s">
        <v>2883</v>
      </c>
      <c r="B1839">
        <v>205</v>
      </c>
      <c r="C1839" t="s">
        <v>1043</v>
      </c>
      <c r="D1839">
        <v>531288</v>
      </c>
      <c r="E1839">
        <v>20380</v>
      </c>
      <c r="F1839">
        <v>19913</v>
      </c>
    </row>
    <row r="1840" spans="1:6">
      <c r="A1840" t="s">
        <v>2884</v>
      </c>
      <c r="B1840">
        <v>205</v>
      </c>
      <c r="C1840" t="s">
        <v>1045</v>
      </c>
      <c r="D1840">
        <v>318773</v>
      </c>
      <c r="E1840">
        <v>20380</v>
      </c>
      <c r="F1840">
        <v>19913</v>
      </c>
    </row>
    <row r="1841" spans="1:6">
      <c r="A1841" t="s">
        <v>2885</v>
      </c>
      <c r="B1841">
        <v>205</v>
      </c>
      <c r="C1841" t="s">
        <v>1047</v>
      </c>
      <c r="D1841">
        <v>88548</v>
      </c>
      <c r="E1841">
        <v>20380</v>
      </c>
      <c r="F1841">
        <v>19913</v>
      </c>
    </row>
    <row r="1842" spans="1:6">
      <c r="A1842" t="s">
        <v>2886</v>
      </c>
      <c r="B1842">
        <v>205</v>
      </c>
      <c r="C1842" t="s">
        <v>1049</v>
      </c>
      <c r="D1842">
        <v>26565</v>
      </c>
      <c r="E1842">
        <v>20380</v>
      </c>
      <c r="F1842">
        <v>19913</v>
      </c>
    </row>
    <row r="1843" spans="1:6">
      <c r="A1843" t="s">
        <v>2887</v>
      </c>
      <c r="B1843">
        <v>205</v>
      </c>
      <c r="C1843" t="s">
        <v>745</v>
      </c>
      <c r="D1843">
        <v>708384</v>
      </c>
      <c r="E1843">
        <v>20380</v>
      </c>
      <c r="F1843">
        <v>19913</v>
      </c>
    </row>
    <row r="1844" spans="1:6">
      <c r="A1844" t="s">
        <v>2888</v>
      </c>
      <c r="B1844">
        <v>205</v>
      </c>
      <c r="C1844" t="s">
        <v>1052</v>
      </c>
      <c r="D1844">
        <v>1593864</v>
      </c>
      <c r="E1844">
        <v>20380</v>
      </c>
      <c r="F1844">
        <v>19913</v>
      </c>
    </row>
    <row r="1845" spans="1:6">
      <c r="A1845" t="s">
        <v>2889</v>
      </c>
      <c r="B1845">
        <v>205</v>
      </c>
      <c r="C1845" t="s">
        <v>164</v>
      </c>
      <c r="D1845">
        <v>15976907</v>
      </c>
      <c r="E1845">
        <v>22938</v>
      </c>
      <c r="F1845">
        <v>19913</v>
      </c>
    </row>
    <row r="1846" spans="1:6">
      <c r="A1846" t="s">
        <v>2890</v>
      </c>
      <c r="B1846">
        <v>205</v>
      </c>
      <c r="C1846" t="s">
        <v>651</v>
      </c>
      <c r="D1846">
        <v>7988453</v>
      </c>
      <c r="E1846">
        <v>22938</v>
      </c>
      <c r="F1846">
        <v>19913</v>
      </c>
    </row>
    <row r="1847" spans="1:6">
      <c r="A1847" t="s">
        <v>2891</v>
      </c>
      <c r="B1847">
        <v>206</v>
      </c>
      <c r="C1847" t="s">
        <v>154</v>
      </c>
      <c r="D1847">
        <v>179224</v>
      </c>
      <c r="E1847">
        <v>20558</v>
      </c>
      <c r="F1847">
        <v>20033</v>
      </c>
    </row>
    <row r="1848" spans="1:6">
      <c r="A1848" t="s">
        <v>2892</v>
      </c>
      <c r="B1848">
        <v>206</v>
      </c>
      <c r="C1848" t="s">
        <v>1043</v>
      </c>
      <c r="D1848">
        <v>537672</v>
      </c>
      <c r="E1848">
        <v>20558</v>
      </c>
      <c r="F1848">
        <v>20033</v>
      </c>
    </row>
    <row r="1849" spans="1:6">
      <c r="A1849" t="s">
        <v>2893</v>
      </c>
      <c r="B1849">
        <v>206</v>
      </c>
      <c r="C1849" t="s">
        <v>1045</v>
      </c>
      <c r="D1849">
        <v>322604</v>
      </c>
      <c r="E1849">
        <v>20558</v>
      </c>
      <c r="F1849">
        <v>20033</v>
      </c>
    </row>
    <row r="1850" spans="1:6">
      <c r="A1850" t="s">
        <v>2894</v>
      </c>
      <c r="B1850">
        <v>206</v>
      </c>
      <c r="C1850" t="s">
        <v>1047</v>
      </c>
      <c r="D1850">
        <v>89612</v>
      </c>
      <c r="E1850">
        <v>20558</v>
      </c>
      <c r="F1850">
        <v>20033</v>
      </c>
    </row>
    <row r="1851" spans="1:6">
      <c r="A1851" t="s">
        <v>2895</v>
      </c>
      <c r="B1851">
        <v>206</v>
      </c>
      <c r="C1851" t="s">
        <v>1049</v>
      </c>
      <c r="D1851">
        <v>26884</v>
      </c>
      <c r="E1851">
        <v>20558</v>
      </c>
      <c r="F1851">
        <v>20033</v>
      </c>
    </row>
    <row r="1852" spans="1:6">
      <c r="A1852" t="s">
        <v>2896</v>
      </c>
      <c r="B1852">
        <v>206</v>
      </c>
      <c r="C1852" t="s">
        <v>745</v>
      </c>
      <c r="D1852">
        <v>716896</v>
      </c>
      <c r="E1852">
        <v>20558</v>
      </c>
      <c r="F1852">
        <v>20033</v>
      </c>
    </row>
    <row r="1853" spans="1:6">
      <c r="A1853" t="s">
        <v>2897</v>
      </c>
      <c r="B1853">
        <v>206</v>
      </c>
      <c r="C1853" t="s">
        <v>1052</v>
      </c>
      <c r="D1853">
        <v>1613016</v>
      </c>
      <c r="E1853">
        <v>20558</v>
      </c>
      <c r="F1853">
        <v>20033</v>
      </c>
    </row>
    <row r="1854" spans="1:6">
      <c r="A1854" t="s">
        <v>2898</v>
      </c>
      <c r="B1854">
        <v>206</v>
      </c>
      <c r="C1854" t="s">
        <v>164</v>
      </c>
      <c r="D1854">
        <v>16184042</v>
      </c>
      <c r="E1854">
        <v>23130</v>
      </c>
      <c r="F1854">
        <v>20033</v>
      </c>
    </row>
    <row r="1855" spans="1:6">
      <c r="A1855" t="s">
        <v>2899</v>
      </c>
      <c r="B1855">
        <v>206</v>
      </c>
      <c r="C1855" t="s">
        <v>651</v>
      </c>
      <c r="D1855">
        <v>8092021</v>
      </c>
      <c r="E1855">
        <v>23130</v>
      </c>
      <c r="F1855">
        <v>20033</v>
      </c>
    </row>
    <row r="1856" spans="1:6">
      <c r="A1856" t="s">
        <v>2900</v>
      </c>
      <c r="B1856">
        <v>207</v>
      </c>
      <c r="C1856" t="s">
        <v>154</v>
      </c>
      <c r="D1856">
        <v>181371</v>
      </c>
      <c r="E1856">
        <v>20737</v>
      </c>
      <c r="F1856">
        <v>20154</v>
      </c>
    </row>
    <row r="1857" spans="1:6">
      <c r="A1857" t="s">
        <v>2901</v>
      </c>
      <c r="B1857">
        <v>207</v>
      </c>
      <c r="C1857" t="s">
        <v>1043</v>
      </c>
      <c r="D1857">
        <v>544113</v>
      </c>
      <c r="E1857">
        <v>20737</v>
      </c>
      <c r="F1857">
        <v>20154</v>
      </c>
    </row>
    <row r="1858" spans="1:6">
      <c r="A1858" t="s">
        <v>2902</v>
      </c>
      <c r="B1858">
        <v>207</v>
      </c>
      <c r="C1858" t="s">
        <v>1045</v>
      </c>
      <c r="D1858">
        <v>326468</v>
      </c>
      <c r="E1858">
        <v>20737</v>
      </c>
      <c r="F1858">
        <v>20154</v>
      </c>
    </row>
    <row r="1859" spans="1:6">
      <c r="A1859" t="s">
        <v>2903</v>
      </c>
      <c r="B1859">
        <v>207</v>
      </c>
      <c r="C1859" t="s">
        <v>1047</v>
      </c>
      <c r="D1859">
        <v>90686</v>
      </c>
      <c r="E1859">
        <v>20737</v>
      </c>
      <c r="F1859">
        <v>20154</v>
      </c>
    </row>
    <row r="1860" spans="1:6">
      <c r="A1860" t="s">
        <v>2904</v>
      </c>
      <c r="B1860">
        <v>207</v>
      </c>
      <c r="C1860" t="s">
        <v>1049</v>
      </c>
      <c r="D1860">
        <v>27206</v>
      </c>
      <c r="E1860">
        <v>20737</v>
      </c>
      <c r="F1860">
        <v>20154</v>
      </c>
    </row>
    <row r="1861" spans="1:6">
      <c r="A1861" t="s">
        <v>2905</v>
      </c>
      <c r="B1861">
        <v>207</v>
      </c>
      <c r="C1861" t="s">
        <v>745</v>
      </c>
      <c r="D1861">
        <v>725484</v>
      </c>
      <c r="E1861">
        <v>20737</v>
      </c>
      <c r="F1861">
        <v>20154</v>
      </c>
    </row>
    <row r="1862" spans="1:6">
      <c r="A1862" t="s">
        <v>2906</v>
      </c>
      <c r="B1862">
        <v>207</v>
      </c>
      <c r="C1862" t="s">
        <v>1052</v>
      </c>
      <c r="D1862">
        <v>1632339</v>
      </c>
      <c r="E1862">
        <v>20737</v>
      </c>
      <c r="F1862">
        <v>20154</v>
      </c>
    </row>
    <row r="1863" spans="1:6">
      <c r="A1863" t="s">
        <v>2907</v>
      </c>
      <c r="B1863">
        <v>207</v>
      </c>
      <c r="C1863" t="s">
        <v>164</v>
      </c>
      <c r="D1863">
        <v>16393219</v>
      </c>
      <c r="E1863">
        <v>23323</v>
      </c>
      <c r="F1863">
        <v>20154</v>
      </c>
    </row>
    <row r="1864" spans="1:6">
      <c r="A1864" t="s">
        <v>2908</v>
      </c>
      <c r="B1864">
        <v>207</v>
      </c>
      <c r="C1864" t="s">
        <v>651</v>
      </c>
      <c r="D1864">
        <v>8196610</v>
      </c>
      <c r="E1864">
        <v>23323</v>
      </c>
      <c r="F1864">
        <v>20154</v>
      </c>
    </row>
    <row r="1865" spans="1:6">
      <c r="A1865" t="s">
        <v>2909</v>
      </c>
      <c r="B1865">
        <v>208</v>
      </c>
      <c r="C1865" t="s">
        <v>154</v>
      </c>
      <c r="D1865">
        <v>183537</v>
      </c>
      <c r="E1865">
        <v>20916</v>
      </c>
      <c r="F1865">
        <v>20275</v>
      </c>
    </row>
    <row r="1866" spans="1:6">
      <c r="A1866" t="s">
        <v>2910</v>
      </c>
      <c r="B1866">
        <v>208</v>
      </c>
      <c r="C1866" t="s">
        <v>1043</v>
      </c>
      <c r="D1866">
        <v>550611</v>
      </c>
      <c r="E1866">
        <v>20916</v>
      </c>
      <c r="F1866">
        <v>20275</v>
      </c>
    </row>
    <row r="1867" spans="1:6">
      <c r="A1867" t="s">
        <v>2911</v>
      </c>
      <c r="B1867">
        <v>208</v>
      </c>
      <c r="C1867" t="s">
        <v>1045</v>
      </c>
      <c r="D1867">
        <v>330367</v>
      </c>
      <c r="E1867">
        <v>20916</v>
      </c>
      <c r="F1867">
        <v>20275</v>
      </c>
    </row>
    <row r="1868" spans="1:6">
      <c r="A1868" t="s">
        <v>2912</v>
      </c>
      <c r="B1868">
        <v>208</v>
      </c>
      <c r="C1868" t="s">
        <v>1047</v>
      </c>
      <c r="D1868">
        <v>91769</v>
      </c>
      <c r="E1868">
        <v>20916</v>
      </c>
      <c r="F1868">
        <v>20275</v>
      </c>
    </row>
    <row r="1869" spans="1:6">
      <c r="A1869" t="s">
        <v>2913</v>
      </c>
      <c r="B1869">
        <v>208</v>
      </c>
      <c r="C1869" t="s">
        <v>1049</v>
      </c>
      <c r="D1869">
        <v>27531</v>
      </c>
      <c r="E1869">
        <v>20916</v>
      </c>
      <c r="F1869">
        <v>20275</v>
      </c>
    </row>
    <row r="1870" spans="1:6">
      <c r="A1870" t="s">
        <v>2914</v>
      </c>
      <c r="B1870">
        <v>208</v>
      </c>
      <c r="C1870" t="s">
        <v>745</v>
      </c>
      <c r="D1870">
        <v>734148</v>
      </c>
      <c r="E1870">
        <v>20916</v>
      </c>
      <c r="F1870">
        <v>20275</v>
      </c>
    </row>
    <row r="1871" spans="1:6">
      <c r="A1871" t="s">
        <v>2915</v>
      </c>
      <c r="B1871">
        <v>208</v>
      </c>
      <c r="C1871" t="s">
        <v>1052</v>
      </c>
      <c r="D1871">
        <v>1651833</v>
      </c>
      <c r="E1871">
        <v>20916</v>
      </c>
      <c r="F1871">
        <v>20275</v>
      </c>
    </row>
    <row r="1872" spans="1:6">
      <c r="A1872" t="s">
        <v>2916</v>
      </c>
      <c r="B1872">
        <v>208</v>
      </c>
      <c r="C1872" t="s">
        <v>164</v>
      </c>
      <c r="D1872">
        <v>16604386</v>
      </c>
      <c r="E1872">
        <v>23516</v>
      </c>
      <c r="F1872">
        <v>20275</v>
      </c>
    </row>
    <row r="1873" spans="1:6">
      <c r="A1873" t="s">
        <v>2917</v>
      </c>
      <c r="B1873">
        <v>208</v>
      </c>
      <c r="C1873" t="s">
        <v>651</v>
      </c>
      <c r="D1873">
        <v>8302193</v>
      </c>
      <c r="E1873">
        <v>23516</v>
      </c>
      <c r="F1873">
        <v>20275</v>
      </c>
    </row>
    <row r="1874" spans="1:6">
      <c r="A1874" t="s">
        <v>2918</v>
      </c>
      <c r="B1874">
        <v>209</v>
      </c>
      <c r="C1874" t="s">
        <v>154</v>
      </c>
      <c r="D1874">
        <v>185721</v>
      </c>
      <c r="E1874">
        <v>21097</v>
      </c>
      <c r="F1874">
        <v>20396</v>
      </c>
    </row>
    <row r="1875" spans="1:6">
      <c r="A1875" t="s">
        <v>2919</v>
      </c>
      <c r="B1875">
        <v>209</v>
      </c>
      <c r="C1875" t="s">
        <v>1043</v>
      </c>
      <c r="D1875">
        <v>557163</v>
      </c>
      <c r="E1875">
        <v>21097</v>
      </c>
      <c r="F1875">
        <v>20396</v>
      </c>
    </row>
    <row r="1876" spans="1:6">
      <c r="A1876" t="s">
        <v>2920</v>
      </c>
      <c r="B1876">
        <v>209</v>
      </c>
      <c r="C1876" t="s">
        <v>1045</v>
      </c>
      <c r="D1876">
        <v>334298</v>
      </c>
      <c r="E1876">
        <v>21097</v>
      </c>
      <c r="F1876">
        <v>20396</v>
      </c>
    </row>
    <row r="1877" spans="1:6">
      <c r="A1877" t="s">
        <v>2921</v>
      </c>
      <c r="B1877">
        <v>209</v>
      </c>
      <c r="C1877" t="s">
        <v>1047</v>
      </c>
      <c r="D1877">
        <v>92861</v>
      </c>
      <c r="E1877">
        <v>21097</v>
      </c>
      <c r="F1877">
        <v>20396</v>
      </c>
    </row>
    <row r="1878" spans="1:6">
      <c r="A1878" t="s">
        <v>2922</v>
      </c>
      <c r="B1878">
        <v>209</v>
      </c>
      <c r="C1878" t="s">
        <v>1049</v>
      </c>
      <c r="D1878">
        <v>27859</v>
      </c>
      <c r="E1878">
        <v>21097</v>
      </c>
      <c r="F1878">
        <v>20396</v>
      </c>
    </row>
    <row r="1879" spans="1:6">
      <c r="A1879" t="s">
        <v>2923</v>
      </c>
      <c r="B1879">
        <v>209</v>
      </c>
      <c r="C1879" t="s">
        <v>745</v>
      </c>
      <c r="D1879">
        <v>742884</v>
      </c>
      <c r="E1879">
        <v>21097</v>
      </c>
      <c r="F1879">
        <v>20396</v>
      </c>
    </row>
    <row r="1880" spans="1:6">
      <c r="A1880" t="s">
        <v>2924</v>
      </c>
      <c r="B1880">
        <v>209</v>
      </c>
      <c r="C1880" t="s">
        <v>1052</v>
      </c>
      <c r="D1880">
        <v>1671489</v>
      </c>
      <c r="E1880">
        <v>21097</v>
      </c>
      <c r="F1880">
        <v>20396</v>
      </c>
    </row>
    <row r="1881" spans="1:6">
      <c r="A1881" t="s">
        <v>2925</v>
      </c>
      <c r="B1881">
        <v>209</v>
      </c>
      <c r="C1881" t="s">
        <v>164</v>
      </c>
      <c r="D1881">
        <v>16817542</v>
      </c>
      <c r="E1881">
        <v>23711</v>
      </c>
      <c r="F1881">
        <v>20396</v>
      </c>
    </row>
    <row r="1882" spans="1:6">
      <c r="A1882" t="s">
        <v>2926</v>
      </c>
      <c r="B1882">
        <v>209</v>
      </c>
      <c r="C1882" t="s">
        <v>651</v>
      </c>
      <c r="D1882">
        <v>8408771</v>
      </c>
      <c r="E1882">
        <v>23711</v>
      </c>
      <c r="F1882">
        <v>20396</v>
      </c>
    </row>
    <row r="1883" spans="1:6">
      <c r="A1883" t="s">
        <v>2927</v>
      </c>
      <c r="B1883">
        <v>210</v>
      </c>
      <c r="C1883" t="s">
        <v>154</v>
      </c>
      <c r="D1883">
        <v>187925</v>
      </c>
      <c r="E1883">
        <v>21279</v>
      </c>
      <c r="F1883">
        <v>20518</v>
      </c>
    </row>
    <row r="1884" spans="1:6">
      <c r="A1884" t="s">
        <v>2928</v>
      </c>
      <c r="B1884">
        <v>210</v>
      </c>
      <c r="C1884" t="s">
        <v>1043</v>
      </c>
      <c r="D1884">
        <v>563775</v>
      </c>
      <c r="E1884">
        <v>21279</v>
      </c>
      <c r="F1884">
        <v>20518</v>
      </c>
    </row>
    <row r="1885" spans="1:6">
      <c r="A1885" t="s">
        <v>2929</v>
      </c>
      <c r="B1885">
        <v>210</v>
      </c>
      <c r="C1885" t="s">
        <v>1045</v>
      </c>
      <c r="D1885">
        <v>338265</v>
      </c>
      <c r="E1885">
        <v>21279</v>
      </c>
      <c r="F1885">
        <v>20518</v>
      </c>
    </row>
    <row r="1886" spans="1:6">
      <c r="A1886" t="s">
        <v>2930</v>
      </c>
      <c r="B1886">
        <v>210</v>
      </c>
      <c r="C1886" t="s">
        <v>1047</v>
      </c>
      <c r="D1886">
        <v>93963</v>
      </c>
      <c r="E1886">
        <v>21279</v>
      </c>
      <c r="F1886">
        <v>20518</v>
      </c>
    </row>
    <row r="1887" spans="1:6">
      <c r="A1887" t="s">
        <v>2931</v>
      </c>
      <c r="B1887">
        <v>210</v>
      </c>
      <c r="C1887" t="s">
        <v>1049</v>
      </c>
      <c r="D1887">
        <v>28189</v>
      </c>
      <c r="E1887">
        <v>21279</v>
      </c>
      <c r="F1887">
        <v>20518</v>
      </c>
    </row>
    <row r="1888" spans="1:6">
      <c r="A1888" t="s">
        <v>2932</v>
      </c>
      <c r="B1888">
        <v>210</v>
      </c>
      <c r="C1888" t="s">
        <v>745</v>
      </c>
      <c r="D1888">
        <v>751700</v>
      </c>
      <c r="E1888">
        <v>21279</v>
      </c>
      <c r="F1888">
        <v>20518</v>
      </c>
    </row>
    <row r="1889" spans="1:6">
      <c r="A1889" t="s">
        <v>2933</v>
      </c>
      <c r="B1889">
        <v>210</v>
      </c>
      <c r="C1889" t="s">
        <v>1052</v>
      </c>
      <c r="D1889">
        <v>1691325</v>
      </c>
      <c r="E1889">
        <v>21279</v>
      </c>
      <c r="F1889">
        <v>20518</v>
      </c>
    </row>
    <row r="1890" spans="1:6">
      <c r="A1890" t="s">
        <v>2934</v>
      </c>
      <c r="B1890">
        <v>210</v>
      </c>
      <c r="C1890" t="s">
        <v>164</v>
      </c>
      <c r="D1890">
        <v>17032739</v>
      </c>
      <c r="E1890">
        <v>23907</v>
      </c>
      <c r="F1890">
        <v>20518</v>
      </c>
    </row>
    <row r="1891" spans="1:6">
      <c r="A1891" t="s">
        <v>2935</v>
      </c>
      <c r="B1891">
        <v>210</v>
      </c>
      <c r="C1891" t="s">
        <v>651</v>
      </c>
      <c r="D1891">
        <v>8516370</v>
      </c>
      <c r="E1891">
        <v>23907</v>
      </c>
      <c r="F1891">
        <v>20518</v>
      </c>
    </row>
    <row r="1892" spans="1:6">
      <c r="A1892" t="s">
        <v>2936</v>
      </c>
      <c r="B1892">
        <v>211</v>
      </c>
      <c r="C1892" t="s">
        <v>154</v>
      </c>
      <c r="D1892">
        <v>190148</v>
      </c>
      <c r="E1892">
        <v>21461</v>
      </c>
      <c r="F1892">
        <v>20639</v>
      </c>
    </row>
    <row r="1893" spans="1:6">
      <c r="A1893" t="s">
        <v>2937</v>
      </c>
      <c r="B1893">
        <v>211</v>
      </c>
      <c r="C1893" t="s">
        <v>1043</v>
      </c>
      <c r="D1893">
        <v>570444</v>
      </c>
      <c r="E1893">
        <v>21461</v>
      </c>
      <c r="F1893">
        <v>20639</v>
      </c>
    </row>
    <row r="1894" spans="1:6">
      <c r="A1894" t="s">
        <v>2938</v>
      </c>
      <c r="B1894">
        <v>211</v>
      </c>
      <c r="C1894" t="s">
        <v>1045</v>
      </c>
      <c r="D1894">
        <v>342267</v>
      </c>
      <c r="E1894">
        <v>21461</v>
      </c>
      <c r="F1894">
        <v>20639</v>
      </c>
    </row>
    <row r="1895" spans="1:6">
      <c r="A1895" t="s">
        <v>2939</v>
      </c>
      <c r="B1895">
        <v>211</v>
      </c>
      <c r="C1895" t="s">
        <v>1047</v>
      </c>
      <c r="D1895">
        <v>95074</v>
      </c>
      <c r="E1895">
        <v>21461</v>
      </c>
      <c r="F1895">
        <v>20639</v>
      </c>
    </row>
    <row r="1896" spans="1:6">
      <c r="A1896" t="s">
        <v>2940</v>
      </c>
      <c r="B1896">
        <v>211</v>
      </c>
      <c r="C1896" t="s">
        <v>1049</v>
      </c>
      <c r="D1896">
        <v>28523</v>
      </c>
      <c r="E1896">
        <v>21461</v>
      </c>
      <c r="F1896">
        <v>20639</v>
      </c>
    </row>
    <row r="1897" spans="1:6">
      <c r="A1897" t="s">
        <v>2941</v>
      </c>
      <c r="B1897">
        <v>211</v>
      </c>
      <c r="C1897" t="s">
        <v>745</v>
      </c>
      <c r="D1897">
        <v>760592</v>
      </c>
      <c r="E1897">
        <v>21461</v>
      </c>
      <c r="F1897">
        <v>20639</v>
      </c>
    </row>
    <row r="1898" spans="1:6">
      <c r="A1898" t="s">
        <v>2942</v>
      </c>
      <c r="B1898">
        <v>211</v>
      </c>
      <c r="C1898" t="s">
        <v>1052</v>
      </c>
      <c r="D1898">
        <v>1711332</v>
      </c>
      <c r="E1898">
        <v>21461</v>
      </c>
      <c r="F1898">
        <v>20639</v>
      </c>
    </row>
    <row r="1899" spans="1:6">
      <c r="A1899" t="s">
        <v>2943</v>
      </c>
      <c r="B1899">
        <v>211</v>
      </c>
      <c r="C1899" t="s">
        <v>164</v>
      </c>
      <c r="D1899">
        <v>17249927</v>
      </c>
      <c r="E1899">
        <v>24104</v>
      </c>
      <c r="F1899">
        <v>20639</v>
      </c>
    </row>
    <row r="1900" spans="1:6">
      <c r="A1900" t="s">
        <v>2944</v>
      </c>
      <c r="B1900">
        <v>211</v>
      </c>
      <c r="C1900" t="s">
        <v>651</v>
      </c>
      <c r="D1900">
        <v>8624963</v>
      </c>
      <c r="E1900">
        <v>24104</v>
      </c>
      <c r="F1900">
        <v>20639</v>
      </c>
    </row>
    <row r="1901" spans="1:6">
      <c r="A1901" t="s">
        <v>2945</v>
      </c>
      <c r="B1901">
        <v>212</v>
      </c>
      <c r="C1901" t="s">
        <v>154</v>
      </c>
      <c r="D1901">
        <v>192391</v>
      </c>
      <c r="E1901">
        <v>21646</v>
      </c>
      <c r="F1901">
        <v>20761</v>
      </c>
    </row>
    <row r="1902" spans="1:6">
      <c r="A1902" t="s">
        <v>2946</v>
      </c>
      <c r="B1902">
        <v>212</v>
      </c>
      <c r="C1902" t="s">
        <v>1043</v>
      </c>
      <c r="D1902">
        <v>577173</v>
      </c>
      <c r="E1902">
        <v>21646</v>
      </c>
      <c r="F1902">
        <v>20761</v>
      </c>
    </row>
    <row r="1903" spans="1:6">
      <c r="A1903" t="s">
        <v>2947</v>
      </c>
      <c r="B1903">
        <v>212</v>
      </c>
      <c r="C1903" t="s">
        <v>1045</v>
      </c>
      <c r="D1903">
        <v>346304</v>
      </c>
      <c r="E1903">
        <v>21646</v>
      </c>
      <c r="F1903">
        <v>20761</v>
      </c>
    </row>
    <row r="1904" spans="1:6">
      <c r="A1904" t="s">
        <v>2948</v>
      </c>
      <c r="B1904">
        <v>212</v>
      </c>
      <c r="C1904" t="s">
        <v>1047</v>
      </c>
      <c r="D1904">
        <v>96196</v>
      </c>
      <c r="E1904">
        <v>21646</v>
      </c>
      <c r="F1904">
        <v>20761</v>
      </c>
    </row>
    <row r="1905" spans="1:6">
      <c r="A1905" t="s">
        <v>2949</v>
      </c>
      <c r="B1905">
        <v>212</v>
      </c>
      <c r="C1905" t="s">
        <v>1049</v>
      </c>
      <c r="D1905">
        <v>28859</v>
      </c>
      <c r="E1905">
        <v>21646</v>
      </c>
      <c r="F1905">
        <v>20761</v>
      </c>
    </row>
    <row r="1906" spans="1:6">
      <c r="A1906" t="s">
        <v>2950</v>
      </c>
      <c r="B1906">
        <v>212</v>
      </c>
      <c r="C1906" t="s">
        <v>745</v>
      </c>
      <c r="D1906">
        <v>769564</v>
      </c>
      <c r="E1906">
        <v>21646</v>
      </c>
      <c r="F1906">
        <v>20761</v>
      </c>
    </row>
    <row r="1907" spans="1:6">
      <c r="A1907" t="s">
        <v>2951</v>
      </c>
      <c r="B1907">
        <v>212</v>
      </c>
      <c r="C1907" t="s">
        <v>1052</v>
      </c>
      <c r="D1907">
        <v>1731519</v>
      </c>
      <c r="E1907">
        <v>21646</v>
      </c>
      <c r="F1907">
        <v>20761</v>
      </c>
    </row>
    <row r="1908" spans="1:6">
      <c r="A1908" t="s">
        <v>2952</v>
      </c>
      <c r="B1908">
        <v>212</v>
      </c>
      <c r="C1908" t="s">
        <v>164</v>
      </c>
      <c r="D1908">
        <v>17469206</v>
      </c>
      <c r="E1908">
        <v>24303</v>
      </c>
      <c r="F1908">
        <v>20761</v>
      </c>
    </row>
    <row r="1909" spans="1:6">
      <c r="A1909" t="s">
        <v>2953</v>
      </c>
      <c r="B1909">
        <v>212</v>
      </c>
      <c r="C1909" t="s">
        <v>651</v>
      </c>
      <c r="D1909">
        <v>8734603</v>
      </c>
      <c r="E1909">
        <v>24303</v>
      </c>
      <c r="F1909">
        <v>20761</v>
      </c>
    </row>
    <row r="1910" spans="1:6">
      <c r="A1910" t="s">
        <v>2954</v>
      </c>
      <c r="B1910">
        <v>213</v>
      </c>
      <c r="C1910" t="s">
        <v>154</v>
      </c>
      <c r="D1910">
        <v>194653</v>
      </c>
      <c r="E1910">
        <v>21831</v>
      </c>
      <c r="F1910">
        <v>20884</v>
      </c>
    </row>
    <row r="1911" spans="1:6">
      <c r="A1911" t="s">
        <v>2955</v>
      </c>
      <c r="B1911">
        <v>213</v>
      </c>
      <c r="C1911" t="s">
        <v>1043</v>
      </c>
      <c r="D1911">
        <v>583959</v>
      </c>
      <c r="E1911">
        <v>21831</v>
      </c>
      <c r="F1911">
        <v>20884</v>
      </c>
    </row>
    <row r="1912" spans="1:6">
      <c r="A1912" t="s">
        <v>2956</v>
      </c>
      <c r="B1912">
        <v>213</v>
      </c>
      <c r="C1912" t="s">
        <v>1045</v>
      </c>
      <c r="D1912">
        <v>350376</v>
      </c>
      <c r="E1912">
        <v>21831</v>
      </c>
      <c r="F1912">
        <v>20884</v>
      </c>
    </row>
    <row r="1913" spans="1:6">
      <c r="A1913" t="s">
        <v>2957</v>
      </c>
      <c r="B1913">
        <v>213</v>
      </c>
      <c r="C1913" t="s">
        <v>1047</v>
      </c>
      <c r="D1913">
        <v>97327</v>
      </c>
      <c r="E1913">
        <v>21831</v>
      </c>
      <c r="F1913">
        <v>20884</v>
      </c>
    </row>
    <row r="1914" spans="1:6">
      <c r="A1914" t="s">
        <v>2958</v>
      </c>
      <c r="B1914">
        <v>213</v>
      </c>
      <c r="C1914" t="s">
        <v>1049</v>
      </c>
      <c r="D1914">
        <v>29198</v>
      </c>
      <c r="E1914">
        <v>21831</v>
      </c>
      <c r="F1914">
        <v>20884</v>
      </c>
    </row>
    <row r="1915" spans="1:6">
      <c r="A1915" t="s">
        <v>2959</v>
      </c>
      <c r="B1915">
        <v>213</v>
      </c>
      <c r="C1915" t="s">
        <v>745</v>
      </c>
      <c r="D1915">
        <v>778612</v>
      </c>
      <c r="E1915">
        <v>21831</v>
      </c>
      <c r="F1915">
        <v>20884</v>
      </c>
    </row>
    <row r="1916" spans="1:6">
      <c r="A1916" t="s">
        <v>2960</v>
      </c>
      <c r="B1916">
        <v>213</v>
      </c>
      <c r="C1916" t="s">
        <v>1052</v>
      </c>
      <c r="D1916">
        <v>1751877</v>
      </c>
      <c r="E1916">
        <v>21831</v>
      </c>
      <c r="F1916">
        <v>20884</v>
      </c>
    </row>
    <row r="1917" spans="1:6">
      <c r="A1917" t="s">
        <v>2961</v>
      </c>
      <c r="B1917">
        <v>213</v>
      </c>
      <c r="C1917" t="s">
        <v>164</v>
      </c>
      <c r="D1917">
        <v>17690576</v>
      </c>
      <c r="E1917">
        <v>24502</v>
      </c>
      <c r="F1917">
        <v>20884</v>
      </c>
    </row>
    <row r="1918" spans="1:6">
      <c r="A1918" t="s">
        <v>2962</v>
      </c>
      <c r="B1918">
        <v>213</v>
      </c>
      <c r="C1918" t="s">
        <v>651</v>
      </c>
      <c r="D1918">
        <v>8845288</v>
      </c>
      <c r="E1918">
        <v>24502</v>
      </c>
      <c r="F1918">
        <v>20884</v>
      </c>
    </row>
    <row r="1919" spans="1:6">
      <c r="A1919" t="s">
        <v>2963</v>
      </c>
      <c r="B1919">
        <v>214</v>
      </c>
      <c r="C1919" t="s">
        <v>154</v>
      </c>
      <c r="D1919">
        <v>196934</v>
      </c>
      <c r="E1919">
        <v>22017</v>
      </c>
      <c r="F1919">
        <v>21006</v>
      </c>
    </row>
    <row r="1920" spans="1:6">
      <c r="A1920" t="s">
        <v>2964</v>
      </c>
      <c r="B1920">
        <v>214</v>
      </c>
      <c r="C1920" t="s">
        <v>1043</v>
      </c>
      <c r="D1920">
        <v>590802</v>
      </c>
      <c r="E1920">
        <v>22017</v>
      </c>
      <c r="F1920">
        <v>21006</v>
      </c>
    </row>
    <row r="1921" spans="1:6">
      <c r="A1921" t="s">
        <v>2965</v>
      </c>
      <c r="B1921">
        <v>214</v>
      </c>
      <c r="C1921" t="s">
        <v>1045</v>
      </c>
      <c r="D1921">
        <v>354482</v>
      </c>
      <c r="E1921">
        <v>22017</v>
      </c>
      <c r="F1921">
        <v>21006</v>
      </c>
    </row>
    <row r="1922" spans="1:6">
      <c r="A1922" t="s">
        <v>2966</v>
      </c>
      <c r="B1922">
        <v>214</v>
      </c>
      <c r="C1922" t="s">
        <v>1047</v>
      </c>
      <c r="D1922">
        <v>98467</v>
      </c>
      <c r="E1922">
        <v>22017</v>
      </c>
      <c r="F1922">
        <v>21006</v>
      </c>
    </row>
    <row r="1923" spans="1:6">
      <c r="A1923" t="s">
        <v>2967</v>
      </c>
      <c r="B1923">
        <v>214</v>
      </c>
      <c r="C1923" t="s">
        <v>1049</v>
      </c>
      <c r="D1923">
        <v>29541</v>
      </c>
      <c r="E1923">
        <v>22017</v>
      </c>
      <c r="F1923">
        <v>21006</v>
      </c>
    </row>
    <row r="1924" spans="1:6">
      <c r="A1924" t="s">
        <v>2968</v>
      </c>
      <c r="B1924">
        <v>214</v>
      </c>
      <c r="C1924" t="s">
        <v>745</v>
      </c>
      <c r="D1924">
        <v>787736</v>
      </c>
      <c r="E1924">
        <v>22017</v>
      </c>
      <c r="F1924">
        <v>21006</v>
      </c>
    </row>
    <row r="1925" spans="1:6">
      <c r="A1925" t="s">
        <v>2969</v>
      </c>
      <c r="B1925">
        <v>214</v>
      </c>
      <c r="C1925" t="s">
        <v>1052</v>
      </c>
      <c r="D1925">
        <v>1772406</v>
      </c>
      <c r="E1925">
        <v>22017</v>
      </c>
      <c r="F1925">
        <v>21006</v>
      </c>
    </row>
    <row r="1926" spans="1:6">
      <c r="A1926" t="s">
        <v>2970</v>
      </c>
      <c r="B1926">
        <v>214</v>
      </c>
      <c r="C1926" t="s">
        <v>164</v>
      </c>
      <c r="D1926">
        <v>17914039</v>
      </c>
      <c r="E1926">
        <v>24702</v>
      </c>
      <c r="F1926">
        <v>21006</v>
      </c>
    </row>
    <row r="1927" spans="1:6">
      <c r="A1927" t="s">
        <v>2971</v>
      </c>
      <c r="B1927">
        <v>214</v>
      </c>
      <c r="C1927" t="s">
        <v>651</v>
      </c>
      <c r="D1927">
        <v>8957019</v>
      </c>
      <c r="E1927">
        <v>24702</v>
      </c>
      <c r="F1927">
        <v>21006</v>
      </c>
    </row>
    <row r="1928" spans="1:6">
      <c r="A1928" t="s">
        <v>2972</v>
      </c>
      <c r="B1928">
        <v>215</v>
      </c>
      <c r="C1928" t="s">
        <v>154</v>
      </c>
      <c r="D1928">
        <v>199236</v>
      </c>
      <c r="E1928">
        <v>22204</v>
      </c>
      <c r="F1928">
        <v>21129</v>
      </c>
    </row>
    <row r="1929" spans="1:6">
      <c r="A1929" t="s">
        <v>2973</v>
      </c>
      <c r="B1929">
        <v>215</v>
      </c>
      <c r="C1929" t="s">
        <v>1043</v>
      </c>
      <c r="D1929">
        <v>597708</v>
      </c>
      <c r="E1929">
        <v>22204</v>
      </c>
      <c r="F1929">
        <v>21129</v>
      </c>
    </row>
    <row r="1930" spans="1:6">
      <c r="A1930" t="s">
        <v>2974</v>
      </c>
      <c r="B1930">
        <v>215</v>
      </c>
      <c r="C1930" t="s">
        <v>1045</v>
      </c>
      <c r="D1930">
        <v>358625</v>
      </c>
      <c r="E1930">
        <v>22204</v>
      </c>
      <c r="F1930">
        <v>21129</v>
      </c>
    </row>
    <row r="1931" spans="1:6">
      <c r="A1931" t="s">
        <v>2975</v>
      </c>
      <c r="B1931">
        <v>215</v>
      </c>
      <c r="C1931" t="s">
        <v>1047</v>
      </c>
      <c r="D1931">
        <v>99618</v>
      </c>
      <c r="E1931">
        <v>22204</v>
      </c>
      <c r="F1931">
        <v>21129</v>
      </c>
    </row>
    <row r="1932" spans="1:6">
      <c r="A1932" t="s">
        <v>2976</v>
      </c>
      <c r="B1932">
        <v>215</v>
      </c>
      <c r="C1932" t="s">
        <v>1049</v>
      </c>
      <c r="D1932">
        <v>29886</v>
      </c>
      <c r="E1932">
        <v>22204</v>
      </c>
      <c r="F1932">
        <v>21129</v>
      </c>
    </row>
    <row r="1933" spans="1:6">
      <c r="A1933" t="s">
        <v>2977</v>
      </c>
      <c r="B1933">
        <v>215</v>
      </c>
      <c r="C1933" t="s">
        <v>745</v>
      </c>
      <c r="D1933">
        <v>796944</v>
      </c>
      <c r="E1933">
        <v>22204</v>
      </c>
      <c r="F1933">
        <v>21129</v>
      </c>
    </row>
    <row r="1934" spans="1:6">
      <c r="A1934" t="s">
        <v>2978</v>
      </c>
      <c r="B1934">
        <v>215</v>
      </c>
      <c r="C1934" t="s">
        <v>1052</v>
      </c>
      <c r="D1934">
        <v>1793124</v>
      </c>
      <c r="E1934">
        <v>22204</v>
      </c>
      <c r="F1934">
        <v>21129</v>
      </c>
    </row>
    <row r="1935" spans="1:6">
      <c r="A1935" t="s">
        <v>2979</v>
      </c>
      <c r="B1935">
        <v>215</v>
      </c>
      <c r="C1935" t="s">
        <v>164</v>
      </c>
      <c r="D1935">
        <v>18139542</v>
      </c>
      <c r="E1935">
        <v>24904</v>
      </c>
      <c r="F1935">
        <v>21129</v>
      </c>
    </row>
    <row r="1936" spans="1:6">
      <c r="A1936" t="s">
        <v>2980</v>
      </c>
      <c r="B1936">
        <v>215</v>
      </c>
      <c r="C1936" t="s">
        <v>651</v>
      </c>
      <c r="D1936">
        <v>9069771</v>
      </c>
      <c r="E1936">
        <v>24904</v>
      </c>
      <c r="F1936">
        <v>21129</v>
      </c>
    </row>
    <row r="1937" spans="1:6">
      <c r="A1937" t="s">
        <v>2981</v>
      </c>
      <c r="B1937">
        <v>216</v>
      </c>
      <c r="C1937" t="s">
        <v>154</v>
      </c>
      <c r="D1937">
        <v>201557</v>
      </c>
      <c r="E1937">
        <v>22392</v>
      </c>
      <c r="F1937">
        <v>21251</v>
      </c>
    </row>
    <row r="1938" spans="1:6">
      <c r="A1938" t="s">
        <v>2982</v>
      </c>
      <c r="B1938">
        <v>216</v>
      </c>
      <c r="C1938" t="s">
        <v>1043</v>
      </c>
      <c r="D1938">
        <v>604671</v>
      </c>
      <c r="E1938">
        <v>22392</v>
      </c>
      <c r="F1938">
        <v>21251</v>
      </c>
    </row>
    <row r="1939" spans="1:6">
      <c r="A1939" t="s">
        <v>2983</v>
      </c>
      <c r="B1939">
        <v>216</v>
      </c>
      <c r="C1939" t="s">
        <v>1045</v>
      </c>
      <c r="D1939">
        <v>362803</v>
      </c>
      <c r="E1939">
        <v>22392</v>
      </c>
      <c r="F1939">
        <v>21251</v>
      </c>
    </row>
    <row r="1940" spans="1:6">
      <c r="A1940" t="s">
        <v>2984</v>
      </c>
      <c r="B1940">
        <v>216</v>
      </c>
      <c r="C1940" t="s">
        <v>1047</v>
      </c>
      <c r="D1940">
        <v>100779</v>
      </c>
      <c r="E1940">
        <v>22392</v>
      </c>
      <c r="F1940">
        <v>21251</v>
      </c>
    </row>
    <row r="1941" spans="1:6">
      <c r="A1941" t="s">
        <v>2985</v>
      </c>
      <c r="B1941">
        <v>216</v>
      </c>
      <c r="C1941" t="s">
        <v>1049</v>
      </c>
      <c r="D1941">
        <v>30234</v>
      </c>
      <c r="E1941">
        <v>22392</v>
      </c>
      <c r="F1941">
        <v>21251</v>
      </c>
    </row>
    <row r="1942" spans="1:6">
      <c r="A1942" t="s">
        <v>2986</v>
      </c>
      <c r="B1942">
        <v>216</v>
      </c>
      <c r="C1942" t="s">
        <v>745</v>
      </c>
      <c r="D1942">
        <v>806228</v>
      </c>
      <c r="E1942">
        <v>22392</v>
      </c>
      <c r="F1942">
        <v>21251</v>
      </c>
    </row>
    <row r="1943" spans="1:6">
      <c r="A1943" t="s">
        <v>2987</v>
      </c>
      <c r="B1943">
        <v>216</v>
      </c>
      <c r="C1943" t="s">
        <v>1052</v>
      </c>
      <c r="D1943">
        <v>1814013</v>
      </c>
      <c r="E1943">
        <v>22392</v>
      </c>
      <c r="F1943">
        <v>21251</v>
      </c>
    </row>
    <row r="1944" spans="1:6">
      <c r="A1944" t="s">
        <v>2988</v>
      </c>
      <c r="B1944">
        <v>216</v>
      </c>
      <c r="C1944" t="s">
        <v>164</v>
      </c>
      <c r="D1944">
        <v>18367188</v>
      </c>
      <c r="E1944">
        <v>25106</v>
      </c>
      <c r="F1944">
        <v>21251</v>
      </c>
    </row>
    <row r="1945" spans="1:6">
      <c r="A1945" t="s">
        <v>2989</v>
      </c>
      <c r="B1945">
        <v>216</v>
      </c>
      <c r="C1945" t="s">
        <v>651</v>
      </c>
      <c r="D1945">
        <v>9183594</v>
      </c>
      <c r="E1945">
        <v>25106</v>
      </c>
      <c r="F1945">
        <v>21251</v>
      </c>
    </row>
    <row r="1946" spans="1:6">
      <c r="A1946" t="s">
        <v>2990</v>
      </c>
      <c r="B1946">
        <v>217</v>
      </c>
      <c r="C1946" t="s">
        <v>154</v>
      </c>
      <c r="D1946">
        <v>203898</v>
      </c>
      <c r="E1946">
        <v>22582</v>
      </c>
      <c r="F1946">
        <v>21374</v>
      </c>
    </row>
    <row r="1947" spans="1:6">
      <c r="A1947" t="s">
        <v>2991</v>
      </c>
      <c r="B1947">
        <v>217</v>
      </c>
      <c r="C1947" t="s">
        <v>1043</v>
      </c>
      <c r="D1947">
        <v>611694</v>
      </c>
      <c r="E1947">
        <v>22582</v>
      </c>
      <c r="F1947">
        <v>21374</v>
      </c>
    </row>
    <row r="1948" spans="1:6">
      <c r="A1948" t="s">
        <v>2992</v>
      </c>
      <c r="B1948">
        <v>217</v>
      </c>
      <c r="C1948" t="s">
        <v>1045</v>
      </c>
      <c r="D1948">
        <v>367017</v>
      </c>
      <c r="E1948">
        <v>22582</v>
      </c>
      <c r="F1948">
        <v>21374</v>
      </c>
    </row>
    <row r="1949" spans="1:6">
      <c r="A1949" t="s">
        <v>2993</v>
      </c>
      <c r="B1949">
        <v>217</v>
      </c>
      <c r="C1949" t="s">
        <v>1047</v>
      </c>
      <c r="D1949">
        <v>101949</v>
      </c>
      <c r="E1949">
        <v>22582</v>
      </c>
      <c r="F1949">
        <v>21374</v>
      </c>
    </row>
    <row r="1950" spans="1:6">
      <c r="A1950" t="s">
        <v>2994</v>
      </c>
      <c r="B1950">
        <v>217</v>
      </c>
      <c r="C1950" t="s">
        <v>1049</v>
      </c>
      <c r="D1950">
        <v>30585</v>
      </c>
      <c r="E1950">
        <v>22582</v>
      </c>
      <c r="F1950">
        <v>21374</v>
      </c>
    </row>
    <row r="1951" spans="1:6">
      <c r="A1951" t="s">
        <v>2995</v>
      </c>
      <c r="B1951">
        <v>217</v>
      </c>
      <c r="C1951" t="s">
        <v>745</v>
      </c>
      <c r="D1951">
        <v>815592</v>
      </c>
      <c r="E1951">
        <v>22582</v>
      </c>
      <c r="F1951">
        <v>21374</v>
      </c>
    </row>
    <row r="1952" spans="1:6">
      <c r="A1952" t="s">
        <v>2996</v>
      </c>
      <c r="B1952">
        <v>217</v>
      </c>
      <c r="C1952" t="s">
        <v>1052</v>
      </c>
      <c r="D1952">
        <v>1835082</v>
      </c>
      <c r="E1952">
        <v>22582</v>
      </c>
      <c r="F1952">
        <v>21374</v>
      </c>
    </row>
    <row r="1953" spans="1:6">
      <c r="A1953" t="s">
        <v>2997</v>
      </c>
      <c r="B1953">
        <v>217</v>
      </c>
      <c r="C1953" t="s">
        <v>164</v>
      </c>
      <c r="D1953">
        <v>18596977</v>
      </c>
      <c r="E1953">
        <v>25310</v>
      </c>
      <c r="F1953">
        <v>21374</v>
      </c>
    </row>
    <row r="1954" spans="1:6">
      <c r="A1954" t="s">
        <v>2998</v>
      </c>
      <c r="B1954">
        <v>217</v>
      </c>
      <c r="C1954" t="s">
        <v>651</v>
      </c>
      <c r="D1954">
        <v>9298488</v>
      </c>
      <c r="E1954">
        <v>25310</v>
      </c>
      <c r="F1954">
        <v>21374</v>
      </c>
    </row>
    <row r="1955" spans="1:6">
      <c r="A1955" t="s">
        <v>2999</v>
      </c>
      <c r="B1955">
        <v>218</v>
      </c>
      <c r="C1955" t="s">
        <v>154</v>
      </c>
      <c r="D1955">
        <v>206259</v>
      </c>
      <c r="E1955">
        <v>22771</v>
      </c>
      <c r="F1955">
        <v>21498</v>
      </c>
    </row>
    <row r="1956" spans="1:6">
      <c r="A1956" t="s">
        <v>3000</v>
      </c>
      <c r="B1956">
        <v>218</v>
      </c>
      <c r="C1956" t="s">
        <v>1043</v>
      </c>
      <c r="D1956">
        <v>618777</v>
      </c>
      <c r="E1956">
        <v>22771</v>
      </c>
      <c r="F1956">
        <v>21498</v>
      </c>
    </row>
    <row r="1957" spans="1:6">
      <c r="A1957" t="s">
        <v>3001</v>
      </c>
      <c r="B1957">
        <v>218</v>
      </c>
      <c r="C1957" t="s">
        <v>1045</v>
      </c>
      <c r="D1957">
        <v>371267</v>
      </c>
      <c r="E1957">
        <v>22771</v>
      </c>
      <c r="F1957">
        <v>21498</v>
      </c>
    </row>
    <row r="1958" spans="1:6">
      <c r="A1958" t="s">
        <v>3002</v>
      </c>
      <c r="B1958">
        <v>218</v>
      </c>
      <c r="C1958" t="s">
        <v>1047</v>
      </c>
      <c r="D1958">
        <v>103130</v>
      </c>
      <c r="E1958">
        <v>22771</v>
      </c>
      <c r="F1958">
        <v>21498</v>
      </c>
    </row>
    <row r="1959" spans="1:6">
      <c r="A1959" t="s">
        <v>3003</v>
      </c>
      <c r="B1959">
        <v>218</v>
      </c>
      <c r="C1959" t="s">
        <v>1049</v>
      </c>
      <c r="D1959">
        <v>30939</v>
      </c>
      <c r="E1959">
        <v>22771</v>
      </c>
      <c r="F1959">
        <v>21498</v>
      </c>
    </row>
    <row r="1960" spans="1:6">
      <c r="A1960" t="s">
        <v>3004</v>
      </c>
      <c r="B1960">
        <v>218</v>
      </c>
      <c r="C1960" t="s">
        <v>745</v>
      </c>
      <c r="D1960">
        <v>825036</v>
      </c>
      <c r="E1960">
        <v>22771</v>
      </c>
      <c r="F1960">
        <v>21498</v>
      </c>
    </row>
    <row r="1961" spans="1:6">
      <c r="A1961" t="s">
        <v>3005</v>
      </c>
      <c r="B1961">
        <v>218</v>
      </c>
      <c r="C1961" t="s">
        <v>1052</v>
      </c>
      <c r="D1961">
        <v>1856331</v>
      </c>
      <c r="E1961">
        <v>22771</v>
      </c>
      <c r="F1961">
        <v>21498</v>
      </c>
    </row>
    <row r="1962" spans="1:6">
      <c r="A1962" t="s">
        <v>3006</v>
      </c>
      <c r="B1962">
        <v>218</v>
      </c>
      <c r="C1962" t="s">
        <v>164</v>
      </c>
      <c r="D1962">
        <v>18828908</v>
      </c>
      <c r="E1962">
        <v>25514</v>
      </c>
      <c r="F1962">
        <v>21498</v>
      </c>
    </row>
    <row r="1963" spans="1:6">
      <c r="A1963" t="s">
        <v>3007</v>
      </c>
      <c r="B1963">
        <v>218</v>
      </c>
      <c r="C1963" t="s">
        <v>651</v>
      </c>
      <c r="D1963">
        <v>9414454</v>
      </c>
      <c r="E1963">
        <v>25514</v>
      </c>
      <c r="F1963">
        <v>21498</v>
      </c>
    </row>
    <row r="1964" spans="1:6">
      <c r="A1964" t="s">
        <v>3008</v>
      </c>
      <c r="B1964">
        <v>219</v>
      </c>
      <c r="C1964" t="s">
        <v>154</v>
      </c>
      <c r="D1964">
        <v>208640</v>
      </c>
      <c r="E1964">
        <v>22963</v>
      </c>
      <c r="F1964">
        <v>21621</v>
      </c>
    </row>
    <row r="1965" spans="1:6">
      <c r="A1965" t="s">
        <v>3009</v>
      </c>
      <c r="B1965">
        <v>219</v>
      </c>
      <c r="C1965" t="s">
        <v>1043</v>
      </c>
      <c r="D1965">
        <v>625920</v>
      </c>
      <c r="E1965">
        <v>22963</v>
      </c>
      <c r="F1965">
        <v>21621</v>
      </c>
    </row>
    <row r="1966" spans="1:6">
      <c r="A1966" t="s">
        <v>3010</v>
      </c>
      <c r="B1966">
        <v>219</v>
      </c>
      <c r="C1966" t="s">
        <v>1045</v>
      </c>
      <c r="D1966">
        <v>375552</v>
      </c>
      <c r="E1966">
        <v>22963</v>
      </c>
      <c r="F1966">
        <v>21621</v>
      </c>
    </row>
    <row r="1967" spans="1:6">
      <c r="A1967" t="s">
        <v>3011</v>
      </c>
      <c r="B1967">
        <v>219</v>
      </c>
      <c r="C1967" t="s">
        <v>1047</v>
      </c>
      <c r="D1967">
        <v>104320</v>
      </c>
      <c r="E1967">
        <v>22963</v>
      </c>
      <c r="F1967">
        <v>21621</v>
      </c>
    </row>
    <row r="1968" spans="1:6">
      <c r="A1968" t="s">
        <v>3012</v>
      </c>
      <c r="B1968">
        <v>219</v>
      </c>
      <c r="C1968" t="s">
        <v>1049</v>
      </c>
      <c r="D1968">
        <v>31296</v>
      </c>
      <c r="E1968">
        <v>22963</v>
      </c>
      <c r="F1968">
        <v>21621</v>
      </c>
    </row>
    <row r="1969" spans="1:6">
      <c r="A1969" t="s">
        <v>3013</v>
      </c>
      <c r="B1969">
        <v>219</v>
      </c>
      <c r="C1969" t="s">
        <v>745</v>
      </c>
      <c r="D1969">
        <v>834560</v>
      </c>
      <c r="E1969">
        <v>22963</v>
      </c>
      <c r="F1969">
        <v>21621</v>
      </c>
    </row>
    <row r="1970" spans="1:6">
      <c r="A1970" t="s">
        <v>3014</v>
      </c>
      <c r="B1970">
        <v>219</v>
      </c>
      <c r="C1970" t="s">
        <v>1052</v>
      </c>
      <c r="D1970">
        <v>1877760</v>
      </c>
      <c r="E1970">
        <v>22963</v>
      </c>
      <c r="F1970">
        <v>21621</v>
      </c>
    </row>
    <row r="1971" spans="1:6">
      <c r="A1971" t="s">
        <v>3015</v>
      </c>
      <c r="B1971">
        <v>219</v>
      </c>
      <c r="C1971" t="s">
        <v>164</v>
      </c>
      <c r="D1971">
        <v>19062931</v>
      </c>
      <c r="E1971">
        <v>25720</v>
      </c>
      <c r="F1971">
        <v>21621</v>
      </c>
    </row>
    <row r="1972" spans="1:6">
      <c r="A1972" t="s">
        <v>3016</v>
      </c>
      <c r="B1972">
        <v>219</v>
      </c>
      <c r="C1972" t="s">
        <v>651</v>
      </c>
      <c r="D1972">
        <v>9531465</v>
      </c>
      <c r="E1972">
        <v>25720</v>
      </c>
      <c r="F1972">
        <v>21621</v>
      </c>
    </row>
    <row r="1973" spans="1:6">
      <c r="A1973" t="s">
        <v>3017</v>
      </c>
      <c r="B1973">
        <v>220</v>
      </c>
      <c r="C1973" t="s">
        <v>154</v>
      </c>
      <c r="D1973">
        <v>211042</v>
      </c>
      <c r="E1973">
        <v>23156</v>
      </c>
      <c r="F1973">
        <v>21745</v>
      </c>
    </row>
    <row r="1974" spans="1:6">
      <c r="A1974" t="s">
        <v>3018</v>
      </c>
      <c r="B1974">
        <v>220</v>
      </c>
      <c r="C1974" t="s">
        <v>1043</v>
      </c>
      <c r="D1974">
        <v>633126</v>
      </c>
      <c r="E1974">
        <v>23156</v>
      </c>
      <c r="F1974">
        <v>21745</v>
      </c>
    </row>
    <row r="1975" spans="1:6">
      <c r="A1975" t="s">
        <v>3019</v>
      </c>
      <c r="B1975">
        <v>220</v>
      </c>
      <c r="C1975" t="s">
        <v>1045</v>
      </c>
      <c r="D1975">
        <v>379876</v>
      </c>
      <c r="E1975">
        <v>23156</v>
      </c>
      <c r="F1975">
        <v>21745</v>
      </c>
    </row>
    <row r="1976" spans="1:6">
      <c r="A1976" t="s">
        <v>3020</v>
      </c>
      <c r="B1976">
        <v>220</v>
      </c>
      <c r="C1976" t="s">
        <v>1047</v>
      </c>
      <c r="D1976">
        <v>105521</v>
      </c>
      <c r="E1976">
        <v>23156</v>
      </c>
      <c r="F1976">
        <v>21745</v>
      </c>
    </row>
    <row r="1977" spans="1:6">
      <c r="A1977" t="s">
        <v>3021</v>
      </c>
      <c r="B1977">
        <v>220</v>
      </c>
      <c r="C1977" t="s">
        <v>1049</v>
      </c>
      <c r="D1977">
        <v>31657</v>
      </c>
      <c r="E1977">
        <v>23156</v>
      </c>
      <c r="F1977">
        <v>21745</v>
      </c>
    </row>
    <row r="1978" spans="1:6">
      <c r="A1978" t="s">
        <v>3022</v>
      </c>
      <c r="B1978">
        <v>220</v>
      </c>
      <c r="C1978" t="s">
        <v>745</v>
      </c>
      <c r="D1978">
        <v>844168</v>
      </c>
      <c r="E1978">
        <v>23156</v>
      </c>
      <c r="F1978">
        <v>21745</v>
      </c>
    </row>
    <row r="1979" spans="1:6">
      <c r="A1979" t="s">
        <v>3023</v>
      </c>
      <c r="B1979">
        <v>220</v>
      </c>
      <c r="C1979" t="s">
        <v>1052</v>
      </c>
      <c r="D1979">
        <v>1899378</v>
      </c>
      <c r="E1979">
        <v>23156</v>
      </c>
      <c r="F1979">
        <v>21745</v>
      </c>
    </row>
    <row r="1980" spans="1:6">
      <c r="A1980" t="s">
        <v>3024</v>
      </c>
      <c r="B1980">
        <v>220</v>
      </c>
      <c r="C1980" t="s">
        <v>164</v>
      </c>
      <c r="D1980">
        <v>19299198</v>
      </c>
      <c r="E1980">
        <v>25927</v>
      </c>
      <c r="F1980">
        <v>21745</v>
      </c>
    </row>
    <row r="1981" spans="1:6">
      <c r="A1981" t="s">
        <v>3025</v>
      </c>
      <c r="B1981">
        <v>220</v>
      </c>
      <c r="C1981" t="s">
        <v>651</v>
      </c>
      <c r="D1981">
        <v>9649599</v>
      </c>
      <c r="E1981">
        <v>25927</v>
      </c>
      <c r="F1981">
        <v>21745</v>
      </c>
    </row>
    <row r="1982" spans="1:6">
      <c r="A1982" t="s">
        <v>3026</v>
      </c>
      <c r="B1982">
        <v>221</v>
      </c>
      <c r="C1982" t="s">
        <v>154</v>
      </c>
      <c r="D1982">
        <v>213464</v>
      </c>
      <c r="E1982">
        <v>23350</v>
      </c>
      <c r="F1982">
        <v>21869</v>
      </c>
    </row>
    <row r="1983" spans="1:6">
      <c r="A1983" t="s">
        <v>3027</v>
      </c>
      <c r="B1983">
        <v>221</v>
      </c>
      <c r="C1983" t="s">
        <v>1043</v>
      </c>
      <c r="D1983">
        <v>640392</v>
      </c>
      <c r="E1983">
        <v>23350</v>
      </c>
      <c r="F1983">
        <v>21869</v>
      </c>
    </row>
    <row r="1984" spans="1:6">
      <c r="A1984" t="s">
        <v>3028</v>
      </c>
      <c r="B1984">
        <v>221</v>
      </c>
      <c r="C1984" t="s">
        <v>1045</v>
      </c>
      <c r="D1984">
        <v>384236</v>
      </c>
      <c r="E1984">
        <v>23350</v>
      </c>
      <c r="F1984">
        <v>21869</v>
      </c>
    </row>
    <row r="1985" spans="1:6">
      <c r="A1985" t="s">
        <v>3029</v>
      </c>
      <c r="B1985">
        <v>221</v>
      </c>
      <c r="C1985" t="s">
        <v>1047</v>
      </c>
      <c r="D1985">
        <v>106732</v>
      </c>
      <c r="E1985">
        <v>23350</v>
      </c>
      <c r="F1985">
        <v>21869</v>
      </c>
    </row>
    <row r="1986" spans="1:6">
      <c r="A1986" t="s">
        <v>3030</v>
      </c>
      <c r="B1986">
        <v>221</v>
      </c>
      <c r="C1986" t="s">
        <v>1049</v>
      </c>
      <c r="D1986">
        <v>32020</v>
      </c>
      <c r="E1986">
        <v>23350</v>
      </c>
      <c r="F1986">
        <v>21869</v>
      </c>
    </row>
    <row r="1987" spans="1:6">
      <c r="A1987" t="s">
        <v>3031</v>
      </c>
      <c r="B1987">
        <v>221</v>
      </c>
      <c r="C1987" t="s">
        <v>745</v>
      </c>
      <c r="D1987">
        <v>853856</v>
      </c>
      <c r="E1987">
        <v>23350</v>
      </c>
      <c r="F1987">
        <v>21869</v>
      </c>
    </row>
    <row r="1988" spans="1:6">
      <c r="A1988" t="s">
        <v>3032</v>
      </c>
      <c r="B1988">
        <v>221</v>
      </c>
      <c r="C1988" t="s">
        <v>1052</v>
      </c>
      <c r="D1988">
        <v>1921176</v>
      </c>
      <c r="E1988">
        <v>23350</v>
      </c>
      <c r="F1988">
        <v>21869</v>
      </c>
    </row>
    <row r="1989" spans="1:6">
      <c r="A1989" t="s">
        <v>3033</v>
      </c>
      <c r="B1989">
        <v>221</v>
      </c>
      <c r="C1989" t="s">
        <v>164</v>
      </c>
      <c r="D1989">
        <v>19537608</v>
      </c>
      <c r="E1989">
        <v>26136</v>
      </c>
      <c r="F1989">
        <v>21869</v>
      </c>
    </row>
    <row r="1990" spans="1:6">
      <c r="A1990" t="s">
        <v>3034</v>
      </c>
      <c r="B1990">
        <v>221</v>
      </c>
      <c r="C1990" t="s">
        <v>651</v>
      </c>
      <c r="D1990">
        <v>9768804</v>
      </c>
      <c r="E1990">
        <v>26136</v>
      </c>
      <c r="F1990">
        <v>21869</v>
      </c>
    </row>
    <row r="1991" spans="1:6">
      <c r="A1991" t="s">
        <v>3035</v>
      </c>
      <c r="B1991">
        <v>222</v>
      </c>
      <c r="C1991" t="s">
        <v>154</v>
      </c>
      <c r="D1991">
        <v>215907</v>
      </c>
      <c r="E1991">
        <v>23545</v>
      </c>
      <c r="F1991">
        <v>21993</v>
      </c>
    </row>
    <row r="1992" spans="1:6">
      <c r="A1992" t="s">
        <v>3036</v>
      </c>
      <c r="B1992">
        <v>222</v>
      </c>
      <c r="C1992" t="s">
        <v>1043</v>
      </c>
      <c r="D1992">
        <v>647721</v>
      </c>
      <c r="E1992">
        <v>23545</v>
      </c>
      <c r="F1992">
        <v>21993</v>
      </c>
    </row>
    <row r="1993" spans="1:6">
      <c r="A1993" t="s">
        <v>3037</v>
      </c>
      <c r="B1993">
        <v>222</v>
      </c>
      <c r="C1993" t="s">
        <v>1045</v>
      </c>
      <c r="D1993">
        <v>388633</v>
      </c>
      <c r="E1993">
        <v>23545</v>
      </c>
      <c r="F1993">
        <v>21993</v>
      </c>
    </row>
    <row r="1994" spans="1:6">
      <c r="A1994" t="s">
        <v>3038</v>
      </c>
      <c r="B1994">
        <v>222</v>
      </c>
      <c r="C1994" t="s">
        <v>1047</v>
      </c>
      <c r="D1994">
        <v>107954</v>
      </c>
      <c r="E1994">
        <v>23545</v>
      </c>
      <c r="F1994">
        <v>21993</v>
      </c>
    </row>
    <row r="1995" spans="1:6">
      <c r="A1995" t="s">
        <v>3039</v>
      </c>
      <c r="B1995">
        <v>222</v>
      </c>
      <c r="C1995" t="s">
        <v>1049</v>
      </c>
      <c r="D1995">
        <v>32387</v>
      </c>
      <c r="E1995">
        <v>23545</v>
      </c>
      <c r="F1995">
        <v>21993</v>
      </c>
    </row>
    <row r="1996" spans="1:6">
      <c r="A1996" t="s">
        <v>3040</v>
      </c>
      <c r="B1996">
        <v>222</v>
      </c>
      <c r="C1996" t="s">
        <v>745</v>
      </c>
      <c r="D1996">
        <v>863628</v>
      </c>
      <c r="E1996">
        <v>23545</v>
      </c>
      <c r="F1996">
        <v>21993</v>
      </c>
    </row>
    <row r="1997" spans="1:6">
      <c r="A1997" t="s">
        <v>3041</v>
      </c>
      <c r="B1997">
        <v>222</v>
      </c>
      <c r="C1997" t="s">
        <v>1052</v>
      </c>
      <c r="D1997">
        <v>1943163</v>
      </c>
      <c r="E1997">
        <v>23545</v>
      </c>
      <c r="F1997">
        <v>21993</v>
      </c>
    </row>
    <row r="1998" spans="1:6">
      <c r="A1998" t="s">
        <v>3042</v>
      </c>
      <c r="B1998">
        <v>222</v>
      </c>
      <c r="C1998" t="s">
        <v>164</v>
      </c>
      <c r="D1998">
        <v>19778263</v>
      </c>
      <c r="E1998">
        <v>26345</v>
      </c>
      <c r="F1998">
        <v>21993</v>
      </c>
    </row>
    <row r="1999" spans="1:6">
      <c r="A1999" t="s">
        <v>3043</v>
      </c>
      <c r="B1999">
        <v>222</v>
      </c>
      <c r="C1999" t="s">
        <v>651</v>
      </c>
      <c r="D1999">
        <v>9889132</v>
      </c>
      <c r="E1999">
        <v>26345</v>
      </c>
      <c r="F1999">
        <v>21993</v>
      </c>
    </row>
    <row r="2000" spans="1:6">
      <c r="A2000" t="s">
        <v>3044</v>
      </c>
      <c r="B2000">
        <v>223</v>
      </c>
      <c r="C2000" t="s">
        <v>154</v>
      </c>
      <c r="D2000">
        <v>218370</v>
      </c>
      <c r="E2000">
        <v>23740</v>
      </c>
      <c r="F2000">
        <v>22118</v>
      </c>
    </row>
    <row r="2001" spans="1:6">
      <c r="A2001" t="s">
        <v>3045</v>
      </c>
      <c r="B2001">
        <v>223</v>
      </c>
      <c r="C2001" t="s">
        <v>1043</v>
      </c>
      <c r="D2001">
        <v>655110</v>
      </c>
      <c r="E2001">
        <v>23740</v>
      </c>
      <c r="F2001">
        <v>22118</v>
      </c>
    </row>
    <row r="2002" spans="1:6">
      <c r="A2002" t="s">
        <v>3046</v>
      </c>
      <c r="B2002">
        <v>223</v>
      </c>
      <c r="C2002" t="s">
        <v>1045</v>
      </c>
      <c r="D2002">
        <v>393066</v>
      </c>
      <c r="E2002">
        <v>23740</v>
      </c>
      <c r="F2002">
        <v>22118</v>
      </c>
    </row>
    <row r="2003" spans="1:6">
      <c r="A2003" t="s">
        <v>3047</v>
      </c>
      <c r="B2003">
        <v>223</v>
      </c>
      <c r="C2003" t="s">
        <v>1047</v>
      </c>
      <c r="D2003">
        <v>109185</v>
      </c>
      <c r="E2003">
        <v>23740</v>
      </c>
      <c r="F2003">
        <v>22118</v>
      </c>
    </row>
    <row r="2004" spans="1:6">
      <c r="A2004" t="s">
        <v>3048</v>
      </c>
      <c r="B2004">
        <v>223</v>
      </c>
      <c r="C2004" t="s">
        <v>1049</v>
      </c>
      <c r="D2004">
        <v>32756</v>
      </c>
      <c r="E2004">
        <v>23740</v>
      </c>
      <c r="F2004">
        <v>22118</v>
      </c>
    </row>
    <row r="2005" spans="1:6">
      <c r="A2005" t="s">
        <v>3049</v>
      </c>
      <c r="B2005">
        <v>223</v>
      </c>
      <c r="C2005" t="s">
        <v>745</v>
      </c>
      <c r="D2005">
        <v>873480</v>
      </c>
      <c r="E2005">
        <v>23740</v>
      </c>
      <c r="F2005">
        <v>22118</v>
      </c>
    </row>
    <row r="2006" spans="1:6">
      <c r="A2006" t="s">
        <v>3050</v>
      </c>
      <c r="B2006">
        <v>223</v>
      </c>
      <c r="C2006" t="s">
        <v>1052</v>
      </c>
      <c r="D2006">
        <v>1965330</v>
      </c>
      <c r="E2006">
        <v>23740</v>
      </c>
      <c r="F2006">
        <v>22118</v>
      </c>
    </row>
    <row r="2007" spans="1:6">
      <c r="A2007" t="s">
        <v>3051</v>
      </c>
      <c r="B2007">
        <v>223</v>
      </c>
      <c r="C2007" t="s">
        <v>164</v>
      </c>
      <c r="D2007">
        <v>20021111</v>
      </c>
      <c r="E2007">
        <v>26555</v>
      </c>
      <c r="F2007">
        <v>22118</v>
      </c>
    </row>
    <row r="2008" spans="1:6">
      <c r="A2008" t="s">
        <v>3052</v>
      </c>
      <c r="B2008">
        <v>223</v>
      </c>
      <c r="C2008" t="s">
        <v>651</v>
      </c>
      <c r="D2008">
        <v>10010556</v>
      </c>
      <c r="E2008">
        <v>26555</v>
      </c>
      <c r="F2008">
        <v>22118</v>
      </c>
    </row>
    <row r="2009" spans="1:6">
      <c r="A2009" t="s">
        <v>3053</v>
      </c>
      <c r="B2009">
        <v>224</v>
      </c>
      <c r="C2009" t="s">
        <v>154</v>
      </c>
      <c r="D2009">
        <v>220854</v>
      </c>
      <c r="E2009">
        <v>23938</v>
      </c>
      <c r="F2009">
        <v>22242</v>
      </c>
    </row>
    <row r="2010" spans="1:6">
      <c r="A2010" t="s">
        <v>3054</v>
      </c>
      <c r="B2010">
        <v>224</v>
      </c>
      <c r="C2010" t="s">
        <v>1043</v>
      </c>
      <c r="D2010">
        <v>662562</v>
      </c>
      <c r="E2010">
        <v>23938</v>
      </c>
      <c r="F2010">
        <v>22242</v>
      </c>
    </row>
    <row r="2011" spans="1:6">
      <c r="A2011" t="s">
        <v>3055</v>
      </c>
      <c r="B2011">
        <v>224</v>
      </c>
      <c r="C2011" t="s">
        <v>1045</v>
      </c>
      <c r="D2011">
        <v>397538</v>
      </c>
      <c r="E2011">
        <v>23938</v>
      </c>
      <c r="F2011">
        <v>22242</v>
      </c>
    </row>
    <row r="2012" spans="1:6">
      <c r="A2012" t="s">
        <v>3056</v>
      </c>
      <c r="B2012">
        <v>224</v>
      </c>
      <c r="C2012" t="s">
        <v>1047</v>
      </c>
      <c r="D2012">
        <v>110427</v>
      </c>
      <c r="E2012">
        <v>23938</v>
      </c>
      <c r="F2012">
        <v>22242</v>
      </c>
    </row>
    <row r="2013" spans="1:6">
      <c r="A2013" t="s">
        <v>3057</v>
      </c>
      <c r="B2013">
        <v>224</v>
      </c>
      <c r="C2013" t="s">
        <v>1049</v>
      </c>
      <c r="D2013">
        <v>33129</v>
      </c>
      <c r="E2013">
        <v>23938</v>
      </c>
      <c r="F2013">
        <v>22242</v>
      </c>
    </row>
    <row r="2014" spans="1:6">
      <c r="A2014" t="s">
        <v>3058</v>
      </c>
      <c r="B2014">
        <v>224</v>
      </c>
      <c r="C2014" t="s">
        <v>745</v>
      </c>
      <c r="D2014">
        <v>883416</v>
      </c>
      <c r="E2014">
        <v>23938</v>
      </c>
      <c r="F2014">
        <v>22242</v>
      </c>
    </row>
    <row r="2015" spans="1:6">
      <c r="A2015" t="s">
        <v>3059</v>
      </c>
      <c r="B2015">
        <v>224</v>
      </c>
      <c r="C2015" t="s">
        <v>1052</v>
      </c>
      <c r="D2015">
        <v>1987686</v>
      </c>
      <c r="E2015">
        <v>23938</v>
      </c>
      <c r="F2015">
        <v>22242</v>
      </c>
    </row>
    <row r="2016" spans="1:6">
      <c r="A2016" t="s">
        <v>3060</v>
      </c>
      <c r="B2016">
        <v>224</v>
      </c>
      <c r="C2016" t="s">
        <v>164</v>
      </c>
      <c r="D2016">
        <v>20266204</v>
      </c>
      <c r="E2016">
        <v>26767</v>
      </c>
      <c r="F2016">
        <v>22242</v>
      </c>
    </row>
    <row r="2017" spans="1:6">
      <c r="A2017" t="s">
        <v>3061</v>
      </c>
      <c r="B2017">
        <v>224</v>
      </c>
      <c r="C2017" t="s">
        <v>651</v>
      </c>
      <c r="D2017">
        <v>10133102</v>
      </c>
      <c r="E2017">
        <v>26767</v>
      </c>
      <c r="F2017">
        <v>22242</v>
      </c>
    </row>
    <row r="2018" spans="1:6">
      <c r="A2018" t="s">
        <v>3062</v>
      </c>
      <c r="B2018">
        <v>225</v>
      </c>
      <c r="C2018" t="s">
        <v>154</v>
      </c>
      <c r="D2018">
        <v>223359</v>
      </c>
      <c r="E2018">
        <v>24136</v>
      </c>
      <c r="F2018">
        <v>22367</v>
      </c>
    </row>
    <row r="2019" spans="1:6">
      <c r="A2019" t="s">
        <v>3063</v>
      </c>
      <c r="B2019">
        <v>225</v>
      </c>
      <c r="C2019" t="s">
        <v>1043</v>
      </c>
      <c r="D2019">
        <v>670077</v>
      </c>
      <c r="E2019">
        <v>24136</v>
      </c>
      <c r="F2019">
        <v>22367</v>
      </c>
    </row>
    <row r="2020" spans="1:6">
      <c r="A2020" t="s">
        <v>3064</v>
      </c>
      <c r="B2020">
        <v>225</v>
      </c>
      <c r="C2020" t="s">
        <v>1045</v>
      </c>
      <c r="D2020">
        <v>402047</v>
      </c>
      <c r="E2020">
        <v>24136</v>
      </c>
      <c r="F2020">
        <v>22367</v>
      </c>
    </row>
    <row r="2021" spans="1:6">
      <c r="A2021" t="s">
        <v>3065</v>
      </c>
      <c r="B2021">
        <v>225</v>
      </c>
      <c r="C2021" t="s">
        <v>1047</v>
      </c>
      <c r="D2021">
        <v>111680</v>
      </c>
      <c r="E2021">
        <v>24136</v>
      </c>
      <c r="F2021">
        <v>22367</v>
      </c>
    </row>
    <row r="2022" spans="1:6">
      <c r="A2022" t="s">
        <v>3066</v>
      </c>
      <c r="B2022">
        <v>225</v>
      </c>
      <c r="C2022" t="s">
        <v>1049</v>
      </c>
      <c r="D2022">
        <v>33504</v>
      </c>
      <c r="E2022">
        <v>24136</v>
      </c>
      <c r="F2022">
        <v>22367</v>
      </c>
    </row>
    <row r="2023" spans="1:6">
      <c r="A2023" t="s">
        <v>3067</v>
      </c>
      <c r="B2023">
        <v>225</v>
      </c>
      <c r="C2023" t="s">
        <v>745</v>
      </c>
      <c r="D2023">
        <v>893436</v>
      </c>
      <c r="E2023">
        <v>24136</v>
      </c>
      <c r="F2023">
        <v>22367</v>
      </c>
    </row>
    <row r="2024" spans="1:6">
      <c r="A2024" t="s">
        <v>3068</v>
      </c>
      <c r="B2024">
        <v>225</v>
      </c>
      <c r="C2024" t="s">
        <v>1052</v>
      </c>
      <c r="D2024">
        <v>2010231</v>
      </c>
      <c r="E2024">
        <v>24136</v>
      </c>
      <c r="F2024">
        <v>22367</v>
      </c>
    </row>
    <row r="2025" spans="1:6">
      <c r="A2025" t="s">
        <v>3069</v>
      </c>
      <c r="B2025">
        <v>225</v>
      </c>
      <c r="C2025" t="s">
        <v>164</v>
      </c>
      <c r="D2025">
        <v>20513490</v>
      </c>
      <c r="E2025">
        <v>26980</v>
      </c>
      <c r="F2025">
        <v>22367</v>
      </c>
    </row>
    <row r="2026" spans="1:6">
      <c r="A2026" t="s">
        <v>3070</v>
      </c>
      <c r="B2026">
        <v>225</v>
      </c>
      <c r="C2026" t="s">
        <v>651</v>
      </c>
      <c r="D2026">
        <v>10256745</v>
      </c>
      <c r="E2026">
        <v>26980</v>
      </c>
      <c r="F2026">
        <v>22367</v>
      </c>
    </row>
    <row r="2027" spans="1:6">
      <c r="A2027" t="s">
        <v>3071</v>
      </c>
      <c r="B2027">
        <v>226</v>
      </c>
      <c r="C2027" t="s">
        <v>154</v>
      </c>
      <c r="D2027">
        <v>225885</v>
      </c>
      <c r="E2027">
        <v>24335</v>
      </c>
      <c r="F2027">
        <v>22492</v>
      </c>
    </row>
    <row r="2028" spans="1:6">
      <c r="A2028" t="s">
        <v>3072</v>
      </c>
      <c r="B2028">
        <v>226</v>
      </c>
      <c r="C2028" t="s">
        <v>1043</v>
      </c>
      <c r="D2028">
        <v>677655</v>
      </c>
      <c r="E2028">
        <v>24335</v>
      </c>
      <c r="F2028">
        <v>22492</v>
      </c>
    </row>
    <row r="2029" spans="1:6">
      <c r="A2029" t="s">
        <v>3073</v>
      </c>
      <c r="B2029">
        <v>226</v>
      </c>
      <c r="C2029" t="s">
        <v>1045</v>
      </c>
      <c r="D2029">
        <v>406593</v>
      </c>
      <c r="E2029">
        <v>24335</v>
      </c>
      <c r="F2029">
        <v>22492</v>
      </c>
    </row>
    <row r="2030" spans="1:6">
      <c r="A2030" t="s">
        <v>3074</v>
      </c>
      <c r="B2030">
        <v>226</v>
      </c>
      <c r="C2030" t="s">
        <v>1047</v>
      </c>
      <c r="D2030">
        <v>112943</v>
      </c>
      <c r="E2030">
        <v>24335</v>
      </c>
      <c r="F2030">
        <v>22492</v>
      </c>
    </row>
    <row r="2031" spans="1:6">
      <c r="A2031" t="s">
        <v>3075</v>
      </c>
      <c r="B2031">
        <v>226</v>
      </c>
      <c r="C2031" t="s">
        <v>1049</v>
      </c>
      <c r="D2031">
        <v>33883</v>
      </c>
      <c r="E2031">
        <v>24335</v>
      </c>
      <c r="F2031">
        <v>22492</v>
      </c>
    </row>
    <row r="2032" spans="1:6">
      <c r="A2032" t="s">
        <v>3076</v>
      </c>
      <c r="B2032">
        <v>226</v>
      </c>
      <c r="C2032" t="s">
        <v>745</v>
      </c>
      <c r="D2032">
        <v>903540</v>
      </c>
      <c r="E2032">
        <v>24335</v>
      </c>
      <c r="F2032">
        <v>22492</v>
      </c>
    </row>
    <row r="2033" spans="1:6">
      <c r="A2033" t="s">
        <v>3077</v>
      </c>
      <c r="B2033">
        <v>226</v>
      </c>
      <c r="C2033" t="s">
        <v>1052</v>
      </c>
      <c r="D2033">
        <v>2032965</v>
      </c>
      <c r="E2033">
        <v>24335</v>
      </c>
      <c r="F2033">
        <v>22492</v>
      </c>
    </row>
    <row r="2034" spans="1:6">
      <c r="A2034" t="s">
        <v>3078</v>
      </c>
      <c r="B2034">
        <v>226</v>
      </c>
      <c r="C2034" t="s">
        <v>164</v>
      </c>
      <c r="D2034">
        <v>20763072</v>
      </c>
      <c r="E2034">
        <v>27193</v>
      </c>
      <c r="F2034">
        <v>22492</v>
      </c>
    </row>
    <row r="2035" spans="1:6">
      <c r="A2035" t="s">
        <v>3079</v>
      </c>
      <c r="B2035">
        <v>226</v>
      </c>
      <c r="C2035" t="s">
        <v>651</v>
      </c>
      <c r="D2035">
        <v>10381536</v>
      </c>
      <c r="E2035">
        <v>27193</v>
      </c>
      <c r="F2035">
        <v>22492</v>
      </c>
    </row>
    <row r="2036" spans="1:6">
      <c r="A2036" t="s">
        <v>3080</v>
      </c>
      <c r="B2036">
        <v>227</v>
      </c>
      <c r="C2036" t="s">
        <v>154</v>
      </c>
      <c r="D2036">
        <v>228432</v>
      </c>
      <c r="E2036">
        <v>24535</v>
      </c>
      <c r="F2036">
        <v>22618</v>
      </c>
    </row>
    <row r="2037" spans="1:6">
      <c r="A2037" t="s">
        <v>3081</v>
      </c>
      <c r="B2037">
        <v>227</v>
      </c>
      <c r="C2037" t="s">
        <v>1043</v>
      </c>
      <c r="D2037">
        <v>685296</v>
      </c>
      <c r="E2037">
        <v>24535</v>
      </c>
      <c r="F2037">
        <v>22618</v>
      </c>
    </row>
    <row r="2038" spans="1:6">
      <c r="A2038" t="s">
        <v>3082</v>
      </c>
      <c r="B2038">
        <v>227</v>
      </c>
      <c r="C2038" t="s">
        <v>1045</v>
      </c>
      <c r="D2038">
        <v>411178</v>
      </c>
      <c r="E2038">
        <v>24535</v>
      </c>
      <c r="F2038">
        <v>22618</v>
      </c>
    </row>
    <row r="2039" spans="1:6">
      <c r="A2039" t="s">
        <v>3083</v>
      </c>
      <c r="B2039">
        <v>227</v>
      </c>
      <c r="C2039" t="s">
        <v>1047</v>
      </c>
      <c r="D2039">
        <v>114216</v>
      </c>
      <c r="E2039">
        <v>24535</v>
      </c>
      <c r="F2039">
        <v>22618</v>
      </c>
    </row>
    <row r="2040" spans="1:6">
      <c r="A2040" t="s">
        <v>3084</v>
      </c>
      <c r="B2040">
        <v>227</v>
      </c>
      <c r="C2040" t="s">
        <v>1049</v>
      </c>
      <c r="D2040">
        <v>34265</v>
      </c>
      <c r="E2040">
        <v>24535</v>
      </c>
      <c r="F2040">
        <v>22618</v>
      </c>
    </row>
    <row r="2041" spans="1:6">
      <c r="A2041" t="s">
        <v>3085</v>
      </c>
      <c r="B2041">
        <v>227</v>
      </c>
      <c r="C2041" t="s">
        <v>745</v>
      </c>
      <c r="D2041">
        <v>913728</v>
      </c>
      <c r="E2041">
        <v>24535</v>
      </c>
      <c r="F2041">
        <v>22618</v>
      </c>
    </row>
    <row r="2042" spans="1:6">
      <c r="A2042" t="s">
        <v>3086</v>
      </c>
      <c r="B2042">
        <v>227</v>
      </c>
      <c r="C2042" t="s">
        <v>1052</v>
      </c>
      <c r="D2042">
        <v>2055888</v>
      </c>
      <c r="E2042">
        <v>24535</v>
      </c>
      <c r="F2042">
        <v>22618</v>
      </c>
    </row>
    <row r="2043" spans="1:6">
      <c r="A2043" t="s">
        <v>3087</v>
      </c>
      <c r="B2043">
        <v>227</v>
      </c>
      <c r="C2043" t="s">
        <v>164</v>
      </c>
      <c r="D2043">
        <v>21014949</v>
      </c>
      <c r="E2043">
        <v>27408</v>
      </c>
      <c r="F2043">
        <v>22618</v>
      </c>
    </row>
    <row r="2044" spans="1:6">
      <c r="A2044" t="s">
        <v>3088</v>
      </c>
      <c r="B2044">
        <v>227</v>
      </c>
      <c r="C2044" t="s">
        <v>651</v>
      </c>
      <c r="D2044">
        <v>10507474</v>
      </c>
      <c r="E2044">
        <v>27408</v>
      </c>
      <c r="F2044">
        <v>22618</v>
      </c>
    </row>
    <row r="2045" spans="1:6">
      <c r="A2045" t="s">
        <v>3089</v>
      </c>
      <c r="B2045">
        <v>228</v>
      </c>
      <c r="C2045" t="s">
        <v>154</v>
      </c>
      <c r="D2045">
        <v>231001</v>
      </c>
      <c r="E2045">
        <v>24738</v>
      </c>
      <c r="F2045">
        <v>22743</v>
      </c>
    </row>
    <row r="2046" spans="1:6">
      <c r="A2046" t="s">
        <v>3090</v>
      </c>
      <c r="B2046">
        <v>228</v>
      </c>
      <c r="C2046" t="s">
        <v>1043</v>
      </c>
      <c r="D2046">
        <v>693003</v>
      </c>
      <c r="E2046">
        <v>24738</v>
      </c>
      <c r="F2046">
        <v>22743</v>
      </c>
    </row>
    <row r="2047" spans="1:6">
      <c r="A2047" t="s">
        <v>3091</v>
      </c>
      <c r="B2047">
        <v>228</v>
      </c>
      <c r="C2047" t="s">
        <v>1045</v>
      </c>
      <c r="D2047">
        <v>415802</v>
      </c>
      <c r="E2047">
        <v>24738</v>
      </c>
      <c r="F2047">
        <v>22743</v>
      </c>
    </row>
    <row r="2048" spans="1:6">
      <c r="A2048" t="s">
        <v>3092</v>
      </c>
      <c r="B2048">
        <v>228</v>
      </c>
      <c r="C2048" t="s">
        <v>1047</v>
      </c>
      <c r="D2048">
        <v>115501</v>
      </c>
      <c r="E2048">
        <v>24738</v>
      </c>
      <c r="F2048">
        <v>22743</v>
      </c>
    </row>
    <row r="2049" spans="1:6">
      <c r="A2049" t="s">
        <v>3093</v>
      </c>
      <c r="B2049">
        <v>228</v>
      </c>
      <c r="C2049" t="s">
        <v>1049</v>
      </c>
      <c r="D2049">
        <v>34651</v>
      </c>
      <c r="E2049">
        <v>24738</v>
      </c>
      <c r="F2049">
        <v>22743</v>
      </c>
    </row>
    <row r="2050" spans="1:6">
      <c r="A2050" t="s">
        <v>3094</v>
      </c>
      <c r="B2050">
        <v>228</v>
      </c>
      <c r="C2050" t="s">
        <v>745</v>
      </c>
      <c r="D2050">
        <v>924004</v>
      </c>
      <c r="E2050">
        <v>24738</v>
      </c>
      <c r="F2050">
        <v>22743</v>
      </c>
    </row>
    <row r="2051" spans="1:6">
      <c r="A2051" t="s">
        <v>3095</v>
      </c>
      <c r="B2051">
        <v>228</v>
      </c>
      <c r="C2051" t="s">
        <v>1052</v>
      </c>
      <c r="D2051">
        <v>2079009</v>
      </c>
      <c r="E2051">
        <v>24738</v>
      </c>
      <c r="F2051">
        <v>22743</v>
      </c>
    </row>
    <row r="2052" spans="1:6">
      <c r="A2052" t="s">
        <v>3096</v>
      </c>
      <c r="B2052">
        <v>228</v>
      </c>
      <c r="C2052" t="s">
        <v>164</v>
      </c>
      <c r="D2052">
        <v>21269121</v>
      </c>
      <c r="E2052">
        <v>27625</v>
      </c>
      <c r="F2052">
        <v>22743</v>
      </c>
    </row>
    <row r="2053" spans="1:6">
      <c r="A2053" t="s">
        <v>3097</v>
      </c>
      <c r="B2053">
        <v>228</v>
      </c>
      <c r="C2053" t="s">
        <v>651</v>
      </c>
      <c r="D2053">
        <v>10634561</v>
      </c>
      <c r="E2053">
        <v>27625</v>
      </c>
      <c r="F2053">
        <v>22743</v>
      </c>
    </row>
    <row r="2054" spans="1:6">
      <c r="A2054" t="s">
        <v>3098</v>
      </c>
      <c r="B2054">
        <v>229</v>
      </c>
      <c r="C2054" t="s">
        <v>154</v>
      </c>
      <c r="D2054">
        <v>233591</v>
      </c>
      <c r="E2054">
        <v>24940</v>
      </c>
      <c r="F2054">
        <v>22869</v>
      </c>
    </row>
    <row r="2055" spans="1:6">
      <c r="A2055" t="s">
        <v>3099</v>
      </c>
      <c r="B2055">
        <v>229</v>
      </c>
      <c r="C2055" t="s">
        <v>1043</v>
      </c>
      <c r="D2055">
        <v>700773</v>
      </c>
      <c r="E2055">
        <v>24940</v>
      </c>
      <c r="F2055">
        <v>22869</v>
      </c>
    </row>
    <row r="2056" spans="1:6">
      <c r="A2056" t="s">
        <v>3100</v>
      </c>
      <c r="B2056">
        <v>229</v>
      </c>
      <c r="C2056" t="s">
        <v>1045</v>
      </c>
      <c r="D2056">
        <v>420464</v>
      </c>
      <c r="E2056">
        <v>24940</v>
      </c>
      <c r="F2056">
        <v>22869</v>
      </c>
    </row>
    <row r="2057" spans="1:6">
      <c r="A2057" t="s">
        <v>3101</v>
      </c>
      <c r="B2057">
        <v>229</v>
      </c>
      <c r="C2057" t="s">
        <v>1047</v>
      </c>
      <c r="D2057">
        <v>116796</v>
      </c>
      <c r="E2057">
        <v>24940</v>
      </c>
      <c r="F2057">
        <v>22869</v>
      </c>
    </row>
    <row r="2058" spans="1:6">
      <c r="A2058" t="s">
        <v>3102</v>
      </c>
      <c r="B2058">
        <v>229</v>
      </c>
      <c r="C2058" t="s">
        <v>1049</v>
      </c>
      <c r="D2058">
        <v>35039</v>
      </c>
      <c r="E2058">
        <v>24940</v>
      </c>
      <c r="F2058">
        <v>22869</v>
      </c>
    </row>
    <row r="2059" spans="1:6">
      <c r="A2059" t="s">
        <v>3103</v>
      </c>
      <c r="B2059">
        <v>229</v>
      </c>
      <c r="C2059" t="s">
        <v>745</v>
      </c>
      <c r="D2059">
        <v>934364</v>
      </c>
      <c r="E2059">
        <v>24940</v>
      </c>
      <c r="F2059">
        <v>22869</v>
      </c>
    </row>
    <row r="2060" spans="1:6">
      <c r="A2060" t="s">
        <v>3104</v>
      </c>
      <c r="B2060">
        <v>229</v>
      </c>
      <c r="C2060" t="s">
        <v>1052</v>
      </c>
      <c r="D2060">
        <v>2102319</v>
      </c>
      <c r="E2060">
        <v>24940</v>
      </c>
      <c r="F2060">
        <v>22869</v>
      </c>
    </row>
    <row r="2061" spans="1:6">
      <c r="A2061" t="s">
        <v>3105</v>
      </c>
      <c r="B2061">
        <v>229</v>
      </c>
      <c r="C2061" t="s">
        <v>164</v>
      </c>
      <c r="D2061">
        <v>21525589</v>
      </c>
      <c r="E2061">
        <v>27842</v>
      </c>
      <c r="F2061">
        <v>22869</v>
      </c>
    </row>
    <row r="2062" spans="1:6">
      <c r="A2062" t="s">
        <v>3106</v>
      </c>
      <c r="B2062">
        <v>229</v>
      </c>
      <c r="C2062" t="s">
        <v>651</v>
      </c>
      <c r="D2062">
        <v>10762795</v>
      </c>
      <c r="E2062">
        <v>27842</v>
      </c>
      <c r="F2062">
        <v>22869</v>
      </c>
    </row>
    <row r="2063" spans="1:6">
      <c r="A2063" t="s">
        <v>3107</v>
      </c>
      <c r="B2063">
        <v>230</v>
      </c>
      <c r="C2063" t="s">
        <v>154</v>
      </c>
      <c r="D2063">
        <v>236203</v>
      </c>
      <c r="E2063">
        <v>25145</v>
      </c>
      <c r="F2063">
        <v>22995</v>
      </c>
    </row>
    <row r="2064" spans="1:6">
      <c r="A2064" t="s">
        <v>3108</v>
      </c>
      <c r="B2064">
        <v>230</v>
      </c>
      <c r="C2064" t="s">
        <v>1043</v>
      </c>
      <c r="D2064">
        <v>708609</v>
      </c>
      <c r="E2064">
        <v>25145</v>
      </c>
      <c r="F2064">
        <v>22995</v>
      </c>
    </row>
    <row r="2065" spans="1:6">
      <c r="A2065" t="s">
        <v>3109</v>
      </c>
      <c r="B2065">
        <v>230</v>
      </c>
      <c r="C2065" t="s">
        <v>1045</v>
      </c>
      <c r="D2065">
        <v>425166</v>
      </c>
      <c r="E2065">
        <v>25145</v>
      </c>
      <c r="F2065">
        <v>22995</v>
      </c>
    </row>
    <row r="2066" spans="1:6">
      <c r="A2066" t="s">
        <v>3110</v>
      </c>
      <c r="B2066">
        <v>230</v>
      </c>
      <c r="C2066" t="s">
        <v>1047</v>
      </c>
      <c r="D2066">
        <v>118102</v>
      </c>
      <c r="E2066">
        <v>25145</v>
      </c>
      <c r="F2066">
        <v>22995</v>
      </c>
    </row>
    <row r="2067" spans="1:6">
      <c r="A2067" t="s">
        <v>3111</v>
      </c>
      <c r="B2067">
        <v>230</v>
      </c>
      <c r="C2067" t="s">
        <v>1049</v>
      </c>
      <c r="D2067">
        <v>35431</v>
      </c>
      <c r="E2067">
        <v>25145</v>
      </c>
      <c r="F2067">
        <v>22995</v>
      </c>
    </row>
    <row r="2068" spans="1:6">
      <c r="A2068" t="s">
        <v>3112</v>
      </c>
      <c r="B2068">
        <v>230</v>
      </c>
      <c r="C2068" t="s">
        <v>745</v>
      </c>
      <c r="D2068">
        <v>944812</v>
      </c>
      <c r="E2068">
        <v>25145</v>
      </c>
      <c r="F2068">
        <v>22995</v>
      </c>
    </row>
    <row r="2069" spans="1:6">
      <c r="A2069" t="s">
        <v>3113</v>
      </c>
      <c r="B2069">
        <v>230</v>
      </c>
      <c r="C2069" t="s">
        <v>1052</v>
      </c>
      <c r="D2069">
        <v>2125827</v>
      </c>
      <c r="E2069">
        <v>25145</v>
      </c>
      <c r="F2069">
        <v>22995</v>
      </c>
    </row>
    <row r="2070" spans="1:6">
      <c r="A2070" t="s">
        <v>3114</v>
      </c>
      <c r="B2070">
        <v>230</v>
      </c>
      <c r="C2070" t="s">
        <v>164</v>
      </c>
      <c r="D2070">
        <v>21784353</v>
      </c>
      <c r="E2070">
        <v>28061</v>
      </c>
      <c r="F2070">
        <v>22995</v>
      </c>
    </row>
    <row r="2071" spans="1:6">
      <c r="A2071" t="s">
        <v>3115</v>
      </c>
      <c r="B2071">
        <v>230</v>
      </c>
      <c r="C2071" t="s">
        <v>651</v>
      </c>
      <c r="D2071">
        <v>10892176</v>
      </c>
      <c r="E2071">
        <v>28061</v>
      </c>
      <c r="F2071">
        <v>22995</v>
      </c>
    </row>
    <row r="2072" spans="1:6">
      <c r="A2072" t="s">
        <v>3116</v>
      </c>
      <c r="B2072">
        <v>231</v>
      </c>
      <c r="C2072" t="s">
        <v>154</v>
      </c>
      <c r="D2072">
        <v>238836</v>
      </c>
      <c r="E2072">
        <v>25349</v>
      </c>
      <c r="F2072">
        <v>23121</v>
      </c>
    </row>
    <row r="2073" spans="1:6">
      <c r="A2073" t="s">
        <v>3117</v>
      </c>
      <c r="B2073">
        <v>231</v>
      </c>
      <c r="C2073" t="s">
        <v>1043</v>
      </c>
      <c r="D2073">
        <v>716508</v>
      </c>
      <c r="E2073">
        <v>25349</v>
      </c>
      <c r="F2073">
        <v>23121</v>
      </c>
    </row>
    <row r="2074" spans="1:6">
      <c r="A2074" t="s">
        <v>3118</v>
      </c>
      <c r="B2074">
        <v>231</v>
      </c>
      <c r="C2074" t="s">
        <v>1045</v>
      </c>
      <c r="D2074">
        <v>429905</v>
      </c>
      <c r="E2074">
        <v>25349</v>
      </c>
      <c r="F2074">
        <v>23121</v>
      </c>
    </row>
    <row r="2075" spans="1:6">
      <c r="A2075" t="s">
        <v>3119</v>
      </c>
      <c r="B2075">
        <v>231</v>
      </c>
      <c r="C2075" t="s">
        <v>1047</v>
      </c>
      <c r="D2075">
        <v>119418</v>
      </c>
      <c r="E2075">
        <v>25349</v>
      </c>
      <c r="F2075">
        <v>23121</v>
      </c>
    </row>
    <row r="2076" spans="1:6">
      <c r="A2076" t="s">
        <v>3120</v>
      </c>
      <c r="B2076">
        <v>231</v>
      </c>
      <c r="C2076" t="s">
        <v>1049</v>
      </c>
      <c r="D2076">
        <v>35826</v>
      </c>
      <c r="E2076">
        <v>25349</v>
      </c>
      <c r="F2076">
        <v>23121</v>
      </c>
    </row>
    <row r="2077" spans="1:6">
      <c r="A2077" t="s">
        <v>3121</v>
      </c>
      <c r="B2077">
        <v>231</v>
      </c>
      <c r="C2077" t="s">
        <v>745</v>
      </c>
      <c r="D2077">
        <v>955344</v>
      </c>
      <c r="E2077">
        <v>25349</v>
      </c>
      <c r="F2077">
        <v>23121</v>
      </c>
    </row>
    <row r="2078" spans="1:6">
      <c r="A2078" t="s">
        <v>3122</v>
      </c>
      <c r="B2078">
        <v>231</v>
      </c>
      <c r="C2078" t="s">
        <v>1052</v>
      </c>
      <c r="D2078">
        <v>2149524</v>
      </c>
      <c r="E2078">
        <v>25349</v>
      </c>
      <c r="F2078">
        <v>23121</v>
      </c>
    </row>
    <row r="2079" spans="1:6">
      <c r="A2079" t="s">
        <v>3123</v>
      </c>
      <c r="B2079">
        <v>231</v>
      </c>
      <c r="C2079" t="s">
        <v>164</v>
      </c>
      <c r="D2079">
        <v>22045514</v>
      </c>
      <c r="E2079">
        <v>28280</v>
      </c>
      <c r="F2079">
        <v>23121</v>
      </c>
    </row>
    <row r="2080" spans="1:6">
      <c r="A2080" t="s">
        <v>3124</v>
      </c>
      <c r="B2080">
        <v>231</v>
      </c>
      <c r="C2080" t="s">
        <v>651</v>
      </c>
      <c r="D2080">
        <v>11022757</v>
      </c>
      <c r="E2080">
        <v>28280</v>
      </c>
      <c r="F2080">
        <v>23121</v>
      </c>
    </row>
    <row r="2081" spans="1:6">
      <c r="A2081" t="s">
        <v>3125</v>
      </c>
      <c r="B2081">
        <v>232</v>
      </c>
      <c r="C2081" t="s">
        <v>154</v>
      </c>
      <c r="D2081">
        <v>241491</v>
      </c>
      <c r="E2081">
        <v>25555</v>
      </c>
      <c r="F2081">
        <v>23248</v>
      </c>
    </row>
    <row r="2082" spans="1:6">
      <c r="A2082" t="s">
        <v>3126</v>
      </c>
      <c r="B2082">
        <v>232</v>
      </c>
      <c r="C2082" t="s">
        <v>1043</v>
      </c>
      <c r="D2082">
        <v>724473</v>
      </c>
      <c r="E2082">
        <v>25555</v>
      </c>
      <c r="F2082">
        <v>23248</v>
      </c>
    </row>
    <row r="2083" spans="1:6">
      <c r="A2083" t="s">
        <v>3127</v>
      </c>
      <c r="B2083">
        <v>232</v>
      </c>
      <c r="C2083" t="s">
        <v>1045</v>
      </c>
      <c r="D2083">
        <v>434684</v>
      </c>
      <c r="E2083">
        <v>25555</v>
      </c>
      <c r="F2083">
        <v>23248</v>
      </c>
    </row>
    <row r="2084" spans="1:6">
      <c r="A2084" t="s">
        <v>3128</v>
      </c>
      <c r="B2084">
        <v>232</v>
      </c>
      <c r="C2084" t="s">
        <v>1047</v>
      </c>
      <c r="D2084">
        <v>120746</v>
      </c>
      <c r="E2084">
        <v>25555</v>
      </c>
      <c r="F2084">
        <v>23248</v>
      </c>
    </row>
    <row r="2085" spans="1:6">
      <c r="A2085" t="s">
        <v>3129</v>
      </c>
      <c r="B2085">
        <v>232</v>
      </c>
      <c r="C2085" t="s">
        <v>1049</v>
      </c>
      <c r="D2085">
        <v>36224</v>
      </c>
      <c r="E2085">
        <v>25555</v>
      </c>
      <c r="F2085">
        <v>23248</v>
      </c>
    </row>
    <row r="2086" spans="1:6">
      <c r="A2086" t="s">
        <v>3130</v>
      </c>
      <c r="B2086">
        <v>232</v>
      </c>
      <c r="C2086" t="s">
        <v>745</v>
      </c>
      <c r="D2086">
        <v>965964</v>
      </c>
      <c r="E2086">
        <v>25555</v>
      </c>
      <c r="F2086">
        <v>23248</v>
      </c>
    </row>
    <row r="2087" spans="1:6">
      <c r="A2087" t="s">
        <v>3131</v>
      </c>
      <c r="B2087">
        <v>232</v>
      </c>
      <c r="C2087" t="s">
        <v>1052</v>
      </c>
      <c r="D2087">
        <v>2173419</v>
      </c>
      <c r="E2087">
        <v>25555</v>
      </c>
      <c r="F2087">
        <v>23248</v>
      </c>
    </row>
    <row r="2088" spans="1:6">
      <c r="A2088" t="s">
        <v>3132</v>
      </c>
      <c r="B2088">
        <v>232</v>
      </c>
      <c r="C2088" t="s">
        <v>164</v>
      </c>
      <c r="D2088">
        <v>22308970</v>
      </c>
      <c r="E2088">
        <v>28501</v>
      </c>
      <c r="F2088">
        <v>23248</v>
      </c>
    </row>
    <row r="2089" spans="1:6">
      <c r="A2089" t="s">
        <v>3133</v>
      </c>
      <c r="B2089">
        <v>232</v>
      </c>
      <c r="C2089" t="s">
        <v>651</v>
      </c>
      <c r="D2089">
        <v>11154485</v>
      </c>
      <c r="E2089">
        <v>28501</v>
      </c>
      <c r="F2089">
        <v>23248</v>
      </c>
    </row>
    <row r="2090" spans="1:6">
      <c r="A2090" t="s">
        <v>3134</v>
      </c>
      <c r="B2090">
        <v>233</v>
      </c>
      <c r="C2090" t="s">
        <v>154</v>
      </c>
      <c r="D2090">
        <v>244168</v>
      </c>
      <c r="E2090">
        <v>25764</v>
      </c>
      <c r="F2090">
        <v>23374</v>
      </c>
    </row>
    <row r="2091" spans="1:6">
      <c r="A2091" t="s">
        <v>3135</v>
      </c>
      <c r="B2091">
        <v>233</v>
      </c>
      <c r="C2091" t="s">
        <v>1043</v>
      </c>
      <c r="D2091">
        <v>732504</v>
      </c>
      <c r="E2091">
        <v>25764</v>
      </c>
      <c r="F2091">
        <v>23374</v>
      </c>
    </row>
    <row r="2092" spans="1:6">
      <c r="A2092" t="s">
        <v>3136</v>
      </c>
      <c r="B2092">
        <v>233</v>
      </c>
      <c r="C2092" t="s">
        <v>1045</v>
      </c>
      <c r="D2092">
        <v>439503</v>
      </c>
      <c r="E2092">
        <v>25764</v>
      </c>
      <c r="F2092">
        <v>23374</v>
      </c>
    </row>
    <row r="2093" spans="1:6">
      <c r="A2093" t="s">
        <v>3137</v>
      </c>
      <c r="B2093">
        <v>233</v>
      </c>
      <c r="C2093" t="s">
        <v>1047</v>
      </c>
      <c r="D2093">
        <v>122084</v>
      </c>
      <c r="E2093">
        <v>25764</v>
      </c>
      <c r="F2093">
        <v>23374</v>
      </c>
    </row>
    <row r="2094" spans="1:6">
      <c r="A2094" t="s">
        <v>3138</v>
      </c>
      <c r="B2094">
        <v>233</v>
      </c>
      <c r="C2094" t="s">
        <v>1049</v>
      </c>
      <c r="D2094">
        <v>36626</v>
      </c>
      <c r="E2094">
        <v>25764</v>
      </c>
      <c r="F2094">
        <v>23374</v>
      </c>
    </row>
    <row r="2095" spans="1:6">
      <c r="A2095" t="s">
        <v>3139</v>
      </c>
      <c r="B2095">
        <v>233</v>
      </c>
      <c r="C2095" t="s">
        <v>745</v>
      </c>
      <c r="D2095">
        <v>976672</v>
      </c>
      <c r="E2095">
        <v>25764</v>
      </c>
      <c r="F2095">
        <v>23374</v>
      </c>
    </row>
    <row r="2096" spans="1:6">
      <c r="A2096" t="s">
        <v>3140</v>
      </c>
      <c r="B2096">
        <v>233</v>
      </c>
      <c r="C2096" t="s">
        <v>1052</v>
      </c>
      <c r="D2096">
        <v>2197512</v>
      </c>
      <c r="E2096">
        <v>25764</v>
      </c>
      <c r="F2096">
        <v>23374</v>
      </c>
    </row>
    <row r="2097" spans="1:6">
      <c r="A2097" t="s">
        <v>3141</v>
      </c>
      <c r="B2097">
        <v>233</v>
      </c>
      <c r="C2097" t="s">
        <v>164</v>
      </c>
      <c r="D2097">
        <v>22574823</v>
      </c>
      <c r="E2097">
        <v>28724</v>
      </c>
      <c r="F2097">
        <v>23374</v>
      </c>
    </row>
    <row r="2098" spans="1:6">
      <c r="A2098" t="s">
        <v>3142</v>
      </c>
      <c r="B2098">
        <v>233</v>
      </c>
      <c r="C2098" t="s">
        <v>651</v>
      </c>
      <c r="D2098">
        <v>11287412</v>
      </c>
      <c r="E2098">
        <v>28724</v>
      </c>
      <c r="F2098">
        <v>23374</v>
      </c>
    </row>
    <row r="2099" spans="1:6">
      <c r="A2099" t="s">
        <v>3143</v>
      </c>
      <c r="B2099">
        <v>234</v>
      </c>
      <c r="C2099" t="s">
        <v>154</v>
      </c>
      <c r="D2099">
        <v>246867</v>
      </c>
      <c r="E2099">
        <v>25972</v>
      </c>
      <c r="F2099">
        <v>23501</v>
      </c>
    </row>
    <row r="2100" spans="1:6">
      <c r="A2100" t="s">
        <v>3144</v>
      </c>
      <c r="B2100">
        <v>234</v>
      </c>
      <c r="C2100" t="s">
        <v>1043</v>
      </c>
      <c r="D2100">
        <v>740601</v>
      </c>
      <c r="E2100">
        <v>25972</v>
      </c>
      <c r="F2100">
        <v>23501</v>
      </c>
    </row>
    <row r="2101" spans="1:6">
      <c r="A2101" t="s">
        <v>3145</v>
      </c>
      <c r="B2101">
        <v>234</v>
      </c>
      <c r="C2101" t="s">
        <v>1045</v>
      </c>
      <c r="D2101">
        <v>444361</v>
      </c>
      <c r="E2101">
        <v>25972</v>
      </c>
      <c r="F2101">
        <v>23501</v>
      </c>
    </row>
    <row r="2102" spans="1:6">
      <c r="A2102" t="s">
        <v>3146</v>
      </c>
      <c r="B2102">
        <v>234</v>
      </c>
      <c r="C2102" t="s">
        <v>1047</v>
      </c>
      <c r="D2102">
        <v>123434</v>
      </c>
      <c r="E2102">
        <v>25972</v>
      </c>
      <c r="F2102">
        <v>23501</v>
      </c>
    </row>
    <row r="2103" spans="1:6">
      <c r="A2103" t="s">
        <v>3147</v>
      </c>
      <c r="B2103">
        <v>234</v>
      </c>
      <c r="C2103" t="s">
        <v>1049</v>
      </c>
      <c r="D2103">
        <v>37031</v>
      </c>
      <c r="E2103">
        <v>25972</v>
      </c>
      <c r="F2103">
        <v>23501</v>
      </c>
    </row>
    <row r="2104" spans="1:6">
      <c r="A2104" t="s">
        <v>3148</v>
      </c>
      <c r="B2104">
        <v>234</v>
      </c>
      <c r="C2104" t="s">
        <v>745</v>
      </c>
      <c r="D2104">
        <v>987468</v>
      </c>
      <c r="E2104">
        <v>25972</v>
      </c>
      <c r="F2104">
        <v>23501</v>
      </c>
    </row>
    <row r="2105" spans="1:6">
      <c r="A2105" t="s">
        <v>3149</v>
      </c>
      <c r="B2105">
        <v>234</v>
      </c>
      <c r="C2105" t="s">
        <v>1052</v>
      </c>
      <c r="D2105">
        <v>2221803</v>
      </c>
      <c r="E2105">
        <v>25972</v>
      </c>
      <c r="F2105">
        <v>23501</v>
      </c>
    </row>
    <row r="2106" spans="1:6">
      <c r="A2106" t="s">
        <v>3150</v>
      </c>
      <c r="B2106">
        <v>234</v>
      </c>
      <c r="C2106" t="s">
        <v>164</v>
      </c>
      <c r="D2106">
        <v>22843074</v>
      </c>
      <c r="E2106">
        <v>28947</v>
      </c>
      <c r="F2106">
        <v>23501</v>
      </c>
    </row>
    <row r="2107" spans="1:6">
      <c r="A2107" t="s">
        <v>3151</v>
      </c>
      <c r="B2107">
        <v>234</v>
      </c>
      <c r="C2107" t="s">
        <v>651</v>
      </c>
      <c r="D2107">
        <v>11421537</v>
      </c>
      <c r="E2107">
        <v>28947</v>
      </c>
      <c r="F2107">
        <v>23501</v>
      </c>
    </row>
    <row r="2108" spans="1:6">
      <c r="A2108" t="s">
        <v>3152</v>
      </c>
      <c r="B2108">
        <v>235</v>
      </c>
      <c r="C2108" t="s">
        <v>154</v>
      </c>
      <c r="D2108">
        <v>249588</v>
      </c>
      <c r="E2108">
        <v>26182</v>
      </c>
      <c r="F2108">
        <v>23629</v>
      </c>
    </row>
    <row r="2109" spans="1:6">
      <c r="A2109" t="s">
        <v>3153</v>
      </c>
      <c r="B2109">
        <v>235</v>
      </c>
      <c r="C2109" t="s">
        <v>1043</v>
      </c>
      <c r="D2109">
        <v>748764</v>
      </c>
      <c r="E2109">
        <v>26182</v>
      </c>
      <c r="F2109">
        <v>23629</v>
      </c>
    </row>
    <row r="2110" spans="1:6">
      <c r="A2110" t="s">
        <v>3154</v>
      </c>
      <c r="B2110">
        <v>235</v>
      </c>
      <c r="C2110" t="s">
        <v>1045</v>
      </c>
      <c r="D2110">
        <v>449259</v>
      </c>
      <c r="E2110">
        <v>26182</v>
      </c>
      <c r="F2110">
        <v>23629</v>
      </c>
    </row>
    <row r="2111" spans="1:6">
      <c r="A2111" t="s">
        <v>3155</v>
      </c>
      <c r="B2111">
        <v>235</v>
      </c>
      <c r="C2111" t="s">
        <v>1047</v>
      </c>
      <c r="D2111">
        <v>124794</v>
      </c>
      <c r="E2111">
        <v>26182</v>
      </c>
      <c r="F2111">
        <v>23629</v>
      </c>
    </row>
    <row r="2112" spans="1:6">
      <c r="A2112" t="s">
        <v>3156</v>
      </c>
      <c r="B2112">
        <v>235</v>
      </c>
      <c r="C2112" t="s">
        <v>1049</v>
      </c>
      <c r="D2112">
        <v>37439</v>
      </c>
      <c r="E2112">
        <v>26182</v>
      </c>
      <c r="F2112">
        <v>23629</v>
      </c>
    </row>
    <row r="2113" spans="1:6">
      <c r="A2113" t="s">
        <v>3157</v>
      </c>
      <c r="B2113">
        <v>235</v>
      </c>
      <c r="C2113" t="s">
        <v>745</v>
      </c>
      <c r="D2113">
        <v>998352</v>
      </c>
      <c r="E2113">
        <v>26182</v>
      </c>
      <c r="F2113">
        <v>23629</v>
      </c>
    </row>
    <row r="2114" spans="1:6">
      <c r="A2114" t="s">
        <v>3158</v>
      </c>
      <c r="B2114">
        <v>235</v>
      </c>
      <c r="C2114" t="s">
        <v>1052</v>
      </c>
      <c r="D2114">
        <v>2246292</v>
      </c>
      <c r="E2114">
        <v>26182</v>
      </c>
      <c r="F2114">
        <v>23629</v>
      </c>
    </row>
    <row r="2115" spans="1:6">
      <c r="A2115" t="s">
        <v>3159</v>
      </c>
      <c r="B2115">
        <v>235</v>
      </c>
      <c r="C2115" t="s">
        <v>164</v>
      </c>
      <c r="D2115">
        <v>23113723</v>
      </c>
      <c r="E2115">
        <v>29172</v>
      </c>
      <c r="F2115">
        <v>23629</v>
      </c>
    </row>
    <row r="2116" spans="1:6">
      <c r="A2116" t="s">
        <v>3160</v>
      </c>
      <c r="B2116">
        <v>235</v>
      </c>
      <c r="C2116" t="s">
        <v>651</v>
      </c>
      <c r="D2116">
        <v>11556861</v>
      </c>
      <c r="E2116">
        <v>29172</v>
      </c>
      <c r="F2116">
        <v>23629</v>
      </c>
    </row>
    <row r="2117" spans="1:6">
      <c r="A2117" t="s">
        <v>3161</v>
      </c>
      <c r="B2117">
        <v>236</v>
      </c>
      <c r="C2117" t="s">
        <v>154</v>
      </c>
      <c r="D2117">
        <v>252332</v>
      </c>
      <c r="E2117">
        <v>26393</v>
      </c>
      <c r="F2117">
        <v>23756</v>
      </c>
    </row>
    <row r="2118" spans="1:6">
      <c r="A2118" t="s">
        <v>3162</v>
      </c>
      <c r="B2118">
        <v>236</v>
      </c>
      <c r="C2118" t="s">
        <v>1043</v>
      </c>
      <c r="D2118">
        <v>756996</v>
      </c>
      <c r="E2118">
        <v>26393</v>
      </c>
      <c r="F2118">
        <v>23756</v>
      </c>
    </row>
    <row r="2119" spans="1:6">
      <c r="A2119" t="s">
        <v>3163</v>
      </c>
      <c r="B2119">
        <v>236</v>
      </c>
      <c r="C2119" t="s">
        <v>1045</v>
      </c>
      <c r="D2119">
        <v>454198</v>
      </c>
      <c r="E2119">
        <v>26393</v>
      </c>
      <c r="F2119">
        <v>23756</v>
      </c>
    </row>
    <row r="2120" spans="1:6">
      <c r="A2120" t="s">
        <v>3164</v>
      </c>
      <c r="B2120">
        <v>236</v>
      </c>
      <c r="C2120" t="s">
        <v>1047</v>
      </c>
      <c r="D2120">
        <v>126166</v>
      </c>
      <c r="E2120">
        <v>26393</v>
      </c>
      <c r="F2120">
        <v>23756</v>
      </c>
    </row>
    <row r="2121" spans="1:6">
      <c r="A2121" t="s">
        <v>3165</v>
      </c>
      <c r="B2121">
        <v>236</v>
      </c>
      <c r="C2121" t="s">
        <v>1049</v>
      </c>
      <c r="D2121">
        <v>37850</v>
      </c>
      <c r="E2121">
        <v>26393</v>
      </c>
      <c r="F2121">
        <v>23756</v>
      </c>
    </row>
    <row r="2122" spans="1:6">
      <c r="A2122" t="s">
        <v>3166</v>
      </c>
      <c r="B2122">
        <v>236</v>
      </c>
      <c r="C2122" t="s">
        <v>745</v>
      </c>
      <c r="D2122">
        <v>1009328</v>
      </c>
      <c r="E2122">
        <v>26393</v>
      </c>
      <c r="F2122">
        <v>23756</v>
      </c>
    </row>
    <row r="2123" spans="1:6">
      <c r="A2123" t="s">
        <v>3167</v>
      </c>
      <c r="B2123">
        <v>236</v>
      </c>
      <c r="C2123" t="s">
        <v>1052</v>
      </c>
      <c r="D2123">
        <v>2270988</v>
      </c>
      <c r="E2123">
        <v>26393</v>
      </c>
      <c r="F2123">
        <v>23756</v>
      </c>
    </row>
    <row r="2124" spans="1:6">
      <c r="A2124" t="s">
        <v>3168</v>
      </c>
      <c r="B2124">
        <v>236</v>
      </c>
      <c r="C2124" t="s">
        <v>164</v>
      </c>
      <c r="D2124">
        <v>23386819</v>
      </c>
      <c r="E2124">
        <v>29397</v>
      </c>
      <c r="F2124">
        <v>23756</v>
      </c>
    </row>
    <row r="2125" spans="1:6">
      <c r="A2125" t="s">
        <v>3169</v>
      </c>
      <c r="B2125">
        <v>236</v>
      </c>
      <c r="C2125" t="s">
        <v>651</v>
      </c>
      <c r="D2125">
        <v>11693410</v>
      </c>
      <c r="E2125">
        <v>29397</v>
      </c>
      <c r="F2125">
        <v>23756</v>
      </c>
    </row>
    <row r="2126" spans="1:6">
      <c r="A2126" t="s">
        <v>3170</v>
      </c>
      <c r="B2126">
        <v>237</v>
      </c>
      <c r="C2126" t="s">
        <v>154</v>
      </c>
      <c r="D2126">
        <v>255098</v>
      </c>
      <c r="E2126">
        <v>26605</v>
      </c>
      <c r="F2126">
        <v>23884</v>
      </c>
    </row>
    <row r="2127" spans="1:6">
      <c r="A2127" t="s">
        <v>3171</v>
      </c>
      <c r="B2127">
        <v>237</v>
      </c>
      <c r="C2127" t="s">
        <v>1043</v>
      </c>
      <c r="D2127">
        <v>765294</v>
      </c>
      <c r="E2127">
        <v>26605</v>
      </c>
      <c r="F2127">
        <v>23884</v>
      </c>
    </row>
    <row r="2128" spans="1:6">
      <c r="A2128" t="s">
        <v>3172</v>
      </c>
      <c r="B2128">
        <v>237</v>
      </c>
      <c r="C2128" t="s">
        <v>1045</v>
      </c>
      <c r="D2128">
        <v>459177</v>
      </c>
      <c r="E2128">
        <v>26605</v>
      </c>
      <c r="F2128">
        <v>23884</v>
      </c>
    </row>
    <row r="2129" spans="1:6">
      <c r="A2129" t="s">
        <v>3173</v>
      </c>
      <c r="B2129">
        <v>237</v>
      </c>
      <c r="C2129" t="s">
        <v>1047</v>
      </c>
      <c r="D2129">
        <v>127549</v>
      </c>
      <c r="E2129">
        <v>26605</v>
      </c>
      <c r="F2129">
        <v>23884</v>
      </c>
    </row>
    <row r="2130" spans="1:6">
      <c r="A2130" t="s">
        <v>3174</v>
      </c>
      <c r="B2130">
        <v>237</v>
      </c>
      <c r="C2130" t="s">
        <v>1049</v>
      </c>
      <c r="D2130">
        <v>38265</v>
      </c>
      <c r="E2130">
        <v>26605</v>
      </c>
      <c r="F2130">
        <v>23884</v>
      </c>
    </row>
    <row r="2131" spans="1:6">
      <c r="A2131" t="s">
        <v>3175</v>
      </c>
      <c r="B2131">
        <v>237</v>
      </c>
      <c r="C2131" t="s">
        <v>745</v>
      </c>
      <c r="D2131">
        <v>1020392</v>
      </c>
      <c r="E2131">
        <v>26605</v>
      </c>
      <c r="F2131">
        <v>23884</v>
      </c>
    </row>
    <row r="2132" spans="1:6">
      <c r="A2132" t="s">
        <v>3176</v>
      </c>
      <c r="B2132">
        <v>237</v>
      </c>
      <c r="C2132" t="s">
        <v>1052</v>
      </c>
      <c r="D2132">
        <v>2295882</v>
      </c>
      <c r="E2132">
        <v>26605</v>
      </c>
      <c r="F2132">
        <v>23884</v>
      </c>
    </row>
    <row r="2133" spans="1:6">
      <c r="A2133" t="s">
        <v>3177</v>
      </c>
      <c r="B2133">
        <v>237</v>
      </c>
      <c r="C2133" t="s">
        <v>164</v>
      </c>
      <c r="D2133">
        <v>23662313</v>
      </c>
      <c r="E2133">
        <v>29624</v>
      </c>
      <c r="F2133">
        <v>23884</v>
      </c>
    </row>
    <row r="2134" spans="1:6">
      <c r="A2134" t="s">
        <v>3178</v>
      </c>
      <c r="B2134">
        <v>237</v>
      </c>
      <c r="C2134" t="s">
        <v>651</v>
      </c>
      <c r="D2134">
        <v>11831157</v>
      </c>
      <c r="E2134">
        <v>29624</v>
      </c>
      <c r="F2134">
        <v>23884</v>
      </c>
    </row>
    <row r="2135" spans="1:6">
      <c r="A2135" t="s">
        <v>3179</v>
      </c>
      <c r="B2135">
        <v>238</v>
      </c>
      <c r="C2135" t="s">
        <v>154</v>
      </c>
      <c r="D2135">
        <v>257887</v>
      </c>
      <c r="E2135">
        <v>26819</v>
      </c>
      <c r="F2135">
        <v>24011</v>
      </c>
    </row>
    <row r="2136" spans="1:6">
      <c r="A2136" t="s">
        <v>3180</v>
      </c>
      <c r="B2136">
        <v>238</v>
      </c>
      <c r="C2136" t="s">
        <v>1043</v>
      </c>
      <c r="D2136">
        <v>773661</v>
      </c>
      <c r="E2136">
        <v>26819</v>
      </c>
      <c r="F2136">
        <v>24011</v>
      </c>
    </row>
    <row r="2137" spans="1:6">
      <c r="A2137" t="s">
        <v>3181</v>
      </c>
      <c r="B2137">
        <v>238</v>
      </c>
      <c r="C2137" t="s">
        <v>1045</v>
      </c>
      <c r="D2137">
        <v>464197</v>
      </c>
      <c r="E2137">
        <v>26819</v>
      </c>
      <c r="F2137">
        <v>24011</v>
      </c>
    </row>
    <row r="2138" spans="1:6">
      <c r="A2138" t="s">
        <v>3182</v>
      </c>
      <c r="B2138">
        <v>238</v>
      </c>
      <c r="C2138" t="s">
        <v>1047</v>
      </c>
      <c r="D2138">
        <v>128944</v>
      </c>
      <c r="E2138">
        <v>26819</v>
      </c>
      <c r="F2138">
        <v>24011</v>
      </c>
    </row>
    <row r="2139" spans="1:6">
      <c r="A2139" t="s">
        <v>3183</v>
      </c>
      <c r="B2139">
        <v>238</v>
      </c>
      <c r="C2139" t="s">
        <v>1049</v>
      </c>
      <c r="D2139">
        <v>38684</v>
      </c>
      <c r="E2139">
        <v>26819</v>
      </c>
      <c r="F2139">
        <v>24011</v>
      </c>
    </row>
    <row r="2140" spans="1:6">
      <c r="A2140" t="s">
        <v>3184</v>
      </c>
      <c r="B2140">
        <v>238</v>
      </c>
      <c r="C2140" t="s">
        <v>745</v>
      </c>
      <c r="D2140">
        <v>1031548</v>
      </c>
      <c r="E2140">
        <v>26819</v>
      </c>
      <c r="F2140">
        <v>24011</v>
      </c>
    </row>
    <row r="2141" spans="1:6">
      <c r="A2141" t="s">
        <v>3185</v>
      </c>
      <c r="B2141">
        <v>238</v>
      </c>
      <c r="C2141" t="s">
        <v>1052</v>
      </c>
      <c r="D2141">
        <v>2320983</v>
      </c>
      <c r="E2141">
        <v>26819</v>
      </c>
      <c r="F2141">
        <v>24011</v>
      </c>
    </row>
    <row r="2142" spans="1:6">
      <c r="A2142" t="s">
        <v>3186</v>
      </c>
      <c r="B2142">
        <v>238</v>
      </c>
      <c r="C2142" t="s">
        <v>164</v>
      </c>
      <c r="D2142">
        <v>23940306</v>
      </c>
      <c r="E2142">
        <v>29853</v>
      </c>
      <c r="F2142">
        <v>24011</v>
      </c>
    </row>
    <row r="2143" spans="1:6">
      <c r="A2143" t="s">
        <v>3187</v>
      </c>
      <c r="B2143">
        <v>238</v>
      </c>
      <c r="C2143" t="s">
        <v>651</v>
      </c>
      <c r="D2143">
        <v>11970153</v>
      </c>
      <c r="E2143">
        <v>29853</v>
      </c>
      <c r="F2143">
        <v>24011</v>
      </c>
    </row>
    <row r="2144" spans="1:6">
      <c r="A2144" t="s">
        <v>3188</v>
      </c>
      <c r="B2144">
        <v>239</v>
      </c>
      <c r="C2144" t="s">
        <v>154</v>
      </c>
      <c r="D2144">
        <v>260698</v>
      </c>
      <c r="E2144">
        <v>27033</v>
      </c>
      <c r="F2144">
        <v>24139</v>
      </c>
    </row>
    <row r="2145" spans="1:6">
      <c r="A2145" t="s">
        <v>3189</v>
      </c>
      <c r="B2145">
        <v>239</v>
      </c>
      <c r="C2145" t="s">
        <v>1043</v>
      </c>
      <c r="D2145">
        <v>782094</v>
      </c>
      <c r="E2145">
        <v>27033</v>
      </c>
      <c r="F2145">
        <v>24139</v>
      </c>
    </row>
    <row r="2146" spans="1:6">
      <c r="A2146" t="s">
        <v>3190</v>
      </c>
      <c r="B2146">
        <v>239</v>
      </c>
      <c r="C2146" t="s">
        <v>1045</v>
      </c>
      <c r="D2146">
        <v>469257</v>
      </c>
      <c r="E2146">
        <v>27033</v>
      </c>
      <c r="F2146">
        <v>24139</v>
      </c>
    </row>
    <row r="2147" spans="1:6">
      <c r="A2147" t="s">
        <v>3191</v>
      </c>
      <c r="B2147">
        <v>239</v>
      </c>
      <c r="C2147" t="s">
        <v>1047</v>
      </c>
      <c r="D2147">
        <v>130349</v>
      </c>
      <c r="E2147">
        <v>27033</v>
      </c>
      <c r="F2147">
        <v>24139</v>
      </c>
    </row>
    <row r="2148" spans="1:6">
      <c r="A2148" t="s">
        <v>3192</v>
      </c>
      <c r="B2148">
        <v>239</v>
      </c>
      <c r="C2148" t="s">
        <v>1049</v>
      </c>
      <c r="D2148">
        <v>39105</v>
      </c>
      <c r="E2148">
        <v>27033</v>
      </c>
      <c r="F2148">
        <v>24139</v>
      </c>
    </row>
    <row r="2149" spans="1:6">
      <c r="A2149" t="s">
        <v>3193</v>
      </c>
      <c r="B2149">
        <v>239</v>
      </c>
      <c r="C2149" t="s">
        <v>745</v>
      </c>
      <c r="D2149">
        <v>1042792</v>
      </c>
      <c r="E2149">
        <v>27033</v>
      </c>
      <c r="F2149">
        <v>24139</v>
      </c>
    </row>
    <row r="2150" spans="1:6">
      <c r="A2150" t="s">
        <v>3194</v>
      </c>
      <c r="B2150">
        <v>239</v>
      </c>
      <c r="C2150" t="s">
        <v>1052</v>
      </c>
      <c r="D2150">
        <v>2346282</v>
      </c>
      <c r="E2150">
        <v>27033</v>
      </c>
      <c r="F2150">
        <v>24139</v>
      </c>
    </row>
    <row r="2151" spans="1:6">
      <c r="A2151" t="s">
        <v>3195</v>
      </c>
      <c r="B2151">
        <v>239</v>
      </c>
      <c r="C2151" t="s">
        <v>164</v>
      </c>
      <c r="D2151">
        <v>24220697</v>
      </c>
      <c r="E2151">
        <v>30082</v>
      </c>
      <c r="F2151">
        <v>24139</v>
      </c>
    </row>
    <row r="2152" spans="1:6">
      <c r="A2152" t="s">
        <v>3196</v>
      </c>
      <c r="B2152">
        <v>239</v>
      </c>
      <c r="C2152" t="s">
        <v>651</v>
      </c>
      <c r="D2152">
        <v>12110348</v>
      </c>
      <c r="E2152">
        <v>30082</v>
      </c>
      <c r="F2152">
        <v>24139</v>
      </c>
    </row>
    <row r="2153" spans="1:6">
      <c r="A2153" t="s">
        <v>3197</v>
      </c>
      <c r="B2153">
        <v>240</v>
      </c>
      <c r="C2153" t="s">
        <v>154</v>
      </c>
      <c r="D2153">
        <v>263533</v>
      </c>
      <c r="E2153">
        <v>27250</v>
      </c>
      <c r="F2153">
        <v>24268</v>
      </c>
    </row>
    <row r="2154" spans="1:6">
      <c r="A2154" t="s">
        <v>3198</v>
      </c>
      <c r="B2154">
        <v>240</v>
      </c>
      <c r="C2154" t="s">
        <v>1043</v>
      </c>
      <c r="D2154">
        <v>790599</v>
      </c>
      <c r="E2154">
        <v>27250</v>
      </c>
      <c r="F2154">
        <v>24268</v>
      </c>
    </row>
    <row r="2155" spans="1:6">
      <c r="A2155" t="s">
        <v>3199</v>
      </c>
      <c r="B2155">
        <v>240</v>
      </c>
      <c r="C2155" t="s">
        <v>1045</v>
      </c>
      <c r="D2155">
        <v>474360</v>
      </c>
      <c r="E2155">
        <v>27250</v>
      </c>
      <c r="F2155">
        <v>24268</v>
      </c>
    </row>
    <row r="2156" spans="1:6">
      <c r="A2156" t="s">
        <v>3200</v>
      </c>
      <c r="B2156">
        <v>240</v>
      </c>
      <c r="C2156" t="s">
        <v>1047</v>
      </c>
      <c r="D2156">
        <v>131767</v>
      </c>
      <c r="E2156">
        <v>27250</v>
      </c>
      <c r="F2156">
        <v>24268</v>
      </c>
    </row>
    <row r="2157" spans="1:6">
      <c r="A2157" t="s">
        <v>3201</v>
      </c>
      <c r="B2157">
        <v>240</v>
      </c>
      <c r="C2157" t="s">
        <v>1049</v>
      </c>
      <c r="D2157">
        <v>39530</v>
      </c>
      <c r="E2157">
        <v>27250</v>
      </c>
      <c r="F2157">
        <v>24268</v>
      </c>
    </row>
    <row r="2158" spans="1:6">
      <c r="A2158" t="s">
        <v>3202</v>
      </c>
      <c r="B2158">
        <v>240</v>
      </c>
      <c r="C2158" t="s">
        <v>745</v>
      </c>
      <c r="D2158">
        <v>1054132</v>
      </c>
      <c r="E2158">
        <v>27250</v>
      </c>
      <c r="F2158">
        <v>24268</v>
      </c>
    </row>
    <row r="2159" spans="1:6">
      <c r="A2159" t="s">
        <v>3203</v>
      </c>
      <c r="B2159">
        <v>240</v>
      </c>
      <c r="C2159" t="s">
        <v>1052</v>
      </c>
      <c r="D2159">
        <v>2371797</v>
      </c>
      <c r="E2159">
        <v>27250</v>
      </c>
      <c r="F2159">
        <v>24268</v>
      </c>
    </row>
    <row r="2160" spans="1:6">
      <c r="A2160" t="s">
        <v>3204</v>
      </c>
      <c r="B2160">
        <v>240</v>
      </c>
      <c r="C2160" t="s">
        <v>164</v>
      </c>
      <c r="D2160">
        <v>24503638</v>
      </c>
      <c r="E2160">
        <v>30313</v>
      </c>
      <c r="F2160">
        <v>24268</v>
      </c>
    </row>
    <row r="2161" spans="1:6">
      <c r="A2161" t="s">
        <v>3205</v>
      </c>
      <c r="B2161">
        <v>240</v>
      </c>
      <c r="C2161" t="s">
        <v>651</v>
      </c>
      <c r="D2161">
        <v>12251819</v>
      </c>
      <c r="E2161">
        <v>30313</v>
      </c>
      <c r="F2161">
        <v>24268</v>
      </c>
    </row>
    <row r="2162" spans="1:6">
      <c r="A2162" t="s">
        <v>3206</v>
      </c>
      <c r="B2162">
        <v>241</v>
      </c>
      <c r="C2162" t="s">
        <v>154</v>
      </c>
      <c r="D2162">
        <v>266390</v>
      </c>
      <c r="E2162">
        <v>27467</v>
      </c>
      <c r="F2162">
        <v>24396</v>
      </c>
    </row>
    <row r="2163" spans="1:6">
      <c r="A2163" t="s">
        <v>3207</v>
      </c>
      <c r="B2163">
        <v>241</v>
      </c>
      <c r="C2163" t="s">
        <v>1043</v>
      </c>
      <c r="D2163">
        <v>799170</v>
      </c>
      <c r="E2163">
        <v>27467</v>
      </c>
      <c r="F2163">
        <v>24396</v>
      </c>
    </row>
    <row r="2164" spans="1:6">
      <c r="A2164" t="s">
        <v>3208</v>
      </c>
      <c r="B2164">
        <v>241</v>
      </c>
      <c r="C2164" t="s">
        <v>1045</v>
      </c>
      <c r="D2164">
        <v>479502</v>
      </c>
      <c r="E2164">
        <v>27467</v>
      </c>
      <c r="F2164">
        <v>24396</v>
      </c>
    </row>
    <row r="2165" spans="1:6">
      <c r="A2165" t="s">
        <v>3209</v>
      </c>
      <c r="B2165">
        <v>241</v>
      </c>
      <c r="C2165" t="s">
        <v>1047</v>
      </c>
      <c r="D2165">
        <v>133195</v>
      </c>
      <c r="E2165">
        <v>27467</v>
      </c>
      <c r="F2165">
        <v>24396</v>
      </c>
    </row>
    <row r="2166" spans="1:6">
      <c r="A2166" t="s">
        <v>3210</v>
      </c>
      <c r="B2166">
        <v>241</v>
      </c>
      <c r="C2166" t="s">
        <v>1049</v>
      </c>
      <c r="D2166">
        <v>39959</v>
      </c>
      <c r="E2166">
        <v>27467</v>
      </c>
      <c r="F2166">
        <v>24396</v>
      </c>
    </row>
    <row r="2167" spans="1:6">
      <c r="A2167" t="s">
        <v>3211</v>
      </c>
      <c r="B2167">
        <v>241</v>
      </c>
      <c r="C2167" t="s">
        <v>745</v>
      </c>
      <c r="D2167">
        <v>1065560</v>
      </c>
      <c r="E2167">
        <v>27467</v>
      </c>
      <c r="F2167">
        <v>24396</v>
      </c>
    </row>
    <row r="2168" spans="1:6">
      <c r="A2168" t="s">
        <v>3212</v>
      </c>
      <c r="B2168">
        <v>241</v>
      </c>
      <c r="C2168" t="s">
        <v>1052</v>
      </c>
      <c r="D2168">
        <v>2397510</v>
      </c>
      <c r="E2168">
        <v>27467</v>
      </c>
      <c r="F2168">
        <v>24396</v>
      </c>
    </row>
    <row r="2169" spans="1:6">
      <c r="A2169" t="s">
        <v>3213</v>
      </c>
      <c r="B2169">
        <v>241</v>
      </c>
      <c r="C2169" t="s">
        <v>164</v>
      </c>
      <c r="D2169">
        <v>24789027</v>
      </c>
      <c r="E2169">
        <v>30545</v>
      </c>
      <c r="F2169">
        <v>24396</v>
      </c>
    </row>
    <row r="2170" spans="1:6">
      <c r="A2170" t="s">
        <v>3214</v>
      </c>
      <c r="B2170">
        <v>241</v>
      </c>
      <c r="C2170" t="s">
        <v>651</v>
      </c>
      <c r="D2170">
        <v>12394513</v>
      </c>
      <c r="E2170">
        <v>30545</v>
      </c>
      <c r="F2170">
        <v>24396</v>
      </c>
    </row>
    <row r="2171" spans="1:6">
      <c r="A2171" t="s">
        <v>3215</v>
      </c>
      <c r="B2171">
        <v>242</v>
      </c>
      <c r="C2171" t="s">
        <v>154</v>
      </c>
      <c r="D2171">
        <v>269270</v>
      </c>
      <c r="E2171">
        <v>27685</v>
      </c>
      <c r="F2171">
        <v>24525</v>
      </c>
    </row>
    <row r="2172" spans="1:6">
      <c r="A2172" t="s">
        <v>3216</v>
      </c>
      <c r="B2172">
        <v>242</v>
      </c>
      <c r="C2172" t="s">
        <v>1043</v>
      </c>
      <c r="D2172">
        <v>807810</v>
      </c>
      <c r="E2172">
        <v>27685</v>
      </c>
      <c r="F2172">
        <v>24525</v>
      </c>
    </row>
    <row r="2173" spans="1:6">
      <c r="A2173" t="s">
        <v>3217</v>
      </c>
      <c r="B2173">
        <v>242</v>
      </c>
      <c r="C2173" t="s">
        <v>1045</v>
      </c>
      <c r="D2173">
        <v>484686</v>
      </c>
      <c r="E2173">
        <v>27685</v>
      </c>
      <c r="F2173">
        <v>24525</v>
      </c>
    </row>
    <row r="2174" spans="1:6">
      <c r="A2174" t="s">
        <v>3218</v>
      </c>
      <c r="B2174">
        <v>242</v>
      </c>
      <c r="C2174" t="s">
        <v>1047</v>
      </c>
      <c r="D2174">
        <v>134635</v>
      </c>
      <c r="E2174">
        <v>27685</v>
      </c>
      <c r="F2174">
        <v>24525</v>
      </c>
    </row>
    <row r="2175" spans="1:6">
      <c r="A2175" t="s">
        <v>3219</v>
      </c>
      <c r="B2175">
        <v>242</v>
      </c>
      <c r="C2175" t="s">
        <v>1049</v>
      </c>
      <c r="D2175">
        <v>40391</v>
      </c>
      <c r="E2175">
        <v>27685</v>
      </c>
      <c r="F2175">
        <v>24525</v>
      </c>
    </row>
    <row r="2176" spans="1:6">
      <c r="A2176" t="s">
        <v>3220</v>
      </c>
      <c r="B2176">
        <v>242</v>
      </c>
      <c r="C2176" t="s">
        <v>745</v>
      </c>
      <c r="D2176">
        <v>1077080</v>
      </c>
      <c r="E2176">
        <v>27685</v>
      </c>
      <c r="F2176">
        <v>24525</v>
      </c>
    </row>
    <row r="2177" spans="1:6">
      <c r="A2177" t="s">
        <v>3221</v>
      </c>
      <c r="B2177">
        <v>242</v>
      </c>
      <c r="C2177" t="s">
        <v>1052</v>
      </c>
      <c r="D2177">
        <v>2423430</v>
      </c>
      <c r="E2177">
        <v>27685</v>
      </c>
      <c r="F2177">
        <v>24525</v>
      </c>
    </row>
    <row r="2178" spans="1:6">
      <c r="A2178" t="s">
        <v>3222</v>
      </c>
      <c r="B2178">
        <v>242</v>
      </c>
      <c r="C2178" t="s">
        <v>164</v>
      </c>
      <c r="D2178">
        <v>25076966</v>
      </c>
      <c r="E2178">
        <v>30778</v>
      </c>
      <c r="F2178">
        <v>24525</v>
      </c>
    </row>
    <row r="2179" spans="1:6">
      <c r="A2179" t="s">
        <v>3223</v>
      </c>
      <c r="B2179">
        <v>242</v>
      </c>
      <c r="C2179" t="s">
        <v>651</v>
      </c>
      <c r="D2179">
        <v>12538483</v>
      </c>
      <c r="E2179">
        <v>30778</v>
      </c>
      <c r="F2179">
        <v>24525</v>
      </c>
    </row>
    <row r="2180" spans="1:6">
      <c r="A2180" t="s">
        <v>3224</v>
      </c>
      <c r="B2180">
        <v>243</v>
      </c>
      <c r="C2180" t="s">
        <v>154</v>
      </c>
      <c r="D2180">
        <v>272174</v>
      </c>
      <c r="E2180">
        <v>27905</v>
      </c>
      <c r="F2180">
        <v>24654</v>
      </c>
    </row>
    <row r="2181" spans="1:6">
      <c r="A2181" t="s">
        <v>3225</v>
      </c>
      <c r="B2181">
        <v>243</v>
      </c>
      <c r="C2181" t="s">
        <v>1043</v>
      </c>
      <c r="D2181">
        <v>816522</v>
      </c>
      <c r="E2181">
        <v>27905</v>
      </c>
      <c r="F2181">
        <v>24654</v>
      </c>
    </row>
    <row r="2182" spans="1:6">
      <c r="A2182" t="s">
        <v>3226</v>
      </c>
      <c r="B2182">
        <v>243</v>
      </c>
      <c r="C2182" t="s">
        <v>1045</v>
      </c>
      <c r="D2182">
        <v>489914</v>
      </c>
      <c r="E2182">
        <v>27905</v>
      </c>
      <c r="F2182">
        <v>24654</v>
      </c>
    </row>
    <row r="2183" spans="1:6">
      <c r="A2183" t="s">
        <v>3227</v>
      </c>
      <c r="B2183">
        <v>243</v>
      </c>
      <c r="C2183" t="s">
        <v>1047</v>
      </c>
      <c r="D2183">
        <v>136087</v>
      </c>
      <c r="E2183">
        <v>27905</v>
      </c>
      <c r="F2183">
        <v>24654</v>
      </c>
    </row>
    <row r="2184" spans="1:6">
      <c r="A2184" t="s">
        <v>3228</v>
      </c>
      <c r="B2184">
        <v>243</v>
      </c>
      <c r="C2184" t="s">
        <v>1049</v>
      </c>
      <c r="D2184">
        <v>40827</v>
      </c>
      <c r="E2184">
        <v>27905</v>
      </c>
      <c r="F2184">
        <v>24654</v>
      </c>
    </row>
    <row r="2185" spans="1:6">
      <c r="A2185" t="s">
        <v>3229</v>
      </c>
      <c r="B2185">
        <v>243</v>
      </c>
      <c r="C2185" t="s">
        <v>745</v>
      </c>
      <c r="D2185">
        <v>1088696</v>
      </c>
      <c r="E2185">
        <v>27905</v>
      </c>
      <c r="F2185">
        <v>24654</v>
      </c>
    </row>
    <row r="2186" spans="1:6">
      <c r="A2186" t="s">
        <v>3230</v>
      </c>
      <c r="B2186">
        <v>243</v>
      </c>
      <c r="C2186" t="s">
        <v>1052</v>
      </c>
      <c r="D2186">
        <v>2449566</v>
      </c>
      <c r="E2186">
        <v>27905</v>
      </c>
      <c r="F2186">
        <v>24654</v>
      </c>
    </row>
    <row r="2187" spans="1:6">
      <c r="A2187" t="s">
        <v>3231</v>
      </c>
      <c r="B2187">
        <v>243</v>
      </c>
      <c r="C2187" t="s">
        <v>164</v>
      </c>
      <c r="D2187">
        <v>25367456</v>
      </c>
      <c r="E2187">
        <v>31013</v>
      </c>
      <c r="F2187">
        <v>24654</v>
      </c>
    </row>
    <row r="2188" spans="1:6">
      <c r="A2188" t="s">
        <v>3232</v>
      </c>
      <c r="B2188">
        <v>243</v>
      </c>
      <c r="C2188" t="s">
        <v>651</v>
      </c>
      <c r="D2188">
        <v>12683728</v>
      </c>
      <c r="E2188">
        <v>31013</v>
      </c>
      <c r="F2188">
        <v>24654</v>
      </c>
    </row>
    <row r="2189" spans="1:6">
      <c r="A2189" t="s">
        <v>3233</v>
      </c>
      <c r="B2189">
        <v>244</v>
      </c>
      <c r="C2189" t="s">
        <v>154</v>
      </c>
      <c r="D2189">
        <v>275101</v>
      </c>
      <c r="E2189">
        <v>28125</v>
      </c>
      <c r="F2189">
        <v>24783</v>
      </c>
    </row>
    <row r="2190" spans="1:6">
      <c r="A2190" t="s">
        <v>3234</v>
      </c>
      <c r="B2190">
        <v>244</v>
      </c>
      <c r="C2190" t="s">
        <v>1043</v>
      </c>
      <c r="D2190">
        <v>825303</v>
      </c>
      <c r="E2190">
        <v>28125</v>
      </c>
      <c r="F2190">
        <v>24783</v>
      </c>
    </row>
    <row r="2191" spans="1:6">
      <c r="A2191" t="s">
        <v>3235</v>
      </c>
      <c r="B2191">
        <v>244</v>
      </c>
      <c r="C2191" t="s">
        <v>1045</v>
      </c>
      <c r="D2191">
        <v>495182</v>
      </c>
      <c r="E2191">
        <v>28125</v>
      </c>
      <c r="F2191">
        <v>24783</v>
      </c>
    </row>
    <row r="2192" spans="1:6">
      <c r="A2192" t="s">
        <v>3236</v>
      </c>
      <c r="B2192">
        <v>244</v>
      </c>
      <c r="C2192" t="s">
        <v>1047</v>
      </c>
      <c r="D2192">
        <v>137551</v>
      </c>
      <c r="E2192">
        <v>28125</v>
      </c>
      <c r="F2192">
        <v>24783</v>
      </c>
    </row>
    <row r="2193" spans="1:6">
      <c r="A2193" t="s">
        <v>3237</v>
      </c>
      <c r="B2193">
        <v>244</v>
      </c>
      <c r="C2193" t="s">
        <v>1049</v>
      </c>
      <c r="D2193">
        <v>41266</v>
      </c>
      <c r="E2193">
        <v>28125</v>
      </c>
      <c r="F2193">
        <v>24783</v>
      </c>
    </row>
    <row r="2194" spans="1:6">
      <c r="A2194" t="s">
        <v>3238</v>
      </c>
      <c r="B2194">
        <v>244</v>
      </c>
      <c r="C2194" t="s">
        <v>745</v>
      </c>
      <c r="D2194">
        <v>1100404</v>
      </c>
      <c r="E2194">
        <v>28125</v>
      </c>
      <c r="F2194">
        <v>24783</v>
      </c>
    </row>
    <row r="2195" spans="1:6">
      <c r="A2195" t="s">
        <v>3239</v>
      </c>
      <c r="B2195">
        <v>244</v>
      </c>
      <c r="C2195" t="s">
        <v>1052</v>
      </c>
      <c r="D2195">
        <v>2475909</v>
      </c>
      <c r="E2195">
        <v>28125</v>
      </c>
      <c r="F2195">
        <v>24783</v>
      </c>
    </row>
    <row r="2196" spans="1:6">
      <c r="A2196" t="s">
        <v>3240</v>
      </c>
      <c r="B2196">
        <v>244</v>
      </c>
      <c r="C2196" t="s">
        <v>164</v>
      </c>
      <c r="D2196">
        <v>25660496</v>
      </c>
      <c r="E2196">
        <v>31248</v>
      </c>
      <c r="F2196">
        <v>24783</v>
      </c>
    </row>
    <row r="2197" spans="1:6">
      <c r="A2197" t="s">
        <v>3241</v>
      </c>
      <c r="B2197">
        <v>244</v>
      </c>
      <c r="C2197" t="s">
        <v>651</v>
      </c>
      <c r="D2197">
        <v>12830248</v>
      </c>
      <c r="E2197">
        <v>31248</v>
      </c>
      <c r="F2197">
        <v>24783</v>
      </c>
    </row>
    <row r="2198" spans="1:6">
      <c r="A2198" t="s">
        <v>3242</v>
      </c>
      <c r="B2198">
        <v>245</v>
      </c>
      <c r="C2198" t="s">
        <v>154</v>
      </c>
      <c r="D2198">
        <v>278051</v>
      </c>
      <c r="E2198">
        <v>28347</v>
      </c>
      <c r="F2198">
        <v>24913</v>
      </c>
    </row>
    <row r="2199" spans="1:6">
      <c r="A2199" t="s">
        <v>3243</v>
      </c>
      <c r="B2199">
        <v>245</v>
      </c>
      <c r="C2199" t="s">
        <v>1043</v>
      </c>
      <c r="D2199">
        <v>834153</v>
      </c>
      <c r="E2199">
        <v>28347</v>
      </c>
      <c r="F2199">
        <v>24913</v>
      </c>
    </row>
    <row r="2200" spans="1:6">
      <c r="A2200" t="s">
        <v>3244</v>
      </c>
      <c r="B2200">
        <v>245</v>
      </c>
      <c r="C2200" t="s">
        <v>1045</v>
      </c>
      <c r="D2200">
        <v>500492</v>
      </c>
      <c r="E2200">
        <v>28347</v>
      </c>
      <c r="F2200">
        <v>24913</v>
      </c>
    </row>
    <row r="2201" spans="1:6">
      <c r="A2201" t="s">
        <v>3245</v>
      </c>
      <c r="B2201">
        <v>245</v>
      </c>
      <c r="C2201" t="s">
        <v>1047</v>
      </c>
      <c r="D2201">
        <v>139026</v>
      </c>
      <c r="E2201">
        <v>28347</v>
      </c>
      <c r="F2201">
        <v>24913</v>
      </c>
    </row>
    <row r="2202" spans="1:6">
      <c r="A2202" t="s">
        <v>3246</v>
      </c>
      <c r="B2202">
        <v>245</v>
      </c>
      <c r="C2202" t="s">
        <v>1049</v>
      </c>
      <c r="D2202">
        <v>41708</v>
      </c>
      <c r="E2202">
        <v>28347</v>
      </c>
      <c r="F2202">
        <v>24913</v>
      </c>
    </row>
    <row r="2203" spans="1:6">
      <c r="A2203" t="s">
        <v>3247</v>
      </c>
      <c r="B2203">
        <v>245</v>
      </c>
      <c r="C2203" t="s">
        <v>745</v>
      </c>
      <c r="D2203">
        <v>1112204</v>
      </c>
      <c r="E2203">
        <v>28347</v>
      </c>
      <c r="F2203">
        <v>24913</v>
      </c>
    </row>
    <row r="2204" spans="1:6">
      <c r="A2204" t="s">
        <v>3248</v>
      </c>
      <c r="B2204">
        <v>245</v>
      </c>
      <c r="C2204" t="s">
        <v>1052</v>
      </c>
      <c r="D2204">
        <v>2502459</v>
      </c>
      <c r="E2204">
        <v>28347</v>
      </c>
      <c r="F2204">
        <v>24913</v>
      </c>
    </row>
    <row r="2205" spans="1:6">
      <c r="A2205" t="s">
        <v>3249</v>
      </c>
      <c r="B2205">
        <v>245</v>
      </c>
      <c r="C2205" t="s">
        <v>164</v>
      </c>
      <c r="D2205">
        <v>25956086</v>
      </c>
      <c r="E2205">
        <v>31485</v>
      </c>
      <c r="F2205">
        <v>24913</v>
      </c>
    </row>
    <row r="2206" spans="1:6">
      <c r="A2206" t="s">
        <v>3250</v>
      </c>
      <c r="B2206">
        <v>245</v>
      </c>
      <c r="C2206" t="s">
        <v>651</v>
      </c>
      <c r="D2206">
        <v>12978043</v>
      </c>
      <c r="E2206">
        <v>31485</v>
      </c>
      <c r="F2206">
        <v>24913</v>
      </c>
    </row>
    <row r="2207" spans="1:6">
      <c r="A2207" t="s">
        <v>3251</v>
      </c>
      <c r="B2207">
        <v>246</v>
      </c>
      <c r="C2207" t="s">
        <v>154</v>
      </c>
      <c r="D2207">
        <v>281026</v>
      </c>
      <c r="E2207">
        <v>28571</v>
      </c>
      <c r="F2207">
        <v>25042</v>
      </c>
    </row>
    <row r="2208" spans="1:6">
      <c r="A2208" t="s">
        <v>3252</v>
      </c>
      <c r="B2208">
        <v>246</v>
      </c>
      <c r="C2208" t="s">
        <v>1043</v>
      </c>
      <c r="D2208">
        <v>843078</v>
      </c>
      <c r="E2208">
        <v>28571</v>
      </c>
      <c r="F2208">
        <v>25042</v>
      </c>
    </row>
    <row r="2209" spans="1:6">
      <c r="A2209" t="s">
        <v>3253</v>
      </c>
      <c r="B2209">
        <v>246</v>
      </c>
      <c r="C2209" t="s">
        <v>1045</v>
      </c>
      <c r="D2209">
        <v>505847</v>
      </c>
      <c r="E2209">
        <v>28571</v>
      </c>
      <c r="F2209">
        <v>25042</v>
      </c>
    </row>
    <row r="2210" spans="1:6">
      <c r="A2210" t="s">
        <v>3254</v>
      </c>
      <c r="B2210">
        <v>246</v>
      </c>
      <c r="C2210" t="s">
        <v>1047</v>
      </c>
      <c r="D2210">
        <v>140513</v>
      </c>
      <c r="E2210">
        <v>28571</v>
      </c>
      <c r="F2210">
        <v>25042</v>
      </c>
    </row>
    <row r="2211" spans="1:6">
      <c r="A2211" t="s">
        <v>3255</v>
      </c>
      <c r="B2211">
        <v>246</v>
      </c>
      <c r="C2211" t="s">
        <v>1049</v>
      </c>
      <c r="D2211">
        <v>42154</v>
      </c>
      <c r="E2211">
        <v>28571</v>
      </c>
      <c r="F2211">
        <v>25042</v>
      </c>
    </row>
    <row r="2212" spans="1:6">
      <c r="A2212" t="s">
        <v>3256</v>
      </c>
      <c r="B2212">
        <v>246</v>
      </c>
      <c r="C2212" t="s">
        <v>745</v>
      </c>
      <c r="D2212">
        <v>1124104</v>
      </c>
      <c r="E2212">
        <v>28571</v>
      </c>
      <c r="F2212">
        <v>25042</v>
      </c>
    </row>
    <row r="2213" spans="1:6">
      <c r="A2213" t="s">
        <v>3257</v>
      </c>
      <c r="B2213">
        <v>246</v>
      </c>
      <c r="C2213" t="s">
        <v>1052</v>
      </c>
      <c r="D2213">
        <v>2529234</v>
      </c>
      <c r="E2213">
        <v>28571</v>
      </c>
      <c r="F2213">
        <v>25042</v>
      </c>
    </row>
    <row r="2214" spans="1:6">
      <c r="A2214" t="s">
        <v>3258</v>
      </c>
      <c r="B2214">
        <v>246</v>
      </c>
      <c r="C2214" t="s">
        <v>164</v>
      </c>
      <c r="D2214">
        <v>26254277</v>
      </c>
      <c r="E2214">
        <v>31724</v>
      </c>
      <c r="F2214">
        <v>25042</v>
      </c>
    </row>
    <row r="2215" spans="1:6">
      <c r="A2215" t="s">
        <v>3259</v>
      </c>
      <c r="B2215">
        <v>246</v>
      </c>
      <c r="C2215" t="s">
        <v>651</v>
      </c>
      <c r="D2215">
        <v>13127138</v>
      </c>
      <c r="E2215">
        <v>31724</v>
      </c>
      <c r="F2215">
        <v>25042</v>
      </c>
    </row>
    <row r="2216" spans="1:6">
      <c r="A2216" t="s">
        <v>3260</v>
      </c>
      <c r="B2216">
        <v>247</v>
      </c>
      <c r="C2216" t="s">
        <v>154</v>
      </c>
      <c r="D2216">
        <v>284024</v>
      </c>
      <c r="E2216">
        <v>28795</v>
      </c>
      <c r="F2216">
        <v>25172</v>
      </c>
    </row>
    <row r="2217" spans="1:6">
      <c r="A2217" t="s">
        <v>3261</v>
      </c>
      <c r="B2217">
        <v>247</v>
      </c>
      <c r="C2217" t="s">
        <v>1043</v>
      </c>
      <c r="D2217">
        <v>852072</v>
      </c>
      <c r="E2217">
        <v>28795</v>
      </c>
      <c r="F2217">
        <v>25172</v>
      </c>
    </row>
    <row r="2218" spans="1:6">
      <c r="A2218" t="s">
        <v>3262</v>
      </c>
      <c r="B2218">
        <v>247</v>
      </c>
      <c r="C2218" t="s">
        <v>1045</v>
      </c>
      <c r="D2218">
        <v>511244</v>
      </c>
      <c r="E2218">
        <v>28795</v>
      </c>
      <c r="F2218">
        <v>25172</v>
      </c>
    </row>
    <row r="2219" spans="1:6">
      <c r="A2219" t="s">
        <v>3263</v>
      </c>
      <c r="B2219">
        <v>247</v>
      </c>
      <c r="C2219" t="s">
        <v>1047</v>
      </c>
      <c r="D2219">
        <v>142012</v>
      </c>
      <c r="E2219">
        <v>28795</v>
      </c>
      <c r="F2219">
        <v>25172</v>
      </c>
    </row>
    <row r="2220" spans="1:6">
      <c r="A2220" t="s">
        <v>3264</v>
      </c>
      <c r="B2220">
        <v>247</v>
      </c>
      <c r="C2220" t="s">
        <v>1049</v>
      </c>
      <c r="D2220">
        <v>42604</v>
      </c>
      <c r="E2220">
        <v>28795</v>
      </c>
      <c r="F2220">
        <v>25172</v>
      </c>
    </row>
    <row r="2221" spans="1:6">
      <c r="A2221" t="s">
        <v>3265</v>
      </c>
      <c r="B2221">
        <v>247</v>
      </c>
      <c r="C2221" t="s">
        <v>745</v>
      </c>
      <c r="D2221">
        <v>1136096</v>
      </c>
      <c r="E2221">
        <v>28795</v>
      </c>
      <c r="F2221">
        <v>25172</v>
      </c>
    </row>
    <row r="2222" spans="1:6">
      <c r="A2222" t="s">
        <v>3266</v>
      </c>
      <c r="B2222">
        <v>247</v>
      </c>
      <c r="C2222" t="s">
        <v>1052</v>
      </c>
      <c r="D2222">
        <v>2556216</v>
      </c>
      <c r="E2222">
        <v>28795</v>
      </c>
      <c r="F2222">
        <v>25172</v>
      </c>
    </row>
    <row r="2223" spans="1:6">
      <c r="A2223" t="s">
        <v>3267</v>
      </c>
      <c r="B2223">
        <v>247</v>
      </c>
      <c r="C2223" t="s">
        <v>164</v>
      </c>
      <c r="D2223">
        <v>26555069</v>
      </c>
      <c r="E2223">
        <v>31963</v>
      </c>
      <c r="F2223">
        <v>25172</v>
      </c>
    </row>
    <row r="2224" spans="1:6">
      <c r="A2224" t="s">
        <v>3268</v>
      </c>
      <c r="B2224">
        <v>247</v>
      </c>
      <c r="C2224" t="s">
        <v>651</v>
      </c>
      <c r="D2224">
        <v>13277535</v>
      </c>
      <c r="E2224">
        <v>31963</v>
      </c>
      <c r="F2224">
        <v>25172</v>
      </c>
    </row>
    <row r="2225" spans="1:6">
      <c r="A2225" t="s">
        <v>3269</v>
      </c>
      <c r="B2225">
        <v>248</v>
      </c>
      <c r="C2225" t="s">
        <v>154</v>
      </c>
      <c r="D2225">
        <v>287046</v>
      </c>
      <c r="E2225">
        <v>29021</v>
      </c>
      <c r="F2225">
        <v>25302</v>
      </c>
    </row>
    <row r="2226" spans="1:6">
      <c r="A2226" t="s">
        <v>3270</v>
      </c>
      <c r="B2226">
        <v>248</v>
      </c>
      <c r="C2226" t="s">
        <v>1043</v>
      </c>
      <c r="D2226">
        <v>861138</v>
      </c>
      <c r="E2226">
        <v>29021</v>
      </c>
      <c r="F2226">
        <v>25302</v>
      </c>
    </row>
    <row r="2227" spans="1:6">
      <c r="A2227" t="s">
        <v>3271</v>
      </c>
      <c r="B2227">
        <v>248</v>
      </c>
      <c r="C2227" t="s">
        <v>1045</v>
      </c>
      <c r="D2227">
        <v>516683</v>
      </c>
      <c r="E2227">
        <v>29021</v>
      </c>
      <c r="F2227">
        <v>25302</v>
      </c>
    </row>
    <row r="2228" spans="1:6">
      <c r="A2228" t="s">
        <v>3272</v>
      </c>
      <c r="B2228">
        <v>248</v>
      </c>
      <c r="C2228" t="s">
        <v>1047</v>
      </c>
      <c r="D2228">
        <v>143523</v>
      </c>
      <c r="E2228">
        <v>29021</v>
      </c>
      <c r="F2228">
        <v>25302</v>
      </c>
    </row>
    <row r="2229" spans="1:6">
      <c r="A2229" t="s">
        <v>3273</v>
      </c>
      <c r="B2229">
        <v>248</v>
      </c>
      <c r="C2229" t="s">
        <v>1049</v>
      </c>
      <c r="D2229">
        <v>43057</v>
      </c>
      <c r="E2229">
        <v>29021</v>
      </c>
      <c r="F2229">
        <v>25302</v>
      </c>
    </row>
    <row r="2230" spans="1:6">
      <c r="A2230" t="s">
        <v>3274</v>
      </c>
      <c r="B2230">
        <v>248</v>
      </c>
      <c r="C2230" t="s">
        <v>745</v>
      </c>
      <c r="D2230">
        <v>1148184</v>
      </c>
      <c r="E2230">
        <v>29021</v>
      </c>
      <c r="F2230">
        <v>25302</v>
      </c>
    </row>
    <row r="2231" spans="1:6">
      <c r="A2231" t="s">
        <v>3275</v>
      </c>
      <c r="B2231">
        <v>248</v>
      </c>
      <c r="C2231" t="s">
        <v>1052</v>
      </c>
      <c r="D2231">
        <v>2583414</v>
      </c>
      <c r="E2231">
        <v>29021</v>
      </c>
      <c r="F2231">
        <v>25302</v>
      </c>
    </row>
    <row r="2232" spans="1:6">
      <c r="A2232" t="s">
        <v>3276</v>
      </c>
      <c r="B2232">
        <v>248</v>
      </c>
      <c r="C2232" t="s">
        <v>164</v>
      </c>
      <c r="D2232">
        <v>26858463</v>
      </c>
      <c r="E2232">
        <v>32204</v>
      </c>
      <c r="F2232">
        <v>25302</v>
      </c>
    </row>
    <row r="2233" spans="1:6">
      <c r="A2233" t="s">
        <v>3277</v>
      </c>
      <c r="B2233">
        <v>248</v>
      </c>
      <c r="C2233" t="s">
        <v>651</v>
      </c>
      <c r="D2233">
        <v>13429232</v>
      </c>
      <c r="E2233">
        <v>32204</v>
      </c>
      <c r="F2233">
        <v>25302</v>
      </c>
    </row>
    <row r="2234" spans="1:6">
      <c r="A2234" t="s">
        <v>3278</v>
      </c>
      <c r="B2234">
        <v>249</v>
      </c>
      <c r="C2234" t="s">
        <v>154</v>
      </c>
      <c r="D2234">
        <v>290092</v>
      </c>
      <c r="E2234">
        <v>29249</v>
      </c>
      <c r="F2234">
        <v>25433</v>
      </c>
    </row>
    <row r="2235" spans="1:6">
      <c r="A2235" t="s">
        <v>3279</v>
      </c>
      <c r="B2235">
        <v>249</v>
      </c>
      <c r="C2235" t="s">
        <v>1043</v>
      </c>
      <c r="D2235">
        <v>870276</v>
      </c>
      <c r="E2235">
        <v>29249</v>
      </c>
      <c r="F2235">
        <v>25433</v>
      </c>
    </row>
    <row r="2236" spans="1:6">
      <c r="A2236" t="s">
        <v>3280</v>
      </c>
      <c r="B2236">
        <v>249</v>
      </c>
      <c r="C2236" t="s">
        <v>1045</v>
      </c>
      <c r="D2236">
        <v>522166</v>
      </c>
      <c r="E2236">
        <v>29249</v>
      </c>
      <c r="F2236">
        <v>25433</v>
      </c>
    </row>
    <row r="2237" spans="1:6">
      <c r="A2237" t="s">
        <v>3281</v>
      </c>
      <c r="B2237">
        <v>249</v>
      </c>
      <c r="C2237" t="s">
        <v>1047</v>
      </c>
      <c r="D2237">
        <v>145046</v>
      </c>
      <c r="E2237">
        <v>29249</v>
      </c>
      <c r="F2237">
        <v>25433</v>
      </c>
    </row>
    <row r="2238" spans="1:6">
      <c r="A2238" t="s">
        <v>3282</v>
      </c>
      <c r="B2238">
        <v>249</v>
      </c>
      <c r="C2238" t="s">
        <v>1049</v>
      </c>
      <c r="D2238">
        <v>43514</v>
      </c>
      <c r="E2238">
        <v>29249</v>
      </c>
      <c r="F2238">
        <v>25433</v>
      </c>
    </row>
    <row r="2239" spans="1:6">
      <c r="A2239" t="s">
        <v>3283</v>
      </c>
      <c r="B2239">
        <v>249</v>
      </c>
      <c r="C2239" t="s">
        <v>745</v>
      </c>
      <c r="D2239">
        <v>1160368</v>
      </c>
      <c r="E2239">
        <v>29249</v>
      </c>
      <c r="F2239">
        <v>25433</v>
      </c>
    </row>
    <row r="2240" spans="1:6">
      <c r="A2240" t="s">
        <v>3284</v>
      </c>
      <c r="B2240">
        <v>249</v>
      </c>
      <c r="C2240" t="s">
        <v>1052</v>
      </c>
      <c r="D2240">
        <v>2610828</v>
      </c>
      <c r="E2240">
        <v>29249</v>
      </c>
      <c r="F2240">
        <v>25433</v>
      </c>
    </row>
    <row r="2241" spans="1:6">
      <c r="A2241" t="s">
        <v>3285</v>
      </c>
      <c r="B2241">
        <v>249</v>
      </c>
      <c r="C2241" t="s">
        <v>164</v>
      </c>
      <c r="D2241">
        <v>27164560</v>
      </c>
      <c r="E2241">
        <v>32446</v>
      </c>
      <c r="F2241">
        <v>25433</v>
      </c>
    </row>
    <row r="2242" spans="1:6">
      <c r="A2242" t="s">
        <v>3286</v>
      </c>
      <c r="B2242">
        <v>249</v>
      </c>
      <c r="C2242" t="s">
        <v>651</v>
      </c>
      <c r="D2242">
        <v>13582280</v>
      </c>
      <c r="E2242">
        <v>32446</v>
      </c>
      <c r="F2242">
        <v>25433</v>
      </c>
    </row>
    <row r="2243" spans="1:6">
      <c r="A2243" t="s">
        <v>3287</v>
      </c>
      <c r="B2243">
        <v>250</v>
      </c>
      <c r="C2243" t="s">
        <v>154</v>
      </c>
      <c r="D2243">
        <v>293162</v>
      </c>
      <c r="E2243">
        <v>29477</v>
      </c>
      <c r="F2243">
        <v>25563</v>
      </c>
    </row>
    <row r="2244" spans="1:6">
      <c r="A2244" t="s">
        <v>3288</v>
      </c>
      <c r="B2244">
        <v>250</v>
      </c>
      <c r="C2244" t="s">
        <v>1043</v>
      </c>
      <c r="D2244">
        <v>879486</v>
      </c>
      <c r="E2244">
        <v>29477</v>
      </c>
      <c r="F2244">
        <v>25563</v>
      </c>
    </row>
    <row r="2245" spans="1:6">
      <c r="A2245" t="s">
        <v>3289</v>
      </c>
      <c r="B2245">
        <v>250</v>
      </c>
      <c r="C2245" t="s">
        <v>1045</v>
      </c>
      <c r="D2245">
        <v>527692</v>
      </c>
      <c r="E2245">
        <v>29477</v>
      </c>
      <c r="F2245">
        <v>25563</v>
      </c>
    </row>
    <row r="2246" spans="1:6">
      <c r="A2246" t="s">
        <v>3290</v>
      </c>
      <c r="B2246">
        <v>250</v>
      </c>
      <c r="C2246" t="s">
        <v>1047</v>
      </c>
      <c r="D2246">
        <v>146581</v>
      </c>
      <c r="E2246">
        <v>29477</v>
      </c>
      <c r="F2246">
        <v>25563</v>
      </c>
    </row>
    <row r="2247" spans="1:6">
      <c r="A2247" t="s">
        <v>3291</v>
      </c>
      <c r="B2247">
        <v>250</v>
      </c>
      <c r="C2247" t="s">
        <v>1049</v>
      </c>
      <c r="D2247">
        <v>43975</v>
      </c>
      <c r="E2247">
        <v>29477</v>
      </c>
      <c r="F2247">
        <v>25563</v>
      </c>
    </row>
    <row r="2248" spans="1:6">
      <c r="A2248" t="s">
        <v>3292</v>
      </c>
      <c r="B2248">
        <v>250</v>
      </c>
      <c r="C2248" t="s">
        <v>745</v>
      </c>
      <c r="D2248">
        <v>1172648</v>
      </c>
      <c r="E2248">
        <v>29477</v>
      </c>
      <c r="F2248">
        <v>25563</v>
      </c>
    </row>
    <row r="2249" spans="1:6">
      <c r="A2249" t="s">
        <v>3293</v>
      </c>
      <c r="B2249">
        <v>250</v>
      </c>
      <c r="C2249" t="s">
        <v>1052</v>
      </c>
      <c r="D2249">
        <v>2638458</v>
      </c>
      <c r="E2249">
        <v>29477</v>
      </c>
      <c r="F2249">
        <v>25563</v>
      </c>
    </row>
    <row r="2250" spans="1:6">
      <c r="A2250" t="s">
        <v>3294</v>
      </c>
      <c r="B2250">
        <v>250</v>
      </c>
      <c r="C2250" t="s">
        <v>164</v>
      </c>
      <c r="D2250">
        <v>27473258</v>
      </c>
      <c r="E2250">
        <v>32690</v>
      </c>
      <c r="F2250">
        <v>25563</v>
      </c>
    </row>
    <row r="2251" spans="1:6">
      <c r="A2251" t="s">
        <v>3295</v>
      </c>
      <c r="B2251">
        <v>250</v>
      </c>
      <c r="C2251" t="s">
        <v>651</v>
      </c>
      <c r="D2251">
        <v>13736629</v>
      </c>
      <c r="E2251">
        <v>32690</v>
      </c>
      <c r="F2251">
        <v>25563</v>
      </c>
    </row>
    <row r="2252" spans="1:6">
      <c r="A2252" t="s">
        <v>3296</v>
      </c>
      <c r="B2252">
        <v>251</v>
      </c>
      <c r="C2252" t="s">
        <v>154</v>
      </c>
      <c r="D2252">
        <v>296256</v>
      </c>
      <c r="E2252">
        <v>29707</v>
      </c>
      <c r="F2252">
        <v>25694</v>
      </c>
    </row>
    <row r="2253" spans="1:6">
      <c r="A2253" t="s">
        <v>3297</v>
      </c>
      <c r="B2253">
        <v>251</v>
      </c>
      <c r="C2253" t="s">
        <v>1043</v>
      </c>
      <c r="D2253">
        <v>888768</v>
      </c>
      <c r="E2253">
        <v>29707</v>
      </c>
      <c r="F2253">
        <v>25694</v>
      </c>
    </row>
    <row r="2254" spans="1:6">
      <c r="A2254" t="s">
        <v>3298</v>
      </c>
      <c r="B2254">
        <v>251</v>
      </c>
      <c r="C2254" t="s">
        <v>1045</v>
      </c>
      <c r="D2254">
        <v>533261</v>
      </c>
      <c r="E2254">
        <v>29707</v>
      </c>
      <c r="F2254">
        <v>25694</v>
      </c>
    </row>
    <row r="2255" spans="1:6">
      <c r="A2255" t="s">
        <v>3299</v>
      </c>
      <c r="B2255">
        <v>251</v>
      </c>
      <c r="C2255" t="s">
        <v>1047</v>
      </c>
      <c r="D2255">
        <v>148128</v>
      </c>
      <c r="E2255">
        <v>29707</v>
      </c>
      <c r="F2255">
        <v>25694</v>
      </c>
    </row>
    <row r="2256" spans="1:6">
      <c r="A2256" t="s">
        <v>3300</v>
      </c>
      <c r="B2256">
        <v>251</v>
      </c>
      <c r="C2256" t="s">
        <v>1049</v>
      </c>
      <c r="D2256">
        <v>44439</v>
      </c>
      <c r="E2256">
        <v>29707</v>
      </c>
      <c r="F2256">
        <v>25694</v>
      </c>
    </row>
    <row r="2257" spans="1:6">
      <c r="A2257" t="s">
        <v>3301</v>
      </c>
      <c r="B2257">
        <v>251</v>
      </c>
      <c r="C2257" t="s">
        <v>745</v>
      </c>
      <c r="D2257">
        <v>1185024</v>
      </c>
      <c r="E2257">
        <v>29707</v>
      </c>
      <c r="F2257">
        <v>25694</v>
      </c>
    </row>
    <row r="2258" spans="1:6">
      <c r="A2258" t="s">
        <v>3302</v>
      </c>
      <c r="B2258">
        <v>251</v>
      </c>
      <c r="C2258" t="s">
        <v>1052</v>
      </c>
      <c r="D2258">
        <v>2666304</v>
      </c>
      <c r="E2258">
        <v>29707</v>
      </c>
      <c r="F2258">
        <v>25694</v>
      </c>
    </row>
    <row r="2259" spans="1:6">
      <c r="A2259" t="s">
        <v>3303</v>
      </c>
      <c r="B2259">
        <v>251</v>
      </c>
      <c r="C2259" t="s">
        <v>164</v>
      </c>
      <c r="D2259">
        <v>27784609</v>
      </c>
      <c r="E2259">
        <v>32935</v>
      </c>
      <c r="F2259">
        <v>25694</v>
      </c>
    </row>
    <row r="2260" spans="1:6">
      <c r="A2260" t="s">
        <v>3304</v>
      </c>
      <c r="B2260">
        <v>251</v>
      </c>
      <c r="C2260" t="s">
        <v>651</v>
      </c>
      <c r="D2260">
        <v>13892304</v>
      </c>
      <c r="E2260">
        <v>32935</v>
      </c>
      <c r="F2260">
        <v>25694</v>
      </c>
    </row>
    <row r="2261" spans="1:6">
      <c r="A2261" t="s">
        <v>3305</v>
      </c>
      <c r="B2261">
        <v>252</v>
      </c>
      <c r="C2261" t="s">
        <v>154</v>
      </c>
      <c r="D2261">
        <v>299375</v>
      </c>
      <c r="E2261">
        <v>29938</v>
      </c>
      <c r="F2261">
        <v>25825</v>
      </c>
    </row>
    <row r="2262" spans="1:6">
      <c r="A2262" t="s">
        <v>3306</v>
      </c>
      <c r="B2262">
        <v>252</v>
      </c>
      <c r="C2262" t="s">
        <v>1043</v>
      </c>
      <c r="D2262">
        <v>898125</v>
      </c>
      <c r="E2262">
        <v>29938</v>
      </c>
      <c r="F2262">
        <v>25825</v>
      </c>
    </row>
    <row r="2263" spans="1:6">
      <c r="A2263" t="s">
        <v>3307</v>
      </c>
      <c r="B2263">
        <v>252</v>
      </c>
      <c r="C2263" t="s">
        <v>1045</v>
      </c>
      <c r="D2263">
        <v>538875</v>
      </c>
      <c r="E2263">
        <v>29938</v>
      </c>
      <c r="F2263">
        <v>25825</v>
      </c>
    </row>
    <row r="2264" spans="1:6">
      <c r="A2264" t="s">
        <v>3308</v>
      </c>
      <c r="B2264">
        <v>252</v>
      </c>
      <c r="C2264" t="s">
        <v>1047</v>
      </c>
      <c r="D2264">
        <v>149688</v>
      </c>
      <c r="E2264">
        <v>29938</v>
      </c>
      <c r="F2264">
        <v>25825</v>
      </c>
    </row>
    <row r="2265" spans="1:6">
      <c r="A2265" t="s">
        <v>3309</v>
      </c>
      <c r="B2265">
        <v>252</v>
      </c>
      <c r="C2265" t="s">
        <v>1049</v>
      </c>
      <c r="D2265">
        <v>44907</v>
      </c>
      <c r="E2265">
        <v>29938</v>
      </c>
      <c r="F2265">
        <v>25825</v>
      </c>
    </row>
    <row r="2266" spans="1:6">
      <c r="A2266" t="s">
        <v>3310</v>
      </c>
      <c r="B2266">
        <v>252</v>
      </c>
      <c r="C2266" t="s">
        <v>745</v>
      </c>
      <c r="D2266">
        <v>1197500</v>
      </c>
      <c r="E2266">
        <v>29938</v>
      </c>
      <c r="F2266">
        <v>25825</v>
      </c>
    </row>
    <row r="2267" spans="1:6">
      <c r="A2267" t="s">
        <v>3311</v>
      </c>
      <c r="B2267">
        <v>252</v>
      </c>
      <c r="C2267" t="s">
        <v>1052</v>
      </c>
      <c r="D2267">
        <v>2694375</v>
      </c>
      <c r="E2267">
        <v>29938</v>
      </c>
      <c r="F2267">
        <v>25825</v>
      </c>
    </row>
    <row r="2268" spans="1:6">
      <c r="A2268" t="s">
        <v>3312</v>
      </c>
      <c r="B2268">
        <v>252</v>
      </c>
      <c r="C2268" t="s">
        <v>164</v>
      </c>
      <c r="D2268">
        <v>28098713</v>
      </c>
      <c r="E2268">
        <v>33181</v>
      </c>
      <c r="F2268">
        <v>25825</v>
      </c>
    </row>
    <row r="2269" spans="1:6">
      <c r="A2269" t="s">
        <v>3313</v>
      </c>
      <c r="B2269">
        <v>252</v>
      </c>
      <c r="C2269" t="s">
        <v>651</v>
      </c>
      <c r="D2269">
        <v>14049357</v>
      </c>
      <c r="E2269">
        <v>33181</v>
      </c>
      <c r="F2269">
        <v>25825</v>
      </c>
    </row>
    <row r="2270" spans="1:6">
      <c r="A2270" t="s">
        <v>3314</v>
      </c>
      <c r="B2270">
        <v>253</v>
      </c>
      <c r="C2270" t="s">
        <v>154</v>
      </c>
      <c r="D2270">
        <v>302519</v>
      </c>
      <c r="E2270">
        <v>30170</v>
      </c>
      <c r="F2270">
        <v>25956</v>
      </c>
    </row>
    <row r="2271" spans="1:6">
      <c r="A2271" t="s">
        <v>3315</v>
      </c>
      <c r="B2271">
        <v>253</v>
      </c>
      <c r="C2271" t="s">
        <v>1043</v>
      </c>
      <c r="D2271">
        <v>907557</v>
      </c>
      <c r="E2271">
        <v>30170</v>
      </c>
      <c r="F2271">
        <v>25956</v>
      </c>
    </row>
    <row r="2272" spans="1:6">
      <c r="A2272" t="s">
        <v>3316</v>
      </c>
      <c r="B2272">
        <v>253</v>
      </c>
      <c r="C2272" t="s">
        <v>1045</v>
      </c>
      <c r="D2272">
        <v>544535</v>
      </c>
      <c r="E2272">
        <v>30170</v>
      </c>
      <c r="F2272">
        <v>25956</v>
      </c>
    </row>
    <row r="2273" spans="1:6">
      <c r="A2273" t="s">
        <v>3317</v>
      </c>
      <c r="B2273">
        <v>253</v>
      </c>
      <c r="C2273" t="s">
        <v>1047</v>
      </c>
      <c r="D2273">
        <v>151260</v>
      </c>
      <c r="E2273">
        <v>30170</v>
      </c>
      <c r="F2273">
        <v>25956</v>
      </c>
    </row>
    <row r="2274" spans="1:6">
      <c r="A2274" t="s">
        <v>3318</v>
      </c>
      <c r="B2274">
        <v>253</v>
      </c>
      <c r="C2274" t="s">
        <v>1049</v>
      </c>
      <c r="D2274">
        <v>45378</v>
      </c>
      <c r="E2274">
        <v>30170</v>
      </c>
      <c r="F2274">
        <v>25956</v>
      </c>
    </row>
    <row r="2275" spans="1:6">
      <c r="A2275" t="s">
        <v>3319</v>
      </c>
      <c r="B2275">
        <v>253</v>
      </c>
      <c r="C2275" t="s">
        <v>745</v>
      </c>
      <c r="D2275">
        <v>1210076</v>
      </c>
      <c r="E2275">
        <v>30170</v>
      </c>
      <c r="F2275">
        <v>25956</v>
      </c>
    </row>
    <row r="2276" spans="1:6">
      <c r="A2276" t="s">
        <v>3320</v>
      </c>
      <c r="B2276">
        <v>253</v>
      </c>
      <c r="C2276" t="s">
        <v>1052</v>
      </c>
      <c r="D2276">
        <v>2722671</v>
      </c>
      <c r="E2276">
        <v>30170</v>
      </c>
      <c r="F2276">
        <v>25956</v>
      </c>
    </row>
    <row r="2277" spans="1:6">
      <c r="A2277" t="s">
        <v>3321</v>
      </c>
      <c r="B2277">
        <v>253</v>
      </c>
      <c r="C2277" t="s">
        <v>164</v>
      </c>
      <c r="D2277">
        <v>28415470</v>
      </c>
      <c r="E2277">
        <v>33428</v>
      </c>
      <c r="F2277">
        <v>25956</v>
      </c>
    </row>
    <row r="2278" spans="1:6">
      <c r="A2278" t="s">
        <v>3322</v>
      </c>
      <c r="B2278">
        <v>253</v>
      </c>
      <c r="C2278" t="s">
        <v>651</v>
      </c>
      <c r="D2278">
        <v>14207735</v>
      </c>
      <c r="E2278">
        <v>33428</v>
      </c>
      <c r="F2278">
        <v>25956</v>
      </c>
    </row>
    <row r="2279" spans="1:6">
      <c r="A2279" t="s">
        <v>3323</v>
      </c>
      <c r="B2279">
        <v>254</v>
      </c>
      <c r="C2279" t="s">
        <v>154</v>
      </c>
      <c r="D2279">
        <v>305688</v>
      </c>
      <c r="E2279">
        <v>30404</v>
      </c>
      <c r="F2279">
        <v>26088</v>
      </c>
    </row>
    <row r="2280" spans="1:6">
      <c r="A2280" t="s">
        <v>3324</v>
      </c>
      <c r="B2280">
        <v>254</v>
      </c>
      <c r="C2280" t="s">
        <v>1043</v>
      </c>
      <c r="D2280">
        <v>917064</v>
      </c>
      <c r="E2280">
        <v>30404</v>
      </c>
      <c r="F2280">
        <v>26088</v>
      </c>
    </row>
    <row r="2281" spans="1:6">
      <c r="A2281" t="s">
        <v>3325</v>
      </c>
      <c r="B2281">
        <v>254</v>
      </c>
      <c r="C2281" t="s">
        <v>1045</v>
      </c>
      <c r="D2281">
        <v>550239</v>
      </c>
      <c r="E2281">
        <v>30404</v>
      </c>
      <c r="F2281">
        <v>26088</v>
      </c>
    </row>
    <row r="2282" spans="1:6">
      <c r="A2282" t="s">
        <v>3326</v>
      </c>
      <c r="B2282">
        <v>254</v>
      </c>
      <c r="C2282" t="s">
        <v>1047</v>
      </c>
      <c r="D2282">
        <v>152844</v>
      </c>
      <c r="E2282">
        <v>30404</v>
      </c>
      <c r="F2282">
        <v>26088</v>
      </c>
    </row>
    <row r="2283" spans="1:6">
      <c r="A2283" t="s">
        <v>3327</v>
      </c>
      <c r="B2283">
        <v>254</v>
      </c>
      <c r="C2283" t="s">
        <v>1049</v>
      </c>
      <c r="D2283">
        <v>45854</v>
      </c>
      <c r="E2283">
        <v>30404</v>
      </c>
      <c r="F2283">
        <v>26088</v>
      </c>
    </row>
    <row r="2284" spans="1:6">
      <c r="A2284" t="s">
        <v>3328</v>
      </c>
      <c r="B2284">
        <v>254</v>
      </c>
      <c r="C2284" t="s">
        <v>745</v>
      </c>
      <c r="D2284">
        <v>1222752</v>
      </c>
      <c r="E2284">
        <v>30404</v>
      </c>
      <c r="F2284">
        <v>26088</v>
      </c>
    </row>
    <row r="2285" spans="1:6">
      <c r="A2285" t="s">
        <v>3329</v>
      </c>
      <c r="B2285">
        <v>254</v>
      </c>
      <c r="C2285" t="s">
        <v>1052</v>
      </c>
      <c r="D2285">
        <v>2751192</v>
      </c>
      <c r="E2285">
        <v>30404</v>
      </c>
      <c r="F2285">
        <v>26088</v>
      </c>
    </row>
    <row r="2286" spans="1:6">
      <c r="A2286" t="s">
        <v>3330</v>
      </c>
      <c r="B2286">
        <v>254</v>
      </c>
      <c r="C2286" t="s">
        <v>164</v>
      </c>
      <c r="D2286">
        <v>28734981</v>
      </c>
      <c r="E2286">
        <v>33677</v>
      </c>
      <c r="F2286">
        <v>26088</v>
      </c>
    </row>
    <row r="2287" spans="1:6">
      <c r="A2287" t="s">
        <v>3331</v>
      </c>
      <c r="B2287">
        <v>254</v>
      </c>
      <c r="C2287" t="s">
        <v>651</v>
      </c>
      <c r="D2287">
        <v>14367490</v>
      </c>
      <c r="E2287">
        <v>33677</v>
      </c>
      <c r="F2287">
        <v>26088</v>
      </c>
    </row>
    <row r="2288" spans="1:6">
      <c r="A2288" t="s">
        <v>3332</v>
      </c>
      <c r="B2288">
        <v>255</v>
      </c>
      <c r="C2288" t="s">
        <v>154</v>
      </c>
      <c r="D2288">
        <v>308881</v>
      </c>
      <c r="E2288">
        <v>30639</v>
      </c>
      <c r="F2288">
        <v>26219</v>
      </c>
    </row>
    <row r="2289" spans="1:6">
      <c r="A2289" t="s">
        <v>3333</v>
      </c>
      <c r="B2289">
        <v>255</v>
      </c>
      <c r="C2289" t="s">
        <v>1043</v>
      </c>
      <c r="D2289">
        <v>926643</v>
      </c>
      <c r="E2289">
        <v>30639</v>
      </c>
      <c r="F2289">
        <v>26219</v>
      </c>
    </row>
    <row r="2290" spans="1:6">
      <c r="A2290" t="s">
        <v>3334</v>
      </c>
      <c r="B2290">
        <v>255</v>
      </c>
      <c r="C2290" t="s">
        <v>1045</v>
      </c>
      <c r="D2290">
        <v>555986</v>
      </c>
      <c r="E2290">
        <v>30639</v>
      </c>
      <c r="F2290">
        <v>26219</v>
      </c>
    </row>
    <row r="2291" spans="1:6">
      <c r="A2291" t="s">
        <v>3335</v>
      </c>
      <c r="B2291">
        <v>255</v>
      </c>
      <c r="C2291" t="s">
        <v>1047</v>
      </c>
      <c r="D2291">
        <v>154441</v>
      </c>
      <c r="E2291">
        <v>30639</v>
      </c>
      <c r="F2291">
        <v>26219</v>
      </c>
    </row>
    <row r="2292" spans="1:6">
      <c r="A2292" t="s">
        <v>3336</v>
      </c>
      <c r="B2292">
        <v>255</v>
      </c>
      <c r="C2292" t="s">
        <v>1049</v>
      </c>
      <c r="D2292">
        <v>46333</v>
      </c>
      <c r="E2292">
        <v>30639</v>
      </c>
      <c r="F2292">
        <v>26219</v>
      </c>
    </row>
    <row r="2293" spans="1:6">
      <c r="A2293" t="s">
        <v>3337</v>
      </c>
      <c r="B2293">
        <v>255</v>
      </c>
      <c r="C2293" t="s">
        <v>745</v>
      </c>
      <c r="D2293">
        <v>1235524</v>
      </c>
      <c r="E2293">
        <v>30639</v>
      </c>
      <c r="F2293">
        <v>26219</v>
      </c>
    </row>
    <row r="2294" spans="1:6">
      <c r="A2294" t="s">
        <v>3338</v>
      </c>
      <c r="B2294">
        <v>255</v>
      </c>
      <c r="C2294" t="s">
        <v>1052</v>
      </c>
      <c r="D2294">
        <v>2779929</v>
      </c>
      <c r="E2294">
        <v>30639</v>
      </c>
      <c r="F2294">
        <v>26219</v>
      </c>
    </row>
    <row r="2295" spans="1:6">
      <c r="A2295" t="s">
        <v>3339</v>
      </c>
      <c r="B2295">
        <v>255</v>
      </c>
      <c r="C2295" t="s">
        <v>164</v>
      </c>
      <c r="D2295">
        <v>29057246</v>
      </c>
      <c r="E2295">
        <v>33927</v>
      </c>
      <c r="F2295">
        <v>26219</v>
      </c>
    </row>
    <row r="2296" spans="1:6">
      <c r="A2296" t="s">
        <v>3340</v>
      </c>
      <c r="B2296">
        <v>255</v>
      </c>
      <c r="C2296" t="s">
        <v>651</v>
      </c>
      <c r="D2296">
        <v>14528623</v>
      </c>
      <c r="E2296">
        <v>33927</v>
      </c>
      <c r="F2296">
        <v>26219</v>
      </c>
    </row>
    <row r="2297" spans="1:6">
      <c r="A2297" t="s">
        <v>3341</v>
      </c>
      <c r="B2297">
        <v>256</v>
      </c>
      <c r="C2297" t="s">
        <v>154</v>
      </c>
      <c r="D2297">
        <v>312099</v>
      </c>
      <c r="E2297">
        <v>30876</v>
      </c>
      <c r="F2297">
        <v>26351</v>
      </c>
    </row>
    <row r="2298" spans="1:6">
      <c r="A2298" t="s">
        <v>3342</v>
      </c>
      <c r="B2298">
        <v>256</v>
      </c>
      <c r="C2298" t="s">
        <v>1043</v>
      </c>
      <c r="D2298">
        <v>936297</v>
      </c>
      <c r="E2298">
        <v>30876</v>
      </c>
      <c r="F2298">
        <v>26351</v>
      </c>
    </row>
    <row r="2299" spans="1:6">
      <c r="A2299" t="s">
        <v>3343</v>
      </c>
      <c r="B2299">
        <v>256</v>
      </c>
      <c r="C2299" t="s">
        <v>1045</v>
      </c>
      <c r="D2299">
        <v>561779</v>
      </c>
      <c r="E2299">
        <v>30876</v>
      </c>
      <c r="F2299">
        <v>26351</v>
      </c>
    </row>
    <row r="2300" spans="1:6">
      <c r="A2300" t="s">
        <v>3344</v>
      </c>
      <c r="B2300">
        <v>256</v>
      </c>
      <c r="C2300" t="s">
        <v>1047</v>
      </c>
      <c r="D2300">
        <v>156050</v>
      </c>
      <c r="E2300">
        <v>30876</v>
      </c>
      <c r="F2300">
        <v>26351</v>
      </c>
    </row>
    <row r="2301" spans="1:6">
      <c r="A2301" t="s">
        <v>3345</v>
      </c>
      <c r="B2301">
        <v>256</v>
      </c>
      <c r="C2301" t="s">
        <v>1049</v>
      </c>
      <c r="D2301">
        <v>46815</v>
      </c>
      <c r="E2301">
        <v>30876</v>
      </c>
      <c r="F2301">
        <v>26351</v>
      </c>
    </row>
    <row r="2302" spans="1:6">
      <c r="A2302" t="s">
        <v>3346</v>
      </c>
      <c r="B2302">
        <v>256</v>
      </c>
      <c r="C2302" t="s">
        <v>745</v>
      </c>
      <c r="D2302">
        <v>1248396</v>
      </c>
      <c r="E2302">
        <v>30876</v>
      </c>
      <c r="F2302">
        <v>26351</v>
      </c>
    </row>
    <row r="2303" spans="1:6">
      <c r="A2303" t="s">
        <v>3347</v>
      </c>
      <c r="B2303">
        <v>256</v>
      </c>
      <c r="C2303" t="s">
        <v>1052</v>
      </c>
      <c r="D2303">
        <v>2808891</v>
      </c>
      <c r="E2303">
        <v>30876</v>
      </c>
      <c r="F2303">
        <v>26351</v>
      </c>
    </row>
    <row r="2304" spans="1:6">
      <c r="A2304" t="s">
        <v>3348</v>
      </c>
      <c r="B2304">
        <v>256</v>
      </c>
      <c r="C2304" t="s">
        <v>164</v>
      </c>
      <c r="D2304">
        <v>29382265</v>
      </c>
      <c r="E2304">
        <v>34179</v>
      </c>
      <c r="F2304">
        <v>26351</v>
      </c>
    </row>
    <row r="2305" spans="1:6">
      <c r="A2305" t="s">
        <v>3349</v>
      </c>
      <c r="B2305">
        <v>256</v>
      </c>
      <c r="C2305" t="s">
        <v>651</v>
      </c>
      <c r="D2305">
        <v>14691132</v>
      </c>
      <c r="E2305">
        <v>34179</v>
      </c>
      <c r="F2305">
        <v>26351</v>
      </c>
    </row>
    <row r="2306" spans="1:6">
      <c r="A2306" t="s">
        <v>3350</v>
      </c>
      <c r="B2306">
        <v>257</v>
      </c>
      <c r="C2306" t="s">
        <v>154</v>
      </c>
      <c r="D2306">
        <v>315343</v>
      </c>
      <c r="E2306">
        <v>31113</v>
      </c>
      <c r="F2306">
        <v>26484</v>
      </c>
    </row>
    <row r="2307" spans="1:6">
      <c r="A2307" t="s">
        <v>3351</v>
      </c>
      <c r="B2307">
        <v>257</v>
      </c>
      <c r="C2307" t="s">
        <v>1043</v>
      </c>
      <c r="D2307">
        <v>946029</v>
      </c>
      <c r="E2307">
        <v>31113</v>
      </c>
      <c r="F2307">
        <v>26484</v>
      </c>
    </row>
    <row r="2308" spans="1:6">
      <c r="A2308" t="s">
        <v>3352</v>
      </c>
      <c r="B2308">
        <v>257</v>
      </c>
      <c r="C2308" t="s">
        <v>1045</v>
      </c>
      <c r="D2308">
        <v>567618</v>
      </c>
      <c r="E2308">
        <v>31113</v>
      </c>
      <c r="F2308">
        <v>26484</v>
      </c>
    </row>
    <row r="2309" spans="1:6">
      <c r="A2309" t="s">
        <v>3353</v>
      </c>
      <c r="B2309">
        <v>257</v>
      </c>
      <c r="C2309" t="s">
        <v>1047</v>
      </c>
      <c r="D2309">
        <v>157672</v>
      </c>
      <c r="E2309">
        <v>31113</v>
      </c>
      <c r="F2309">
        <v>26484</v>
      </c>
    </row>
    <row r="2310" spans="1:6">
      <c r="A2310" t="s">
        <v>3354</v>
      </c>
      <c r="B2310">
        <v>257</v>
      </c>
      <c r="C2310" t="s">
        <v>1049</v>
      </c>
      <c r="D2310">
        <v>47302</v>
      </c>
      <c r="E2310">
        <v>31113</v>
      </c>
      <c r="F2310">
        <v>26484</v>
      </c>
    </row>
    <row r="2311" spans="1:6">
      <c r="A2311" t="s">
        <v>3355</v>
      </c>
      <c r="B2311">
        <v>257</v>
      </c>
      <c r="C2311" t="s">
        <v>745</v>
      </c>
      <c r="D2311">
        <v>1261372</v>
      </c>
      <c r="E2311">
        <v>31113</v>
      </c>
      <c r="F2311">
        <v>26484</v>
      </c>
    </row>
    <row r="2312" spans="1:6">
      <c r="A2312" t="s">
        <v>3356</v>
      </c>
      <c r="B2312">
        <v>257</v>
      </c>
      <c r="C2312" t="s">
        <v>1052</v>
      </c>
      <c r="D2312">
        <v>2838087</v>
      </c>
      <c r="E2312">
        <v>31113</v>
      </c>
      <c r="F2312">
        <v>26484</v>
      </c>
    </row>
    <row r="2313" spans="1:6">
      <c r="A2313" t="s">
        <v>3357</v>
      </c>
      <c r="B2313">
        <v>257</v>
      </c>
      <c r="C2313" t="s">
        <v>164</v>
      </c>
      <c r="D2313">
        <v>29710089</v>
      </c>
      <c r="E2313">
        <v>34431</v>
      </c>
      <c r="F2313">
        <v>26484</v>
      </c>
    </row>
    <row r="2314" spans="1:6">
      <c r="A2314" t="s">
        <v>3358</v>
      </c>
      <c r="B2314">
        <v>257</v>
      </c>
      <c r="C2314" t="s">
        <v>651</v>
      </c>
      <c r="D2314">
        <v>14855045</v>
      </c>
      <c r="E2314">
        <v>34431</v>
      </c>
      <c r="F2314">
        <v>26484</v>
      </c>
    </row>
    <row r="2315" spans="1:6">
      <c r="A2315" t="s">
        <v>3359</v>
      </c>
      <c r="B2315">
        <v>258</v>
      </c>
      <c r="C2315" t="s">
        <v>154</v>
      </c>
      <c r="D2315">
        <v>318612</v>
      </c>
      <c r="E2315">
        <v>31353</v>
      </c>
      <c r="F2315">
        <v>26616</v>
      </c>
    </row>
    <row r="2316" spans="1:6">
      <c r="A2316" t="s">
        <v>3360</v>
      </c>
      <c r="B2316">
        <v>258</v>
      </c>
      <c r="C2316" t="s">
        <v>1043</v>
      </c>
      <c r="D2316">
        <v>955836</v>
      </c>
      <c r="E2316">
        <v>31353</v>
      </c>
      <c r="F2316">
        <v>26616</v>
      </c>
    </row>
    <row r="2317" spans="1:6">
      <c r="A2317" t="s">
        <v>3361</v>
      </c>
      <c r="B2317">
        <v>258</v>
      </c>
      <c r="C2317" t="s">
        <v>1045</v>
      </c>
      <c r="D2317">
        <v>573502</v>
      </c>
      <c r="E2317">
        <v>31353</v>
      </c>
      <c r="F2317">
        <v>26616</v>
      </c>
    </row>
    <row r="2318" spans="1:6">
      <c r="A2318" t="s">
        <v>3362</v>
      </c>
      <c r="B2318">
        <v>258</v>
      </c>
      <c r="C2318" t="s">
        <v>1047</v>
      </c>
      <c r="D2318">
        <v>159306</v>
      </c>
      <c r="E2318">
        <v>31353</v>
      </c>
      <c r="F2318">
        <v>26616</v>
      </c>
    </row>
    <row r="2319" spans="1:6">
      <c r="A2319" t="s">
        <v>3363</v>
      </c>
      <c r="B2319">
        <v>258</v>
      </c>
      <c r="C2319" t="s">
        <v>1049</v>
      </c>
      <c r="D2319">
        <v>47792</v>
      </c>
      <c r="E2319">
        <v>31353</v>
      </c>
      <c r="F2319">
        <v>26616</v>
      </c>
    </row>
    <row r="2320" spans="1:6">
      <c r="A2320" t="s">
        <v>3364</v>
      </c>
      <c r="B2320">
        <v>258</v>
      </c>
      <c r="C2320" t="s">
        <v>745</v>
      </c>
      <c r="D2320">
        <v>1274448</v>
      </c>
      <c r="E2320">
        <v>31353</v>
      </c>
      <c r="F2320">
        <v>26616</v>
      </c>
    </row>
    <row r="2321" spans="1:6">
      <c r="A2321" t="s">
        <v>3365</v>
      </c>
      <c r="B2321">
        <v>258</v>
      </c>
      <c r="C2321" t="s">
        <v>1052</v>
      </c>
      <c r="D2321">
        <v>2867508</v>
      </c>
      <c r="E2321">
        <v>31353</v>
      </c>
      <c r="F2321">
        <v>26616</v>
      </c>
    </row>
    <row r="2322" spans="1:6">
      <c r="A2322" t="s">
        <v>3366</v>
      </c>
      <c r="B2322">
        <v>258</v>
      </c>
      <c r="C2322" t="s">
        <v>164</v>
      </c>
      <c r="D2322">
        <v>30040668</v>
      </c>
      <c r="E2322">
        <v>34686</v>
      </c>
      <c r="F2322">
        <v>26616</v>
      </c>
    </row>
    <row r="2323" spans="1:6">
      <c r="A2323" t="s">
        <v>3367</v>
      </c>
      <c r="B2323">
        <v>258</v>
      </c>
      <c r="C2323" t="s">
        <v>651</v>
      </c>
      <c r="D2323">
        <v>15020334</v>
      </c>
      <c r="E2323">
        <v>34686</v>
      </c>
      <c r="F2323">
        <v>26616</v>
      </c>
    </row>
    <row r="2324" spans="1:6">
      <c r="A2324" t="s">
        <v>3368</v>
      </c>
      <c r="B2324">
        <v>259</v>
      </c>
      <c r="C2324" t="s">
        <v>154</v>
      </c>
      <c r="D2324">
        <v>321906</v>
      </c>
      <c r="E2324">
        <v>31592</v>
      </c>
      <c r="F2324">
        <v>26749</v>
      </c>
    </row>
    <row r="2325" spans="1:6">
      <c r="A2325" t="s">
        <v>3369</v>
      </c>
      <c r="B2325">
        <v>259</v>
      </c>
      <c r="C2325" t="s">
        <v>1043</v>
      </c>
      <c r="D2325">
        <v>965718</v>
      </c>
      <c r="E2325">
        <v>31592</v>
      </c>
      <c r="F2325">
        <v>26749</v>
      </c>
    </row>
    <row r="2326" spans="1:6">
      <c r="A2326" t="s">
        <v>3370</v>
      </c>
      <c r="B2326">
        <v>259</v>
      </c>
      <c r="C2326" t="s">
        <v>1045</v>
      </c>
      <c r="D2326">
        <v>579431</v>
      </c>
      <c r="E2326">
        <v>31592</v>
      </c>
      <c r="F2326">
        <v>26749</v>
      </c>
    </row>
    <row r="2327" spans="1:6">
      <c r="A2327" t="s">
        <v>3371</v>
      </c>
      <c r="B2327">
        <v>259</v>
      </c>
      <c r="C2327" t="s">
        <v>1047</v>
      </c>
      <c r="D2327">
        <v>160953</v>
      </c>
      <c r="E2327">
        <v>31592</v>
      </c>
      <c r="F2327">
        <v>26749</v>
      </c>
    </row>
    <row r="2328" spans="1:6">
      <c r="A2328" t="s">
        <v>3372</v>
      </c>
      <c r="B2328">
        <v>259</v>
      </c>
      <c r="C2328" t="s">
        <v>1049</v>
      </c>
      <c r="D2328">
        <v>48286</v>
      </c>
      <c r="E2328">
        <v>31592</v>
      </c>
      <c r="F2328">
        <v>26749</v>
      </c>
    </row>
    <row r="2329" spans="1:6">
      <c r="A2329" t="s">
        <v>3373</v>
      </c>
      <c r="B2329">
        <v>259</v>
      </c>
      <c r="C2329" t="s">
        <v>745</v>
      </c>
      <c r="D2329">
        <v>1287624</v>
      </c>
      <c r="E2329">
        <v>31592</v>
      </c>
      <c r="F2329">
        <v>26749</v>
      </c>
    </row>
    <row r="2330" spans="1:6">
      <c r="A2330" t="s">
        <v>3374</v>
      </c>
      <c r="B2330">
        <v>259</v>
      </c>
      <c r="C2330" t="s">
        <v>1052</v>
      </c>
      <c r="D2330">
        <v>2897154</v>
      </c>
      <c r="E2330">
        <v>31592</v>
      </c>
      <c r="F2330">
        <v>26749</v>
      </c>
    </row>
    <row r="2331" spans="1:6">
      <c r="A2331" t="s">
        <v>3375</v>
      </c>
      <c r="B2331">
        <v>259</v>
      </c>
      <c r="C2331" t="s">
        <v>164</v>
      </c>
      <c r="D2331">
        <v>30374102</v>
      </c>
      <c r="E2331">
        <v>34941</v>
      </c>
      <c r="F2331">
        <v>26749</v>
      </c>
    </row>
    <row r="2332" spans="1:6">
      <c r="A2332" t="s">
        <v>3376</v>
      </c>
      <c r="B2332">
        <v>259</v>
      </c>
      <c r="C2332" t="s">
        <v>651</v>
      </c>
      <c r="D2332">
        <v>15187051</v>
      </c>
      <c r="E2332">
        <v>34941</v>
      </c>
      <c r="F2332">
        <v>26749</v>
      </c>
    </row>
    <row r="2333" spans="1:6">
      <c r="A2333" t="s">
        <v>3377</v>
      </c>
      <c r="B2333">
        <v>260</v>
      </c>
      <c r="C2333" t="s">
        <v>154</v>
      </c>
      <c r="D2333">
        <v>325226</v>
      </c>
      <c r="E2333">
        <v>31834</v>
      </c>
      <c r="F2333">
        <v>26881</v>
      </c>
    </row>
    <row r="2334" spans="1:6">
      <c r="A2334" t="s">
        <v>3378</v>
      </c>
      <c r="B2334">
        <v>260</v>
      </c>
      <c r="C2334" t="s">
        <v>1043</v>
      </c>
      <c r="D2334">
        <v>975678</v>
      </c>
      <c r="E2334">
        <v>31834</v>
      </c>
      <c r="F2334">
        <v>26881</v>
      </c>
    </row>
    <row r="2335" spans="1:6">
      <c r="A2335" t="s">
        <v>3379</v>
      </c>
      <c r="B2335">
        <v>260</v>
      </c>
      <c r="C2335" t="s">
        <v>1045</v>
      </c>
      <c r="D2335">
        <v>585407</v>
      </c>
      <c r="E2335">
        <v>31834</v>
      </c>
      <c r="F2335">
        <v>26881</v>
      </c>
    </row>
    <row r="2336" spans="1:6">
      <c r="A2336" t="s">
        <v>3380</v>
      </c>
      <c r="B2336">
        <v>260</v>
      </c>
      <c r="C2336" t="s">
        <v>1047</v>
      </c>
      <c r="D2336">
        <v>162613</v>
      </c>
      <c r="E2336">
        <v>31834</v>
      </c>
      <c r="F2336">
        <v>26881</v>
      </c>
    </row>
    <row r="2337" spans="1:6">
      <c r="A2337" t="s">
        <v>3381</v>
      </c>
      <c r="B2337">
        <v>260</v>
      </c>
      <c r="C2337" t="s">
        <v>1049</v>
      </c>
      <c r="D2337">
        <v>48784</v>
      </c>
      <c r="E2337">
        <v>31834</v>
      </c>
      <c r="F2337">
        <v>26881</v>
      </c>
    </row>
    <row r="2338" spans="1:6">
      <c r="A2338" t="s">
        <v>3382</v>
      </c>
      <c r="B2338">
        <v>260</v>
      </c>
      <c r="C2338" t="s">
        <v>745</v>
      </c>
      <c r="D2338">
        <v>1300904</v>
      </c>
      <c r="E2338">
        <v>31834</v>
      </c>
      <c r="F2338">
        <v>26881</v>
      </c>
    </row>
    <row r="2339" spans="1:6">
      <c r="A2339" t="s">
        <v>3383</v>
      </c>
      <c r="B2339">
        <v>260</v>
      </c>
      <c r="C2339" t="s">
        <v>1052</v>
      </c>
      <c r="D2339">
        <v>2927034</v>
      </c>
      <c r="E2339">
        <v>31834</v>
      </c>
      <c r="F2339">
        <v>26881</v>
      </c>
    </row>
    <row r="2340" spans="1:6">
      <c r="A2340" t="s">
        <v>3384</v>
      </c>
      <c r="B2340">
        <v>260</v>
      </c>
      <c r="C2340" t="s">
        <v>164</v>
      </c>
      <c r="D2340">
        <v>30710342</v>
      </c>
      <c r="E2340">
        <v>35198</v>
      </c>
      <c r="F2340">
        <v>26881</v>
      </c>
    </row>
    <row r="2341" spans="1:6">
      <c r="A2341" t="s">
        <v>3385</v>
      </c>
      <c r="B2341">
        <v>260</v>
      </c>
      <c r="C2341" t="s">
        <v>651</v>
      </c>
      <c r="D2341">
        <v>15355171</v>
      </c>
      <c r="E2341">
        <v>35198</v>
      </c>
      <c r="F2341">
        <v>26881</v>
      </c>
    </row>
    <row r="2342" spans="1:6">
      <c r="A2342" t="s">
        <v>3386</v>
      </c>
      <c r="B2342">
        <v>261</v>
      </c>
      <c r="C2342" t="s">
        <v>154</v>
      </c>
      <c r="D2342">
        <v>328572</v>
      </c>
      <c r="E2342">
        <v>32077</v>
      </c>
      <c r="F2342">
        <v>27014</v>
      </c>
    </row>
    <row r="2343" spans="1:6">
      <c r="A2343" t="s">
        <v>3387</v>
      </c>
      <c r="B2343">
        <v>261</v>
      </c>
      <c r="C2343" t="s">
        <v>1043</v>
      </c>
      <c r="D2343">
        <v>985716</v>
      </c>
      <c r="E2343">
        <v>32077</v>
      </c>
      <c r="F2343">
        <v>27014</v>
      </c>
    </row>
    <row r="2344" spans="1:6">
      <c r="A2344" t="s">
        <v>3388</v>
      </c>
      <c r="B2344">
        <v>261</v>
      </c>
      <c r="C2344" t="s">
        <v>1045</v>
      </c>
      <c r="D2344">
        <v>591430</v>
      </c>
      <c r="E2344">
        <v>32077</v>
      </c>
      <c r="F2344">
        <v>27014</v>
      </c>
    </row>
    <row r="2345" spans="1:6">
      <c r="A2345" t="s">
        <v>3389</v>
      </c>
      <c r="B2345">
        <v>261</v>
      </c>
      <c r="C2345" t="s">
        <v>1047</v>
      </c>
      <c r="D2345">
        <v>164286</v>
      </c>
      <c r="E2345">
        <v>32077</v>
      </c>
      <c r="F2345">
        <v>27014</v>
      </c>
    </row>
    <row r="2346" spans="1:6">
      <c r="A2346" t="s">
        <v>3390</v>
      </c>
      <c r="B2346">
        <v>261</v>
      </c>
      <c r="C2346" t="s">
        <v>1049</v>
      </c>
      <c r="D2346">
        <v>49286</v>
      </c>
      <c r="E2346">
        <v>32077</v>
      </c>
      <c r="F2346">
        <v>27014</v>
      </c>
    </row>
    <row r="2347" spans="1:6">
      <c r="A2347" t="s">
        <v>3391</v>
      </c>
      <c r="B2347">
        <v>261</v>
      </c>
      <c r="C2347" t="s">
        <v>745</v>
      </c>
      <c r="D2347">
        <v>1314288</v>
      </c>
      <c r="E2347">
        <v>32077</v>
      </c>
      <c r="F2347">
        <v>27014</v>
      </c>
    </row>
    <row r="2348" spans="1:6">
      <c r="A2348" t="s">
        <v>3392</v>
      </c>
      <c r="B2348">
        <v>261</v>
      </c>
      <c r="C2348" t="s">
        <v>1052</v>
      </c>
      <c r="D2348">
        <v>2957148</v>
      </c>
      <c r="E2348">
        <v>32077</v>
      </c>
      <c r="F2348">
        <v>27014</v>
      </c>
    </row>
    <row r="2349" spans="1:6">
      <c r="A2349" t="s">
        <v>3393</v>
      </c>
      <c r="B2349">
        <v>261</v>
      </c>
      <c r="C2349" t="s">
        <v>164</v>
      </c>
      <c r="D2349">
        <v>31049438</v>
      </c>
      <c r="E2349">
        <v>35456</v>
      </c>
      <c r="F2349">
        <v>27014</v>
      </c>
    </row>
    <row r="2350" spans="1:6">
      <c r="A2350" t="s">
        <v>3394</v>
      </c>
      <c r="B2350">
        <v>261</v>
      </c>
      <c r="C2350" t="s">
        <v>651</v>
      </c>
      <c r="D2350">
        <v>15524719</v>
      </c>
      <c r="E2350">
        <v>35456</v>
      </c>
      <c r="F2350">
        <v>27014</v>
      </c>
    </row>
    <row r="2351" spans="1:6">
      <c r="A2351" t="s">
        <v>3395</v>
      </c>
      <c r="B2351">
        <v>262</v>
      </c>
      <c r="C2351" t="s">
        <v>154</v>
      </c>
      <c r="D2351">
        <v>331944</v>
      </c>
      <c r="E2351">
        <v>32322</v>
      </c>
      <c r="F2351">
        <v>27148</v>
      </c>
    </row>
    <row r="2352" spans="1:6">
      <c r="A2352" t="s">
        <v>3396</v>
      </c>
      <c r="B2352">
        <v>262</v>
      </c>
      <c r="C2352" t="s">
        <v>1043</v>
      </c>
      <c r="D2352">
        <v>995832</v>
      </c>
      <c r="E2352">
        <v>32322</v>
      </c>
      <c r="F2352">
        <v>27148</v>
      </c>
    </row>
    <row r="2353" spans="1:6">
      <c r="A2353" t="s">
        <v>3397</v>
      </c>
      <c r="B2353">
        <v>262</v>
      </c>
      <c r="C2353" t="s">
        <v>1045</v>
      </c>
      <c r="D2353">
        <v>597500</v>
      </c>
      <c r="E2353">
        <v>32322</v>
      </c>
      <c r="F2353">
        <v>27148</v>
      </c>
    </row>
    <row r="2354" spans="1:6">
      <c r="A2354" t="s">
        <v>3398</v>
      </c>
      <c r="B2354">
        <v>262</v>
      </c>
      <c r="C2354" t="s">
        <v>1047</v>
      </c>
      <c r="D2354">
        <v>165972</v>
      </c>
      <c r="E2354">
        <v>32322</v>
      </c>
      <c r="F2354">
        <v>27148</v>
      </c>
    </row>
    <row r="2355" spans="1:6">
      <c r="A2355" t="s">
        <v>3399</v>
      </c>
      <c r="B2355">
        <v>262</v>
      </c>
      <c r="C2355" t="s">
        <v>1049</v>
      </c>
      <c r="D2355">
        <v>49792</v>
      </c>
      <c r="E2355">
        <v>32322</v>
      </c>
      <c r="F2355">
        <v>27148</v>
      </c>
    </row>
    <row r="2356" spans="1:6">
      <c r="A2356" t="s">
        <v>3400</v>
      </c>
      <c r="B2356">
        <v>262</v>
      </c>
      <c r="C2356" t="s">
        <v>745</v>
      </c>
      <c r="D2356">
        <v>1327776</v>
      </c>
      <c r="E2356">
        <v>32322</v>
      </c>
      <c r="F2356">
        <v>27148</v>
      </c>
    </row>
    <row r="2357" spans="1:6">
      <c r="A2357" t="s">
        <v>3401</v>
      </c>
      <c r="B2357">
        <v>262</v>
      </c>
      <c r="C2357" t="s">
        <v>1052</v>
      </c>
      <c r="D2357">
        <v>2987496</v>
      </c>
      <c r="E2357">
        <v>32322</v>
      </c>
      <c r="F2357">
        <v>27148</v>
      </c>
    </row>
    <row r="2358" spans="1:6">
      <c r="A2358" t="s">
        <v>3402</v>
      </c>
      <c r="B2358">
        <v>262</v>
      </c>
      <c r="C2358" t="s">
        <v>164</v>
      </c>
      <c r="D2358">
        <v>31391441</v>
      </c>
      <c r="E2358">
        <v>35716</v>
      </c>
      <c r="F2358">
        <v>27148</v>
      </c>
    </row>
    <row r="2359" spans="1:6">
      <c r="A2359" t="s">
        <v>3403</v>
      </c>
      <c r="B2359">
        <v>262</v>
      </c>
      <c r="C2359" t="s">
        <v>651</v>
      </c>
      <c r="D2359">
        <v>15695720</v>
      </c>
      <c r="E2359">
        <v>35716</v>
      </c>
      <c r="F2359">
        <v>27148</v>
      </c>
    </row>
    <row r="2360" spans="1:6">
      <c r="A2360" t="s">
        <v>3404</v>
      </c>
      <c r="B2360">
        <v>263</v>
      </c>
      <c r="C2360" t="s">
        <v>154</v>
      </c>
      <c r="D2360">
        <v>335342</v>
      </c>
      <c r="E2360">
        <v>32567</v>
      </c>
      <c r="F2360">
        <v>27281</v>
      </c>
    </row>
    <row r="2361" spans="1:6">
      <c r="A2361" t="s">
        <v>3405</v>
      </c>
      <c r="B2361">
        <v>263</v>
      </c>
      <c r="C2361" t="s">
        <v>1043</v>
      </c>
      <c r="D2361">
        <v>1006026</v>
      </c>
      <c r="E2361">
        <v>32567</v>
      </c>
      <c r="F2361">
        <v>27281</v>
      </c>
    </row>
    <row r="2362" spans="1:6">
      <c r="A2362" t="s">
        <v>3406</v>
      </c>
      <c r="B2362">
        <v>263</v>
      </c>
      <c r="C2362" t="s">
        <v>1045</v>
      </c>
      <c r="D2362">
        <v>603616</v>
      </c>
      <c r="E2362">
        <v>32567</v>
      </c>
      <c r="F2362">
        <v>27281</v>
      </c>
    </row>
    <row r="2363" spans="1:6">
      <c r="A2363" t="s">
        <v>3407</v>
      </c>
      <c r="B2363">
        <v>263</v>
      </c>
      <c r="C2363" t="s">
        <v>1047</v>
      </c>
      <c r="D2363">
        <v>167671</v>
      </c>
      <c r="E2363">
        <v>32567</v>
      </c>
      <c r="F2363">
        <v>27281</v>
      </c>
    </row>
    <row r="2364" spans="1:6">
      <c r="A2364" t="s">
        <v>3408</v>
      </c>
      <c r="B2364">
        <v>263</v>
      </c>
      <c r="C2364" t="s">
        <v>1049</v>
      </c>
      <c r="D2364">
        <v>50302</v>
      </c>
      <c r="E2364">
        <v>32567</v>
      </c>
      <c r="F2364">
        <v>27281</v>
      </c>
    </row>
    <row r="2365" spans="1:6">
      <c r="A2365" t="s">
        <v>3409</v>
      </c>
      <c r="B2365">
        <v>263</v>
      </c>
      <c r="C2365" t="s">
        <v>745</v>
      </c>
      <c r="D2365">
        <v>1341368</v>
      </c>
      <c r="E2365">
        <v>32567</v>
      </c>
      <c r="F2365">
        <v>27281</v>
      </c>
    </row>
    <row r="2366" spans="1:6">
      <c r="A2366" t="s">
        <v>3410</v>
      </c>
      <c r="B2366">
        <v>263</v>
      </c>
      <c r="C2366" t="s">
        <v>1052</v>
      </c>
      <c r="D2366">
        <v>3018078</v>
      </c>
      <c r="E2366">
        <v>32567</v>
      </c>
      <c r="F2366">
        <v>27281</v>
      </c>
    </row>
    <row r="2367" spans="1:6">
      <c r="A2367" t="s">
        <v>3411</v>
      </c>
      <c r="B2367">
        <v>263</v>
      </c>
      <c r="C2367" t="s">
        <v>164</v>
      </c>
      <c r="D2367">
        <v>31736300</v>
      </c>
      <c r="E2367">
        <v>35977</v>
      </c>
      <c r="F2367">
        <v>27281</v>
      </c>
    </row>
    <row r="2368" spans="1:6">
      <c r="A2368" t="s">
        <v>3412</v>
      </c>
      <c r="B2368">
        <v>263</v>
      </c>
      <c r="C2368" t="s">
        <v>651</v>
      </c>
      <c r="D2368">
        <v>15868150</v>
      </c>
      <c r="E2368">
        <v>35977</v>
      </c>
      <c r="F2368">
        <v>27281</v>
      </c>
    </row>
    <row r="2369" spans="1:6">
      <c r="A2369" t="s">
        <v>3413</v>
      </c>
      <c r="B2369">
        <v>264</v>
      </c>
      <c r="C2369" t="s">
        <v>154</v>
      </c>
      <c r="D2369">
        <v>338766</v>
      </c>
      <c r="E2369">
        <v>32814</v>
      </c>
      <c r="F2369">
        <v>27415</v>
      </c>
    </row>
    <row r="2370" spans="1:6">
      <c r="A2370" t="s">
        <v>3414</v>
      </c>
      <c r="B2370">
        <v>264</v>
      </c>
      <c r="C2370" t="s">
        <v>1043</v>
      </c>
      <c r="D2370">
        <v>1016298</v>
      </c>
      <c r="E2370">
        <v>32814</v>
      </c>
      <c r="F2370">
        <v>27415</v>
      </c>
    </row>
    <row r="2371" spans="1:6">
      <c r="A2371" t="s">
        <v>3415</v>
      </c>
      <c r="B2371">
        <v>264</v>
      </c>
      <c r="C2371" t="s">
        <v>1045</v>
      </c>
      <c r="D2371">
        <v>609779</v>
      </c>
      <c r="E2371">
        <v>32814</v>
      </c>
      <c r="F2371">
        <v>27415</v>
      </c>
    </row>
    <row r="2372" spans="1:6">
      <c r="A2372" t="s">
        <v>3416</v>
      </c>
      <c r="B2372">
        <v>264</v>
      </c>
      <c r="C2372" t="s">
        <v>1047</v>
      </c>
      <c r="D2372">
        <v>169383</v>
      </c>
      <c r="E2372">
        <v>32814</v>
      </c>
      <c r="F2372">
        <v>27415</v>
      </c>
    </row>
    <row r="2373" spans="1:6">
      <c r="A2373" t="s">
        <v>3417</v>
      </c>
      <c r="B2373">
        <v>264</v>
      </c>
      <c r="C2373" t="s">
        <v>1049</v>
      </c>
      <c r="D2373">
        <v>50815</v>
      </c>
      <c r="E2373">
        <v>32814</v>
      </c>
      <c r="F2373">
        <v>27415</v>
      </c>
    </row>
    <row r="2374" spans="1:6">
      <c r="A2374" t="s">
        <v>3418</v>
      </c>
      <c r="B2374">
        <v>264</v>
      </c>
      <c r="C2374" t="s">
        <v>745</v>
      </c>
      <c r="D2374">
        <v>1355064</v>
      </c>
      <c r="E2374">
        <v>32814</v>
      </c>
      <c r="F2374">
        <v>27415</v>
      </c>
    </row>
    <row r="2375" spans="1:6">
      <c r="A2375" t="s">
        <v>3419</v>
      </c>
      <c r="B2375">
        <v>264</v>
      </c>
      <c r="C2375" t="s">
        <v>1052</v>
      </c>
      <c r="D2375">
        <v>3048894</v>
      </c>
      <c r="E2375">
        <v>32814</v>
      </c>
      <c r="F2375">
        <v>27415</v>
      </c>
    </row>
    <row r="2376" spans="1:6">
      <c r="A2376" t="s">
        <v>3420</v>
      </c>
      <c r="B2376">
        <v>264</v>
      </c>
      <c r="C2376" t="s">
        <v>164</v>
      </c>
      <c r="D2376">
        <v>32084117</v>
      </c>
      <c r="E2376">
        <v>36239</v>
      </c>
      <c r="F2376">
        <v>27415</v>
      </c>
    </row>
    <row r="2377" spans="1:6">
      <c r="A2377" t="s">
        <v>3421</v>
      </c>
      <c r="B2377">
        <v>264</v>
      </c>
      <c r="C2377" t="s">
        <v>651</v>
      </c>
      <c r="D2377">
        <v>16042058</v>
      </c>
      <c r="E2377">
        <v>36239</v>
      </c>
      <c r="F2377">
        <v>27415</v>
      </c>
    </row>
    <row r="2378" spans="1:6">
      <c r="A2378" t="s">
        <v>3422</v>
      </c>
      <c r="B2378">
        <v>265</v>
      </c>
      <c r="C2378" t="s">
        <v>154</v>
      </c>
      <c r="D2378">
        <v>342216</v>
      </c>
      <c r="E2378">
        <v>33063</v>
      </c>
      <c r="F2378">
        <v>27549</v>
      </c>
    </row>
    <row r="2379" spans="1:6">
      <c r="A2379" t="s">
        <v>3423</v>
      </c>
      <c r="B2379">
        <v>265</v>
      </c>
      <c r="C2379" t="s">
        <v>1043</v>
      </c>
      <c r="D2379">
        <v>1026648</v>
      </c>
      <c r="E2379">
        <v>33063</v>
      </c>
      <c r="F2379">
        <v>27549</v>
      </c>
    </row>
    <row r="2380" spans="1:6">
      <c r="A2380" t="s">
        <v>3424</v>
      </c>
      <c r="B2380">
        <v>265</v>
      </c>
      <c r="C2380" t="s">
        <v>1045</v>
      </c>
      <c r="D2380">
        <v>615989</v>
      </c>
      <c r="E2380">
        <v>33063</v>
      </c>
      <c r="F2380">
        <v>27549</v>
      </c>
    </row>
    <row r="2381" spans="1:6">
      <c r="A2381" t="s">
        <v>3425</v>
      </c>
      <c r="B2381">
        <v>265</v>
      </c>
      <c r="C2381" t="s">
        <v>1047</v>
      </c>
      <c r="D2381">
        <v>171108</v>
      </c>
      <c r="E2381">
        <v>33063</v>
      </c>
      <c r="F2381">
        <v>27549</v>
      </c>
    </row>
    <row r="2382" spans="1:6">
      <c r="A2382" t="s">
        <v>3426</v>
      </c>
      <c r="B2382">
        <v>265</v>
      </c>
      <c r="C2382" t="s">
        <v>1049</v>
      </c>
      <c r="D2382">
        <v>51333</v>
      </c>
      <c r="E2382">
        <v>33063</v>
      </c>
      <c r="F2382">
        <v>27549</v>
      </c>
    </row>
    <row r="2383" spans="1:6">
      <c r="A2383" t="s">
        <v>3427</v>
      </c>
      <c r="B2383">
        <v>265</v>
      </c>
      <c r="C2383" t="s">
        <v>745</v>
      </c>
      <c r="D2383">
        <v>1368864</v>
      </c>
      <c r="E2383">
        <v>33063</v>
      </c>
      <c r="F2383">
        <v>27549</v>
      </c>
    </row>
    <row r="2384" spans="1:6">
      <c r="A2384" t="s">
        <v>3428</v>
      </c>
      <c r="B2384">
        <v>265</v>
      </c>
      <c r="C2384" t="s">
        <v>1052</v>
      </c>
      <c r="D2384">
        <v>3079944</v>
      </c>
      <c r="E2384">
        <v>33063</v>
      </c>
      <c r="F2384">
        <v>27549</v>
      </c>
    </row>
    <row r="2385" spans="1:6">
      <c r="A2385" t="s">
        <v>3429</v>
      </c>
      <c r="B2385">
        <v>265</v>
      </c>
      <c r="C2385" t="s">
        <v>164</v>
      </c>
      <c r="D2385">
        <v>32434841</v>
      </c>
      <c r="E2385">
        <v>36503</v>
      </c>
      <c r="F2385">
        <v>27549</v>
      </c>
    </row>
    <row r="2386" spans="1:6">
      <c r="A2386" t="s">
        <v>3430</v>
      </c>
      <c r="B2386">
        <v>265</v>
      </c>
      <c r="C2386" t="s">
        <v>651</v>
      </c>
      <c r="D2386">
        <v>16217421</v>
      </c>
      <c r="E2386">
        <v>36503</v>
      </c>
      <c r="F2386">
        <v>27549</v>
      </c>
    </row>
    <row r="2387" spans="1:6">
      <c r="A2387" t="s">
        <v>3431</v>
      </c>
      <c r="B2387">
        <v>266</v>
      </c>
      <c r="C2387" t="s">
        <v>154</v>
      </c>
      <c r="D2387">
        <v>345693</v>
      </c>
      <c r="E2387">
        <v>33312</v>
      </c>
      <c r="F2387">
        <v>27683</v>
      </c>
    </row>
    <row r="2388" spans="1:6">
      <c r="A2388" t="s">
        <v>3432</v>
      </c>
      <c r="B2388">
        <v>266</v>
      </c>
      <c r="C2388" t="s">
        <v>1043</v>
      </c>
      <c r="D2388">
        <v>1037079</v>
      </c>
      <c r="E2388">
        <v>33312</v>
      </c>
      <c r="F2388">
        <v>27683</v>
      </c>
    </row>
    <row r="2389" spans="1:6">
      <c r="A2389" t="s">
        <v>3433</v>
      </c>
      <c r="B2389">
        <v>266</v>
      </c>
      <c r="C2389" t="s">
        <v>1045</v>
      </c>
      <c r="D2389">
        <v>622248</v>
      </c>
      <c r="E2389">
        <v>33312</v>
      </c>
      <c r="F2389">
        <v>27683</v>
      </c>
    </row>
    <row r="2390" spans="1:6">
      <c r="A2390" t="s">
        <v>3434</v>
      </c>
      <c r="B2390">
        <v>266</v>
      </c>
      <c r="C2390" t="s">
        <v>1047</v>
      </c>
      <c r="D2390">
        <v>172847</v>
      </c>
      <c r="E2390">
        <v>33312</v>
      </c>
      <c r="F2390">
        <v>27683</v>
      </c>
    </row>
    <row r="2391" spans="1:6">
      <c r="A2391" t="s">
        <v>3435</v>
      </c>
      <c r="B2391">
        <v>266</v>
      </c>
      <c r="C2391" t="s">
        <v>1049</v>
      </c>
      <c r="D2391">
        <v>51854</v>
      </c>
      <c r="E2391">
        <v>33312</v>
      </c>
      <c r="F2391">
        <v>27683</v>
      </c>
    </row>
    <row r="2392" spans="1:6">
      <c r="A2392" t="s">
        <v>3436</v>
      </c>
      <c r="B2392">
        <v>266</v>
      </c>
      <c r="C2392" t="s">
        <v>745</v>
      </c>
      <c r="D2392">
        <v>1382772</v>
      </c>
      <c r="E2392">
        <v>33312</v>
      </c>
      <c r="F2392">
        <v>27683</v>
      </c>
    </row>
    <row r="2393" spans="1:6">
      <c r="A2393" t="s">
        <v>3437</v>
      </c>
      <c r="B2393">
        <v>266</v>
      </c>
      <c r="C2393" t="s">
        <v>1052</v>
      </c>
      <c r="D2393">
        <v>3111237</v>
      </c>
      <c r="E2393">
        <v>33312</v>
      </c>
      <c r="F2393">
        <v>27683</v>
      </c>
    </row>
    <row r="2394" spans="1:6">
      <c r="A2394" t="s">
        <v>3438</v>
      </c>
      <c r="B2394">
        <v>266</v>
      </c>
      <c r="C2394" t="s">
        <v>164</v>
      </c>
      <c r="D2394">
        <v>32788473</v>
      </c>
      <c r="E2394">
        <v>36768</v>
      </c>
      <c r="F2394">
        <v>27683</v>
      </c>
    </row>
    <row r="2395" spans="1:6">
      <c r="A2395" t="s">
        <v>3439</v>
      </c>
      <c r="B2395">
        <v>266</v>
      </c>
      <c r="C2395" t="s">
        <v>651</v>
      </c>
      <c r="D2395">
        <v>16394236</v>
      </c>
      <c r="E2395">
        <v>36768</v>
      </c>
      <c r="F2395">
        <v>27683</v>
      </c>
    </row>
    <row r="2396" spans="1:6">
      <c r="A2396" t="s">
        <v>3440</v>
      </c>
      <c r="B2396">
        <v>267</v>
      </c>
      <c r="C2396" t="s">
        <v>154</v>
      </c>
      <c r="D2396">
        <v>349196</v>
      </c>
      <c r="E2396">
        <v>33564</v>
      </c>
      <c r="F2396">
        <v>27818</v>
      </c>
    </row>
    <row r="2397" spans="1:6">
      <c r="A2397" t="s">
        <v>3441</v>
      </c>
      <c r="B2397">
        <v>267</v>
      </c>
      <c r="C2397" t="s">
        <v>1043</v>
      </c>
      <c r="D2397">
        <v>1047588</v>
      </c>
      <c r="E2397">
        <v>33564</v>
      </c>
      <c r="F2397">
        <v>27818</v>
      </c>
    </row>
    <row r="2398" spans="1:6">
      <c r="A2398" t="s">
        <v>3442</v>
      </c>
      <c r="B2398">
        <v>267</v>
      </c>
      <c r="C2398" t="s">
        <v>1045</v>
      </c>
      <c r="D2398">
        <v>628553</v>
      </c>
      <c r="E2398">
        <v>33564</v>
      </c>
      <c r="F2398">
        <v>27818</v>
      </c>
    </row>
    <row r="2399" spans="1:6">
      <c r="A2399" t="s">
        <v>3443</v>
      </c>
      <c r="B2399">
        <v>267</v>
      </c>
      <c r="C2399" t="s">
        <v>1047</v>
      </c>
      <c r="D2399">
        <v>174598</v>
      </c>
      <c r="E2399">
        <v>33564</v>
      </c>
      <c r="F2399">
        <v>27818</v>
      </c>
    </row>
    <row r="2400" spans="1:6">
      <c r="A2400" t="s">
        <v>3444</v>
      </c>
      <c r="B2400">
        <v>267</v>
      </c>
      <c r="C2400" t="s">
        <v>1049</v>
      </c>
      <c r="D2400">
        <v>52380</v>
      </c>
      <c r="E2400">
        <v>33564</v>
      </c>
      <c r="F2400">
        <v>27818</v>
      </c>
    </row>
    <row r="2401" spans="1:6">
      <c r="A2401" t="s">
        <v>3445</v>
      </c>
      <c r="B2401">
        <v>267</v>
      </c>
      <c r="C2401" t="s">
        <v>745</v>
      </c>
      <c r="D2401">
        <v>1396784</v>
      </c>
      <c r="E2401">
        <v>33564</v>
      </c>
      <c r="F2401">
        <v>27818</v>
      </c>
    </row>
    <row r="2402" spans="1:6">
      <c r="A2402" t="s">
        <v>3446</v>
      </c>
      <c r="B2402">
        <v>267</v>
      </c>
      <c r="C2402" t="s">
        <v>1052</v>
      </c>
      <c r="D2402">
        <v>3142764</v>
      </c>
      <c r="E2402">
        <v>33564</v>
      </c>
      <c r="F2402">
        <v>27818</v>
      </c>
    </row>
    <row r="2403" spans="1:6">
      <c r="A2403" t="s">
        <v>3447</v>
      </c>
      <c r="B2403">
        <v>267</v>
      </c>
      <c r="C2403" t="s">
        <v>164</v>
      </c>
      <c r="D2403">
        <v>33145113</v>
      </c>
      <c r="E2403">
        <v>37035</v>
      </c>
      <c r="F2403">
        <v>27818</v>
      </c>
    </row>
    <row r="2404" spans="1:6">
      <c r="A2404" t="s">
        <v>3448</v>
      </c>
      <c r="B2404">
        <v>267</v>
      </c>
      <c r="C2404" t="s">
        <v>651</v>
      </c>
      <c r="D2404">
        <v>16572557</v>
      </c>
      <c r="E2404">
        <v>37035</v>
      </c>
      <c r="F2404">
        <v>27818</v>
      </c>
    </row>
    <row r="2405" spans="1:6">
      <c r="A2405" t="s">
        <v>3449</v>
      </c>
      <c r="B2405">
        <v>268</v>
      </c>
      <c r="C2405" t="s">
        <v>154</v>
      </c>
      <c r="D2405">
        <v>352727</v>
      </c>
      <c r="E2405">
        <v>33817</v>
      </c>
      <c r="F2405">
        <v>27952</v>
      </c>
    </row>
    <row r="2406" spans="1:6">
      <c r="A2406" t="s">
        <v>3450</v>
      </c>
      <c r="B2406">
        <v>268</v>
      </c>
      <c r="C2406" t="s">
        <v>1043</v>
      </c>
      <c r="D2406">
        <v>1058181</v>
      </c>
      <c r="E2406">
        <v>33817</v>
      </c>
      <c r="F2406">
        <v>27952</v>
      </c>
    </row>
    <row r="2407" spans="1:6">
      <c r="A2407" t="s">
        <v>3451</v>
      </c>
      <c r="B2407">
        <v>268</v>
      </c>
      <c r="C2407" t="s">
        <v>1045</v>
      </c>
      <c r="D2407">
        <v>634909</v>
      </c>
      <c r="E2407">
        <v>33817</v>
      </c>
      <c r="F2407">
        <v>27952</v>
      </c>
    </row>
    <row r="2408" spans="1:6">
      <c r="A2408" t="s">
        <v>3452</v>
      </c>
      <c r="B2408">
        <v>268</v>
      </c>
      <c r="C2408" t="s">
        <v>1047</v>
      </c>
      <c r="D2408">
        <v>176364</v>
      </c>
      <c r="E2408">
        <v>33817</v>
      </c>
      <c r="F2408">
        <v>27952</v>
      </c>
    </row>
    <row r="2409" spans="1:6">
      <c r="A2409" t="s">
        <v>3453</v>
      </c>
      <c r="B2409">
        <v>268</v>
      </c>
      <c r="C2409" t="s">
        <v>1049</v>
      </c>
      <c r="D2409">
        <v>52910</v>
      </c>
      <c r="E2409">
        <v>33817</v>
      </c>
      <c r="F2409">
        <v>27952</v>
      </c>
    </row>
    <row r="2410" spans="1:6">
      <c r="A2410" t="s">
        <v>3454</v>
      </c>
      <c r="B2410">
        <v>268</v>
      </c>
      <c r="C2410" t="s">
        <v>745</v>
      </c>
      <c r="D2410">
        <v>1410908</v>
      </c>
      <c r="E2410">
        <v>33817</v>
      </c>
      <c r="F2410">
        <v>27952</v>
      </c>
    </row>
    <row r="2411" spans="1:6">
      <c r="A2411" t="s">
        <v>3455</v>
      </c>
      <c r="B2411">
        <v>268</v>
      </c>
      <c r="C2411" t="s">
        <v>1052</v>
      </c>
      <c r="D2411">
        <v>3174543</v>
      </c>
      <c r="E2411">
        <v>33817</v>
      </c>
      <c r="F2411">
        <v>27952</v>
      </c>
    </row>
    <row r="2412" spans="1:6">
      <c r="A2412" t="s">
        <v>3456</v>
      </c>
      <c r="B2412">
        <v>268</v>
      </c>
      <c r="C2412" t="s">
        <v>164</v>
      </c>
      <c r="D2412">
        <v>33504763</v>
      </c>
      <c r="E2412">
        <v>37303</v>
      </c>
      <c r="F2412">
        <v>27952</v>
      </c>
    </row>
    <row r="2413" spans="1:6">
      <c r="A2413" t="s">
        <v>3457</v>
      </c>
      <c r="B2413">
        <v>268</v>
      </c>
      <c r="C2413" t="s">
        <v>651</v>
      </c>
      <c r="D2413">
        <v>16752381</v>
      </c>
      <c r="E2413">
        <v>37303</v>
      </c>
      <c r="F2413">
        <v>27952</v>
      </c>
    </row>
    <row r="2414" spans="1:6">
      <c r="A2414" t="s">
        <v>3458</v>
      </c>
      <c r="B2414">
        <v>269</v>
      </c>
      <c r="C2414" t="s">
        <v>154</v>
      </c>
      <c r="D2414">
        <v>356284</v>
      </c>
      <c r="E2414">
        <v>34070</v>
      </c>
      <c r="F2414">
        <v>28087</v>
      </c>
    </row>
    <row r="2415" spans="1:6">
      <c r="A2415" t="s">
        <v>3459</v>
      </c>
      <c r="B2415">
        <v>269</v>
      </c>
      <c r="C2415" t="s">
        <v>1043</v>
      </c>
      <c r="D2415">
        <v>1068852</v>
      </c>
      <c r="E2415">
        <v>34070</v>
      </c>
      <c r="F2415">
        <v>28087</v>
      </c>
    </row>
    <row r="2416" spans="1:6">
      <c r="A2416" t="s">
        <v>3460</v>
      </c>
      <c r="B2416">
        <v>269</v>
      </c>
      <c r="C2416" t="s">
        <v>1045</v>
      </c>
      <c r="D2416">
        <v>641312</v>
      </c>
      <c r="E2416">
        <v>34070</v>
      </c>
      <c r="F2416">
        <v>28087</v>
      </c>
    </row>
    <row r="2417" spans="1:6">
      <c r="A2417" t="s">
        <v>3461</v>
      </c>
      <c r="B2417">
        <v>269</v>
      </c>
      <c r="C2417" t="s">
        <v>1047</v>
      </c>
      <c r="D2417">
        <v>178142</v>
      </c>
      <c r="E2417">
        <v>34070</v>
      </c>
      <c r="F2417">
        <v>28087</v>
      </c>
    </row>
    <row r="2418" spans="1:6">
      <c r="A2418" t="s">
        <v>3462</v>
      </c>
      <c r="B2418">
        <v>269</v>
      </c>
      <c r="C2418" t="s">
        <v>1049</v>
      </c>
      <c r="D2418">
        <v>53443</v>
      </c>
      <c r="E2418">
        <v>34070</v>
      </c>
      <c r="F2418">
        <v>28087</v>
      </c>
    </row>
    <row r="2419" spans="1:6">
      <c r="A2419" t="s">
        <v>3463</v>
      </c>
      <c r="B2419">
        <v>269</v>
      </c>
      <c r="C2419" t="s">
        <v>745</v>
      </c>
      <c r="D2419">
        <v>1425136</v>
      </c>
      <c r="E2419">
        <v>34070</v>
      </c>
      <c r="F2419">
        <v>28087</v>
      </c>
    </row>
    <row r="2420" spans="1:6">
      <c r="A2420" t="s">
        <v>3464</v>
      </c>
      <c r="B2420">
        <v>269</v>
      </c>
      <c r="C2420" t="s">
        <v>1052</v>
      </c>
      <c r="D2420">
        <v>3206556</v>
      </c>
      <c r="E2420">
        <v>34070</v>
      </c>
      <c r="F2420">
        <v>28087</v>
      </c>
    </row>
    <row r="2421" spans="1:6">
      <c r="A2421" t="s">
        <v>3465</v>
      </c>
      <c r="B2421">
        <v>269</v>
      </c>
      <c r="C2421" t="s">
        <v>164</v>
      </c>
      <c r="D2421">
        <v>33867370</v>
      </c>
      <c r="E2421">
        <v>37572</v>
      </c>
      <c r="F2421">
        <v>28087</v>
      </c>
    </row>
    <row r="2422" spans="1:6">
      <c r="A2422" t="s">
        <v>3466</v>
      </c>
      <c r="B2422">
        <v>269</v>
      </c>
      <c r="C2422" t="s">
        <v>651</v>
      </c>
      <c r="D2422">
        <v>16933685</v>
      </c>
      <c r="E2422">
        <v>37572</v>
      </c>
      <c r="F2422">
        <v>28087</v>
      </c>
    </row>
    <row r="2423" spans="1:6">
      <c r="A2423" t="s">
        <v>3467</v>
      </c>
      <c r="B2423">
        <v>270</v>
      </c>
      <c r="C2423" t="s">
        <v>154</v>
      </c>
      <c r="D2423">
        <v>359868</v>
      </c>
      <c r="E2423">
        <v>34326</v>
      </c>
      <c r="F2423">
        <v>28222</v>
      </c>
    </row>
    <row r="2424" spans="1:6">
      <c r="A2424" t="s">
        <v>3468</v>
      </c>
      <c r="B2424">
        <v>270</v>
      </c>
      <c r="C2424" t="s">
        <v>1043</v>
      </c>
      <c r="D2424">
        <v>1079604</v>
      </c>
      <c r="E2424">
        <v>34326</v>
      </c>
      <c r="F2424">
        <v>28222</v>
      </c>
    </row>
    <row r="2425" spans="1:6">
      <c r="A2425" t="s">
        <v>3469</v>
      </c>
      <c r="B2425">
        <v>270</v>
      </c>
      <c r="C2425" t="s">
        <v>1045</v>
      </c>
      <c r="D2425">
        <v>647763</v>
      </c>
      <c r="E2425">
        <v>34326</v>
      </c>
      <c r="F2425">
        <v>28222</v>
      </c>
    </row>
    <row r="2426" spans="1:6">
      <c r="A2426" t="s">
        <v>3470</v>
      </c>
      <c r="B2426">
        <v>270</v>
      </c>
      <c r="C2426" t="s">
        <v>1047</v>
      </c>
      <c r="D2426">
        <v>179934</v>
      </c>
      <c r="E2426">
        <v>34326</v>
      </c>
      <c r="F2426">
        <v>28222</v>
      </c>
    </row>
    <row r="2427" spans="1:6">
      <c r="A2427" t="s">
        <v>3471</v>
      </c>
      <c r="B2427">
        <v>270</v>
      </c>
      <c r="C2427" t="s">
        <v>1049</v>
      </c>
      <c r="D2427">
        <v>53981</v>
      </c>
      <c r="E2427">
        <v>34326</v>
      </c>
      <c r="F2427">
        <v>28222</v>
      </c>
    </row>
    <row r="2428" spans="1:6">
      <c r="A2428" t="s">
        <v>3472</v>
      </c>
      <c r="B2428">
        <v>270</v>
      </c>
      <c r="C2428" t="s">
        <v>745</v>
      </c>
      <c r="D2428">
        <v>1439472</v>
      </c>
      <c r="E2428">
        <v>34326</v>
      </c>
      <c r="F2428">
        <v>28222</v>
      </c>
    </row>
    <row r="2429" spans="1:6">
      <c r="A2429" t="s">
        <v>3473</v>
      </c>
      <c r="B2429">
        <v>270</v>
      </c>
      <c r="C2429" t="s">
        <v>1052</v>
      </c>
      <c r="D2429">
        <v>3238812</v>
      </c>
      <c r="E2429">
        <v>34326</v>
      </c>
      <c r="F2429">
        <v>28222</v>
      </c>
    </row>
    <row r="2430" spans="1:6">
      <c r="A2430" t="s">
        <v>3474</v>
      </c>
      <c r="B2430">
        <v>270</v>
      </c>
      <c r="C2430" t="s">
        <v>164</v>
      </c>
      <c r="D2430">
        <v>34233038</v>
      </c>
      <c r="E2430">
        <v>37843</v>
      </c>
      <c r="F2430">
        <v>28222</v>
      </c>
    </row>
    <row r="2431" spans="1:6">
      <c r="A2431" t="s">
        <v>3475</v>
      </c>
      <c r="B2431">
        <v>270</v>
      </c>
      <c r="C2431" t="s">
        <v>651</v>
      </c>
      <c r="D2431">
        <v>17116519</v>
      </c>
      <c r="E2431">
        <v>37843</v>
      </c>
      <c r="F2431">
        <v>28222</v>
      </c>
    </row>
    <row r="2432" spans="1:6">
      <c r="A2432" t="s">
        <v>3476</v>
      </c>
      <c r="B2432">
        <v>271</v>
      </c>
      <c r="C2432" t="s">
        <v>154</v>
      </c>
      <c r="D2432">
        <v>363480</v>
      </c>
      <c r="E2432">
        <v>34583</v>
      </c>
      <c r="F2432">
        <v>28358</v>
      </c>
    </row>
    <row r="2433" spans="1:6">
      <c r="A2433" t="s">
        <v>3477</v>
      </c>
      <c r="B2433">
        <v>271</v>
      </c>
      <c r="C2433" t="s">
        <v>1043</v>
      </c>
      <c r="D2433">
        <v>1090440</v>
      </c>
      <c r="E2433">
        <v>34583</v>
      </c>
      <c r="F2433">
        <v>28358</v>
      </c>
    </row>
    <row r="2434" spans="1:6">
      <c r="A2434" t="s">
        <v>3478</v>
      </c>
      <c r="B2434">
        <v>271</v>
      </c>
      <c r="C2434" t="s">
        <v>1045</v>
      </c>
      <c r="D2434">
        <v>654264</v>
      </c>
      <c r="E2434">
        <v>34583</v>
      </c>
      <c r="F2434">
        <v>28358</v>
      </c>
    </row>
    <row r="2435" spans="1:6">
      <c r="A2435" t="s">
        <v>3479</v>
      </c>
      <c r="B2435">
        <v>271</v>
      </c>
      <c r="C2435" t="s">
        <v>1047</v>
      </c>
      <c r="D2435">
        <v>181740</v>
      </c>
      <c r="E2435">
        <v>34583</v>
      </c>
      <c r="F2435">
        <v>28358</v>
      </c>
    </row>
    <row r="2436" spans="1:6">
      <c r="A2436" t="s">
        <v>3480</v>
      </c>
      <c r="B2436">
        <v>271</v>
      </c>
      <c r="C2436" t="s">
        <v>1049</v>
      </c>
      <c r="D2436">
        <v>54522</v>
      </c>
      <c r="E2436">
        <v>34583</v>
      </c>
      <c r="F2436">
        <v>28358</v>
      </c>
    </row>
    <row r="2437" spans="1:6">
      <c r="A2437" t="s">
        <v>3481</v>
      </c>
      <c r="B2437">
        <v>271</v>
      </c>
      <c r="C2437" t="s">
        <v>745</v>
      </c>
      <c r="D2437">
        <v>1453920</v>
      </c>
      <c r="E2437">
        <v>34583</v>
      </c>
      <c r="F2437">
        <v>28358</v>
      </c>
    </row>
    <row r="2438" spans="1:6">
      <c r="A2438" t="s">
        <v>3482</v>
      </c>
      <c r="B2438">
        <v>271</v>
      </c>
      <c r="C2438" t="s">
        <v>1052</v>
      </c>
      <c r="D2438">
        <v>3271320</v>
      </c>
      <c r="E2438">
        <v>34583</v>
      </c>
      <c r="F2438">
        <v>28358</v>
      </c>
    </row>
    <row r="2439" spans="1:6">
      <c r="A2439" t="s">
        <v>3483</v>
      </c>
      <c r="B2439">
        <v>271</v>
      </c>
      <c r="C2439" t="s">
        <v>164</v>
      </c>
      <c r="D2439">
        <v>34601715</v>
      </c>
      <c r="E2439">
        <v>38116</v>
      </c>
      <c r="F2439">
        <v>28358</v>
      </c>
    </row>
    <row r="2440" spans="1:6">
      <c r="A2440" t="s">
        <v>3484</v>
      </c>
      <c r="B2440">
        <v>271</v>
      </c>
      <c r="C2440" t="s">
        <v>651</v>
      </c>
      <c r="D2440">
        <v>17300858</v>
      </c>
      <c r="E2440">
        <v>38116</v>
      </c>
      <c r="F2440">
        <v>28358</v>
      </c>
    </row>
    <row r="2441" spans="1:6">
      <c r="A2441" t="s">
        <v>3485</v>
      </c>
      <c r="B2441">
        <v>272</v>
      </c>
      <c r="C2441" t="s">
        <v>154</v>
      </c>
      <c r="D2441">
        <v>367119</v>
      </c>
      <c r="E2441">
        <v>34841</v>
      </c>
      <c r="F2441">
        <v>28493</v>
      </c>
    </row>
    <row r="2442" spans="1:6">
      <c r="A2442" t="s">
        <v>3486</v>
      </c>
      <c r="B2442">
        <v>272</v>
      </c>
      <c r="C2442" t="s">
        <v>1043</v>
      </c>
      <c r="D2442">
        <v>1101357</v>
      </c>
      <c r="E2442">
        <v>34841</v>
      </c>
      <c r="F2442">
        <v>28493</v>
      </c>
    </row>
    <row r="2443" spans="1:6">
      <c r="A2443" t="s">
        <v>3487</v>
      </c>
      <c r="B2443">
        <v>272</v>
      </c>
      <c r="C2443" t="s">
        <v>1045</v>
      </c>
      <c r="D2443">
        <v>660815</v>
      </c>
      <c r="E2443">
        <v>34841</v>
      </c>
      <c r="F2443">
        <v>28493</v>
      </c>
    </row>
    <row r="2444" spans="1:6">
      <c r="A2444" t="s">
        <v>3488</v>
      </c>
      <c r="B2444">
        <v>272</v>
      </c>
      <c r="C2444" t="s">
        <v>1047</v>
      </c>
      <c r="D2444">
        <v>183560</v>
      </c>
      <c r="E2444">
        <v>34841</v>
      </c>
      <c r="F2444">
        <v>28493</v>
      </c>
    </row>
    <row r="2445" spans="1:6">
      <c r="A2445" t="s">
        <v>3489</v>
      </c>
      <c r="B2445">
        <v>272</v>
      </c>
      <c r="C2445" t="s">
        <v>1049</v>
      </c>
      <c r="D2445">
        <v>55068</v>
      </c>
      <c r="E2445">
        <v>34841</v>
      </c>
      <c r="F2445">
        <v>28493</v>
      </c>
    </row>
    <row r="2446" spans="1:6">
      <c r="A2446" t="s">
        <v>3490</v>
      </c>
      <c r="B2446">
        <v>272</v>
      </c>
      <c r="C2446" t="s">
        <v>745</v>
      </c>
      <c r="D2446">
        <v>1468476</v>
      </c>
      <c r="E2446">
        <v>34841</v>
      </c>
      <c r="F2446">
        <v>28493</v>
      </c>
    </row>
    <row r="2447" spans="1:6">
      <c r="A2447" t="s">
        <v>3491</v>
      </c>
      <c r="B2447">
        <v>272</v>
      </c>
      <c r="C2447" t="s">
        <v>1052</v>
      </c>
      <c r="D2447">
        <v>3304071</v>
      </c>
      <c r="E2447">
        <v>34841</v>
      </c>
      <c r="F2447">
        <v>28493</v>
      </c>
    </row>
    <row r="2448" spans="1:6">
      <c r="A2448" t="s">
        <v>3492</v>
      </c>
      <c r="B2448">
        <v>272</v>
      </c>
      <c r="C2448" t="s">
        <v>164</v>
      </c>
      <c r="D2448">
        <v>34973503</v>
      </c>
      <c r="E2448">
        <v>38389</v>
      </c>
      <c r="F2448">
        <v>28493</v>
      </c>
    </row>
    <row r="2449" spans="1:6">
      <c r="A2449" t="s">
        <v>3493</v>
      </c>
      <c r="B2449">
        <v>272</v>
      </c>
      <c r="C2449" t="s">
        <v>651</v>
      </c>
      <c r="D2449">
        <v>17486752</v>
      </c>
      <c r="E2449">
        <v>38389</v>
      </c>
      <c r="F2449">
        <v>28493</v>
      </c>
    </row>
    <row r="2450" spans="1:6">
      <c r="A2450" t="s">
        <v>3494</v>
      </c>
      <c r="B2450">
        <v>273</v>
      </c>
      <c r="C2450" t="s">
        <v>154</v>
      </c>
      <c r="D2450">
        <v>370785</v>
      </c>
      <c r="E2450">
        <v>35101</v>
      </c>
      <c r="F2450">
        <v>28629</v>
      </c>
    </row>
    <row r="2451" spans="1:6">
      <c r="A2451" t="s">
        <v>3495</v>
      </c>
      <c r="B2451">
        <v>273</v>
      </c>
      <c r="C2451" t="s">
        <v>1043</v>
      </c>
      <c r="D2451">
        <v>1112355</v>
      </c>
      <c r="E2451">
        <v>35101</v>
      </c>
      <c r="F2451">
        <v>28629</v>
      </c>
    </row>
    <row r="2452" spans="1:6">
      <c r="A2452" t="s">
        <v>3496</v>
      </c>
      <c r="B2452">
        <v>273</v>
      </c>
      <c r="C2452" t="s">
        <v>1045</v>
      </c>
      <c r="D2452">
        <v>667413</v>
      </c>
      <c r="E2452">
        <v>35101</v>
      </c>
      <c r="F2452">
        <v>28629</v>
      </c>
    </row>
    <row r="2453" spans="1:6">
      <c r="A2453" t="s">
        <v>3497</v>
      </c>
      <c r="B2453">
        <v>273</v>
      </c>
      <c r="C2453" t="s">
        <v>1047</v>
      </c>
      <c r="D2453">
        <v>185393</v>
      </c>
      <c r="E2453">
        <v>35101</v>
      </c>
      <c r="F2453">
        <v>28629</v>
      </c>
    </row>
    <row r="2454" spans="1:6">
      <c r="A2454" t="s">
        <v>3498</v>
      </c>
      <c r="B2454">
        <v>273</v>
      </c>
      <c r="C2454" t="s">
        <v>1049</v>
      </c>
      <c r="D2454">
        <v>55618</v>
      </c>
      <c r="E2454">
        <v>35101</v>
      </c>
      <c r="F2454">
        <v>28629</v>
      </c>
    </row>
    <row r="2455" spans="1:6">
      <c r="A2455" t="s">
        <v>3499</v>
      </c>
      <c r="B2455">
        <v>273</v>
      </c>
      <c r="C2455" t="s">
        <v>745</v>
      </c>
      <c r="D2455">
        <v>1483140</v>
      </c>
      <c r="E2455">
        <v>35101</v>
      </c>
      <c r="F2455">
        <v>28629</v>
      </c>
    </row>
    <row r="2456" spans="1:6">
      <c r="A2456" t="s">
        <v>3500</v>
      </c>
      <c r="B2456">
        <v>273</v>
      </c>
      <c r="C2456" t="s">
        <v>1052</v>
      </c>
      <c r="D2456">
        <v>3337065</v>
      </c>
      <c r="E2456">
        <v>35101</v>
      </c>
      <c r="F2456">
        <v>28629</v>
      </c>
    </row>
    <row r="2457" spans="1:6">
      <c r="A2457" t="s">
        <v>3501</v>
      </c>
      <c r="B2457">
        <v>273</v>
      </c>
      <c r="C2457" t="s">
        <v>164</v>
      </c>
      <c r="D2457">
        <v>35348351</v>
      </c>
      <c r="E2457">
        <v>38665</v>
      </c>
      <c r="F2457">
        <v>28629</v>
      </c>
    </row>
    <row r="2458" spans="1:6">
      <c r="A2458" t="s">
        <v>3502</v>
      </c>
      <c r="B2458">
        <v>273</v>
      </c>
      <c r="C2458" t="s">
        <v>651</v>
      </c>
      <c r="D2458">
        <v>17674176</v>
      </c>
      <c r="E2458">
        <v>38665</v>
      </c>
      <c r="F2458">
        <v>28629</v>
      </c>
    </row>
    <row r="2459" spans="1:6">
      <c r="A2459" t="s">
        <v>3503</v>
      </c>
      <c r="B2459">
        <v>274</v>
      </c>
      <c r="C2459" t="s">
        <v>154</v>
      </c>
      <c r="D2459">
        <v>374479</v>
      </c>
      <c r="E2459">
        <v>35362</v>
      </c>
      <c r="F2459">
        <v>28765</v>
      </c>
    </row>
    <row r="2460" spans="1:6">
      <c r="A2460" t="s">
        <v>3504</v>
      </c>
      <c r="B2460">
        <v>274</v>
      </c>
      <c r="C2460" t="s">
        <v>1043</v>
      </c>
      <c r="D2460">
        <v>1123437</v>
      </c>
      <c r="E2460">
        <v>35362</v>
      </c>
      <c r="F2460">
        <v>28765</v>
      </c>
    </row>
    <row r="2461" spans="1:6">
      <c r="A2461" t="s">
        <v>3505</v>
      </c>
      <c r="B2461">
        <v>274</v>
      </c>
      <c r="C2461" t="s">
        <v>1045</v>
      </c>
      <c r="D2461">
        <v>674063</v>
      </c>
      <c r="E2461">
        <v>35362</v>
      </c>
      <c r="F2461">
        <v>28765</v>
      </c>
    </row>
    <row r="2462" spans="1:6">
      <c r="A2462" t="s">
        <v>3506</v>
      </c>
      <c r="B2462">
        <v>274</v>
      </c>
      <c r="C2462" t="s">
        <v>1047</v>
      </c>
      <c r="D2462">
        <v>187240</v>
      </c>
      <c r="E2462">
        <v>35362</v>
      </c>
      <c r="F2462">
        <v>28765</v>
      </c>
    </row>
    <row r="2463" spans="1:6">
      <c r="A2463" t="s">
        <v>3507</v>
      </c>
      <c r="B2463">
        <v>274</v>
      </c>
      <c r="C2463" t="s">
        <v>1049</v>
      </c>
      <c r="D2463">
        <v>56172</v>
      </c>
      <c r="E2463">
        <v>35362</v>
      </c>
      <c r="F2463">
        <v>28765</v>
      </c>
    </row>
    <row r="2464" spans="1:6">
      <c r="A2464" t="s">
        <v>3508</v>
      </c>
      <c r="B2464">
        <v>274</v>
      </c>
      <c r="C2464" t="s">
        <v>745</v>
      </c>
      <c r="D2464">
        <v>1497916</v>
      </c>
      <c r="E2464">
        <v>35362</v>
      </c>
      <c r="F2464">
        <v>28765</v>
      </c>
    </row>
    <row r="2465" spans="1:6">
      <c r="A2465" t="s">
        <v>3509</v>
      </c>
      <c r="B2465">
        <v>274</v>
      </c>
      <c r="C2465" t="s">
        <v>1052</v>
      </c>
      <c r="D2465">
        <v>3370311</v>
      </c>
      <c r="E2465">
        <v>35362</v>
      </c>
      <c r="F2465">
        <v>28765</v>
      </c>
    </row>
    <row r="2466" spans="1:6">
      <c r="A2466" t="s">
        <v>3510</v>
      </c>
      <c r="B2466">
        <v>274</v>
      </c>
      <c r="C2466" t="s">
        <v>164</v>
      </c>
      <c r="D2466">
        <v>35726310</v>
      </c>
      <c r="E2466">
        <v>38941</v>
      </c>
      <c r="F2466">
        <v>28765</v>
      </c>
    </row>
    <row r="2467" spans="1:6">
      <c r="A2467" t="s">
        <v>3511</v>
      </c>
      <c r="B2467">
        <v>274</v>
      </c>
      <c r="C2467" t="s">
        <v>651</v>
      </c>
      <c r="D2467">
        <v>17863155</v>
      </c>
      <c r="E2467">
        <v>38941</v>
      </c>
      <c r="F2467">
        <v>28765</v>
      </c>
    </row>
    <row r="2468" spans="1:6">
      <c r="A2468" t="s">
        <v>3512</v>
      </c>
      <c r="B2468">
        <v>275</v>
      </c>
      <c r="C2468" t="s">
        <v>154</v>
      </c>
      <c r="D2468">
        <v>378201</v>
      </c>
      <c r="E2468">
        <v>35624</v>
      </c>
      <c r="F2468">
        <v>28901</v>
      </c>
    </row>
    <row r="2469" spans="1:6">
      <c r="A2469" t="s">
        <v>3513</v>
      </c>
      <c r="B2469">
        <v>275</v>
      </c>
      <c r="C2469" t="s">
        <v>1043</v>
      </c>
      <c r="D2469">
        <v>1134603</v>
      </c>
      <c r="E2469">
        <v>35624</v>
      </c>
      <c r="F2469">
        <v>28901</v>
      </c>
    </row>
    <row r="2470" spans="1:6">
      <c r="A2470" t="s">
        <v>3514</v>
      </c>
      <c r="B2470">
        <v>275</v>
      </c>
      <c r="C2470" t="s">
        <v>1045</v>
      </c>
      <c r="D2470">
        <v>680762</v>
      </c>
      <c r="E2470">
        <v>35624</v>
      </c>
      <c r="F2470">
        <v>28901</v>
      </c>
    </row>
    <row r="2471" spans="1:6">
      <c r="A2471" t="s">
        <v>3515</v>
      </c>
      <c r="B2471">
        <v>275</v>
      </c>
      <c r="C2471" t="s">
        <v>1047</v>
      </c>
      <c r="D2471">
        <v>189101</v>
      </c>
      <c r="E2471">
        <v>35624</v>
      </c>
      <c r="F2471">
        <v>28901</v>
      </c>
    </row>
    <row r="2472" spans="1:6">
      <c r="A2472" t="s">
        <v>3516</v>
      </c>
      <c r="B2472">
        <v>275</v>
      </c>
      <c r="C2472" t="s">
        <v>1049</v>
      </c>
      <c r="D2472">
        <v>56731</v>
      </c>
      <c r="E2472">
        <v>35624</v>
      </c>
      <c r="F2472">
        <v>28901</v>
      </c>
    </row>
    <row r="2473" spans="1:6">
      <c r="A2473" t="s">
        <v>3517</v>
      </c>
      <c r="B2473">
        <v>275</v>
      </c>
      <c r="C2473" t="s">
        <v>745</v>
      </c>
      <c r="D2473">
        <v>1512804</v>
      </c>
      <c r="E2473">
        <v>35624</v>
      </c>
      <c r="F2473">
        <v>28901</v>
      </c>
    </row>
    <row r="2474" spans="1:6">
      <c r="A2474" t="s">
        <v>3518</v>
      </c>
      <c r="B2474">
        <v>275</v>
      </c>
      <c r="C2474" t="s">
        <v>1052</v>
      </c>
      <c r="D2474">
        <v>3403809</v>
      </c>
      <c r="E2474">
        <v>35624</v>
      </c>
      <c r="F2474">
        <v>28901</v>
      </c>
    </row>
    <row r="2475" spans="1:6">
      <c r="A2475" t="s">
        <v>3519</v>
      </c>
      <c r="B2475">
        <v>275</v>
      </c>
      <c r="C2475" t="s">
        <v>164</v>
      </c>
      <c r="D2475">
        <v>36107380</v>
      </c>
      <c r="E2475">
        <v>39219</v>
      </c>
      <c r="F2475">
        <v>28901</v>
      </c>
    </row>
    <row r="2476" spans="1:6">
      <c r="A2476" t="s">
        <v>3520</v>
      </c>
      <c r="B2476">
        <v>275</v>
      </c>
      <c r="C2476" t="s">
        <v>651</v>
      </c>
      <c r="D2476">
        <v>18053690</v>
      </c>
      <c r="E2476">
        <v>39219</v>
      </c>
      <c r="F2476">
        <v>28901</v>
      </c>
    </row>
    <row r="2477" spans="1:6">
      <c r="A2477" t="s">
        <v>3521</v>
      </c>
      <c r="B2477">
        <v>276</v>
      </c>
      <c r="C2477" t="s">
        <v>154</v>
      </c>
      <c r="D2477">
        <v>381951</v>
      </c>
      <c r="E2477">
        <v>35889</v>
      </c>
      <c r="F2477">
        <v>29038</v>
      </c>
    </row>
    <row r="2478" spans="1:6">
      <c r="A2478" t="s">
        <v>3522</v>
      </c>
      <c r="B2478">
        <v>276</v>
      </c>
      <c r="C2478" t="s">
        <v>1043</v>
      </c>
      <c r="D2478">
        <v>1145853</v>
      </c>
      <c r="E2478">
        <v>35889</v>
      </c>
      <c r="F2478">
        <v>29038</v>
      </c>
    </row>
    <row r="2479" spans="1:6">
      <c r="A2479" t="s">
        <v>3523</v>
      </c>
      <c r="B2479">
        <v>276</v>
      </c>
      <c r="C2479" t="s">
        <v>1045</v>
      </c>
      <c r="D2479">
        <v>687512</v>
      </c>
      <c r="E2479">
        <v>35889</v>
      </c>
      <c r="F2479">
        <v>29038</v>
      </c>
    </row>
    <row r="2480" spans="1:6">
      <c r="A2480" t="s">
        <v>3524</v>
      </c>
      <c r="B2480">
        <v>276</v>
      </c>
      <c r="C2480" t="s">
        <v>1047</v>
      </c>
      <c r="D2480">
        <v>190976</v>
      </c>
      <c r="E2480">
        <v>35889</v>
      </c>
      <c r="F2480">
        <v>29038</v>
      </c>
    </row>
    <row r="2481" spans="1:6">
      <c r="A2481" t="s">
        <v>3525</v>
      </c>
      <c r="B2481">
        <v>276</v>
      </c>
      <c r="C2481" t="s">
        <v>1049</v>
      </c>
      <c r="D2481">
        <v>57293</v>
      </c>
      <c r="E2481">
        <v>35889</v>
      </c>
      <c r="F2481">
        <v>29038</v>
      </c>
    </row>
    <row r="2482" spans="1:6">
      <c r="A2482" t="s">
        <v>3526</v>
      </c>
      <c r="B2482">
        <v>276</v>
      </c>
      <c r="C2482" t="s">
        <v>745</v>
      </c>
      <c r="D2482">
        <v>1527804</v>
      </c>
      <c r="E2482">
        <v>35889</v>
      </c>
      <c r="F2482">
        <v>29038</v>
      </c>
    </row>
    <row r="2483" spans="1:6">
      <c r="A2483" t="s">
        <v>3527</v>
      </c>
      <c r="B2483">
        <v>276</v>
      </c>
      <c r="C2483" t="s">
        <v>1052</v>
      </c>
      <c r="D2483">
        <v>3437559</v>
      </c>
      <c r="E2483">
        <v>35889</v>
      </c>
      <c r="F2483">
        <v>29038</v>
      </c>
    </row>
    <row r="2484" spans="1:6">
      <c r="A2484" t="s">
        <v>3528</v>
      </c>
      <c r="B2484">
        <v>276</v>
      </c>
      <c r="C2484" t="s">
        <v>164</v>
      </c>
      <c r="D2484">
        <v>36491613</v>
      </c>
      <c r="E2484">
        <v>39499</v>
      </c>
      <c r="F2484">
        <v>29038</v>
      </c>
    </row>
    <row r="2485" spans="1:6">
      <c r="A2485" t="s">
        <v>3529</v>
      </c>
      <c r="B2485">
        <v>276</v>
      </c>
      <c r="C2485" t="s">
        <v>651</v>
      </c>
      <c r="D2485">
        <v>18245806</v>
      </c>
      <c r="E2485">
        <v>39499</v>
      </c>
      <c r="F2485">
        <v>29038</v>
      </c>
    </row>
    <row r="2486" spans="1:6">
      <c r="A2486" t="s">
        <v>3530</v>
      </c>
      <c r="B2486">
        <v>277</v>
      </c>
      <c r="C2486" t="s">
        <v>154</v>
      </c>
      <c r="D2486">
        <v>385730</v>
      </c>
      <c r="E2486">
        <v>36154</v>
      </c>
      <c r="F2486">
        <v>29175</v>
      </c>
    </row>
    <row r="2487" spans="1:6">
      <c r="A2487" t="s">
        <v>3531</v>
      </c>
      <c r="B2487">
        <v>277</v>
      </c>
      <c r="C2487" t="s">
        <v>1043</v>
      </c>
      <c r="D2487">
        <v>1157190</v>
      </c>
      <c r="E2487">
        <v>36154</v>
      </c>
      <c r="F2487">
        <v>29175</v>
      </c>
    </row>
    <row r="2488" spans="1:6">
      <c r="A2488" t="s">
        <v>3532</v>
      </c>
      <c r="B2488">
        <v>277</v>
      </c>
      <c r="C2488" t="s">
        <v>1045</v>
      </c>
      <c r="D2488">
        <v>694314</v>
      </c>
      <c r="E2488">
        <v>36154</v>
      </c>
      <c r="F2488">
        <v>29175</v>
      </c>
    </row>
    <row r="2489" spans="1:6">
      <c r="A2489" t="s">
        <v>3533</v>
      </c>
      <c r="B2489">
        <v>277</v>
      </c>
      <c r="C2489" t="s">
        <v>1047</v>
      </c>
      <c r="D2489">
        <v>192865</v>
      </c>
      <c r="E2489">
        <v>36154</v>
      </c>
      <c r="F2489">
        <v>29175</v>
      </c>
    </row>
    <row r="2490" spans="1:6">
      <c r="A2490" t="s">
        <v>3534</v>
      </c>
      <c r="B2490">
        <v>277</v>
      </c>
      <c r="C2490" t="s">
        <v>1049</v>
      </c>
      <c r="D2490">
        <v>57860</v>
      </c>
      <c r="E2490">
        <v>36154</v>
      </c>
      <c r="F2490">
        <v>29175</v>
      </c>
    </row>
    <row r="2491" spans="1:6">
      <c r="A2491" t="s">
        <v>3535</v>
      </c>
      <c r="B2491">
        <v>277</v>
      </c>
      <c r="C2491" t="s">
        <v>745</v>
      </c>
      <c r="D2491">
        <v>1542920</v>
      </c>
      <c r="E2491">
        <v>36154</v>
      </c>
      <c r="F2491">
        <v>29175</v>
      </c>
    </row>
    <row r="2492" spans="1:6">
      <c r="A2492" t="s">
        <v>3536</v>
      </c>
      <c r="B2492">
        <v>277</v>
      </c>
      <c r="C2492" t="s">
        <v>1052</v>
      </c>
      <c r="D2492">
        <v>3471570</v>
      </c>
      <c r="E2492">
        <v>36154</v>
      </c>
      <c r="F2492">
        <v>29175</v>
      </c>
    </row>
    <row r="2493" spans="1:6">
      <c r="A2493" t="s">
        <v>3537</v>
      </c>
      <c r="B2493">
        <v>277</v>
      </c>
      <c r="C2493" t="s">
        <v>164</v>
      </c>
      <c r="D2493">
        <v>36878956</v>
      </c>
      <c r="E2493">
        <v>39780</v>
      </c>
      <c r="F2493">
        <v>29175</v>
      </c>
    </row>
    <row r="2494" spans="1:6">
      <c r="A2494" t="s">
        <v>3538</v>
      </c>
      <c r="B2494">
        <v>277</v>
      </c>
      <c r="C2494" t="s">
        <v>651</v>
      </c>
      <c r="D2494">
        <v>18439478</v>
      </c>
      <c r="E2494">
        <v>39780</v>
      </c>
      <c r="F2494">
        <v>29175</v>
      </c>
    </row>
    <row r="2495" spans="1:6">
      <c r="A2495" t="s">
        <v>3539</v>
      </c>
      <c r="B2495">
        <v>278</v>
      </c>
      <c r="C2495" t="s">
        <v>154</v>
      </c>
      <c r="D2495">
        <v>389536</v>
      </c>
      <c r="E2495">
        <v>36421</v>
      </c>
      <c r="F2495">
        <v>29311</v>
      </c>
    </row>
    <row r="2496" spans="1:6">
      <c r="A2496" t="s">
        <v>3540</v>
      </c>
      <c r="B2496">
        <v>278</v>
      </c>
      <c r="C2496" t="s">
        <v>1043</v>
      </c>
      <c r="D2496">
        <v>1168608</v>
      </c>
      <c r="E2496">
        <v>36421</v>
      </c>
      <c r="F2496">
        <v>29311</v>
      </c>
    </row>
    <row r="2497" spans="1:6">
      <c r="A2497" t="s">
        <v>3541</v>
      </c>
      <c r="B2497">
        <v>278</v>
      </c>
      <c r="C2497" t="s">
        <v>1045</v>
      </c>
      <c r="D2497">
        <v>701165</v>
      </c>
      <c r="E2497">
        <v>36421</v>
      </c>
      <c r="F2497">
        <v>29311</v>
      </c>
    </row>
    <row r="2498" spans="1:6">
      <c r="A2498" t="s">
        <v>3542</v>
      </c>
      <c r="B2498">
        <v>278</v>
      </c>
      <c r="C2498" t="s">
        <v>1047</v>
      </c>
      <c r="D2498">
        <v>194768</v>
      </c>
      <c r="E2498">
        <v>36421</v>
      </c>
      <c r="F2498">
        <v>29311</v>
      </c>
    </row>
    <row r="2499" spans="1:6">
      <c r="A2499" t="s">
        <v>3543</v>
      </c>
      <c r="B2499">
        <v>278</v>
      </c>
      <c r="C2499" t="s">
        <v>1049</v>
      </c>
      <c r="D2499">
        <v>58431</v>
      </c>
      <c r="E2499">
        <v>36421</v>
      </c>
      <c r="F2499">
        <v>29311</v>
      </c>
    </row>
    <row r="2500" spans="1:6">
      <c r="A2500" t="s">
        <v>3544</v>
      </c>
      <c r="B2500">
        <v>278</v>
      </c>
      <c r="C2500" t="s">
        <v>745</v>
      </c>
      <c r="D2500">
        <v>1558144</v>
      </c>
      <c r="E2500">
        <v>36421</v>
      </c>
      <c r="F2500">
        <v>29311</v>
      </c>
    </row>
    <row r="2501" spans="1:6">
      <c r="A2501" t="s">
        <v>3545</v>
      </c>
      <c r="B2501">
        <v>278</v>
      </c>
      <c r="C2501" t="s">
        <v>1052</v>
      </c>
      <c r="D2501">
        <v>3505824</v>
      </c>
      <c r="E2501">
        <v>36421</v>
      </c>
      <c r="F2501">
        <v>29311</v>
      </c>
    </row>
    <row r="2502" spans="1:6">
      <c r="A2502" t="s">
        <v>3546</v>
      </c>
      <c r="B2502">
        <v>278</v>
      </c>
      <c r="C2502" t="s">
        <v>164</v>
      </c>
      <c r="D2502">
        <v>37269563</v>
      </c>
      <c r="E2502">
        <v>40063</v>
      </c>
      <c r="F2502">
        <v>29311</v>
      </c>
    </row>
    <row r="2503" spans="1:6">
      <c r="A2503" t="s">
        <v>3547</v>
      </c>
      <c r="B2503">
        <v>278</v>
      </c>
      <c r="C2503" t="s">
        <v>651</v>
      </c>
      <c r="D2503">
        <v>18634782</v>
      </c>
      <c r="E2503">
        <v>40063</v>
      </c>
      <c r="F2503">
        <v>29311</v>
      </c>
    </row>
    <row r="2504" spans="1:6">
      <c r="A2504" t="s">
        <v>3548</v>
      </c>
      <c r="B2504">
        <v>279</v>
      </c>
      <c r="C2504" t="s">
        <v>154</v>
      </c>
      <c r="D2504">
        <v>393371</v>
      </c>
      <c r="E2504">
        <v>36690</v>
      </c>
      <c r="F2504">
        <v>29449</v>
      </c>
    </row>
    <row r="2505" spans="1:6">
      <c r="A2505" t="s">
        <v>3549</v>
      </c>
      <c r="B2505">
        <v>279</v>
      </c>
      <c r="C2505" t="s">
        <v>1043</v>
      </c>
      <c r="D2505">
        <v>1180113</v>
      </c>
      <c r="E2505">
        <v>36690</v>
      </c>
      <c r="F2505">
        <v>29449</v>
      </c>
    </row>
    <row r="2506" spans="1:6">
      <c r="A2506" t="s">
        <v>3550</v>
      </c>
      <c r="B2506">
        <v>279</v>
      </c>
      <c r="C2506" t="s">
        <v>1045</v>
      </c>
      <c r="D2506">
        <v>708068</v>
      </c>
      <c r="E2506">
        <v>36690</v>
      </c>
      <c r="F2506">
        <v>29449</v>
      </c>
    </row>
    <row r="2507" spans="1:6">
      <c r="A2507" t="s">
        <v>3551</v>
      </c>
      <c r="B2507">
        <v>279</v>
      </c>
      <c r="C2507" t="s">
        <v>1047</v>
      </c>
      <c r="D2507">
        <v>196686</v>
      </c>
      <c r="E2507">
        <v>36690</v>
      </c>
      <c r="F2507">
        <v>29449</v>
      </c>
    </row>
    <row r="2508" spans="1:6">
      <c r="A2508" t="s">
        <v>3552</v>
      </c>
      <c r="B2508">
        <v>279</v>
      </c>
      <c r="C2508" t="s">
        <v>1049</v>
      </c>
      <c r="D2508">
        <v>59006</v>
      </c>
      <c r="E2508">
        <v>36690</v>
      </c>
      <c r="F2508">
        <v>29449</v>
      </c>
    </row>
    <row r="2509" spans="1:6">
      <c r="A2509" t="s">
        <v>3553</v>
      </c>
      <c r="B2509">
        <v>279</v>
      </c>
      <c r="C2509" t="s">
        <v>745</v>
      </c>
      <c r="D2509">
        <v>1573484</v>
      </c>
      <c r="E2509">
        <v>36690</v>
      </c>
      <c r="F2509">
        <v>29449</v>
      </c>
    </row>
    <row r="2510" spans="1:6">
      <c r="A2510" t="s">
        <v>3554</v>
      </c>
      <c r="B2510">
        <v>279</v>
      </c>
      <c r="C2510" t="s">
        <v>1052</v>
      </c>
      <c r="D2510">
        <v>3540339</v>
      </c>
      <c r="E2510">
        <v>36690</v>
      </c>
      <c r="F2510">
        <v>29449</v>
      </c>
    </row>
    <row r="2511" spans="1:6">
      <c r="A2511" t="s">
        <v>3555</v>
      </c>
      <c r="B2511">
        <v>279</v>
      </c>
      <c r="C2511" t="s">
        <v>164</v>
      </c>
      <c r="D2511">
        <v>37663333</v>
      </c>
      <c r="E2511">
        <v>40347</v>
      </c>
      <c r="F2511">
        <v>29449</v>
      </c>
    </row>
    <row r="2512" spans="1:6">
      <c r="A2512" t="s">
        <v>3556</v>
      </c>
      <c r="B2512">
        <v>279</v>
      </c>
      <c r="C2512" t="s">
        <v>651</v>
      </c>
      <c r="D2512">
        <v>18831666</v>
      </c>
      <c r="E2512">
        <v>40347</v>
      </c>
      <c r="F2512">
        <v>29449</v>
      </c>
    </row>
    <row r="2513" spans="1:6">
      <c r="A2513" t="s">
        <v>3557</v>
      </c>
      <c r="B2513">
        <v>280</v>
      </c>
      <c r="C2513" t="s">
        <v>154</v>
      </c>
      <c r="D2513">
        <v>397235</v>
      </c>
      <c r="E2513">
        <v>36960</v>
      </c>
      <c r="F2513">
        <v>29586</v>
      </c>
    </row>
    <row r="2514" spans="1:6">
      <c r="A2514" t="s">
        <v>3558</v>
      </c>
      <c r="B2514">
        <v>280</v>
      </c>
      <c r="C2514" t="s">
        <v>1043</v>
      </c>
      <c r="D2514">
        <v>1191705</v>
      </c>
      <c r="E2514">
        <v>36960</v>
      </c>
      <c r="F2514">
        <v>29586</v>
      </c>
    </row>
    <row r="2515" spans="1:6">
      <c r="A2515" t="s">
        <v>3559</v>
      </c>
      <c r="B2515">
        <v>280</v>
      </c>
      <c r="C2515" t="s">
        <v>1045</v>
      </c>
      <c r="D2515">
        <v>715023</v>
      </c>
      <c r="E2515">
        <v>36960</v>
      </c>
      <c r="F2515">
        <v>29586</v>
      </c>
    </row>
    <row r="2516" spans="1:6">
      <c r="A2516" t="s">
        <v>3560</v>
      </c>
      <c r="B2516">
        <v>280</v>
      </c>
      <c r="C2516" t="s">
        <v>1047</v>
      </c>
      <c r="D2516">
        <v>198618</v>
      </c>
      <c r="E2516">
        <v>36960</v>
      </c>
      <c r="F2516">
        <v>29586</v>
      </c>
    </row>
    <row r="2517" spans="1:6">
      <c r="A2517" t="s">
        <v>3561</v>
      </c>
      <c r="B2517">
        <v>280</v>
      </c>
      <c r="C2517" t="s">
        <v>1049</v>
      </c>
      <c r="D2517">
        <v>59586</v>
      </c>
      <c r="E2517">
        <v>36960</v>
      </c>
      <c r="F2517">
        <v>29586</v>
      </c>
    </row>
    <row r="2518" spans="1:6">
      <c r="A2518" t="s">
        <v>3562</v>
      </c>
      <c r="B2518">
        <v>280</v>
      </c>
      <c r="C2518" t="s">
        <v>745</v>
      </c>
      <c r="D2518">
        <v>1588940</v>
      </c>
      <c r="E2518">
        <v>36960</v>
      </c>
      <c r="F2518">
        <v>29586</v>
      </c>
    </row>
    <row r="2519" spans="1:6">
      <c r="A2519" t="s">
        <v>3563</v>
      </c>
      <c r="B2519">
        <v>280</v>
      </c>
      <c r="C2519" t="s">
        <v>1052</v>
      </c>
      <c r="D2519">
        <v>3575115</v>
      </c>
      <c r="E2519">
        <v>36960</v>
      </c>
      <c r="F2519">
        <v>29586</v>
      </c>
    </row>
    <row r="2520" spans="1:6">
      <c r="A2520" t="s">
        <v>3564</v>
      </c>
      <c r="B2520">
        <v>280</v>
      </c>
      <c r="C2520" t="s">
        <v>164</v>
      </c>
      <c r="D2520">
        <v>38060315</v>
      </c>
      <c r="E2520">
        <v>40633</v>
      </c>
      <c r="F2520">
        <v>29586</v>
      </c>
    </row>
    <row r="2521" spans="1:6">
      <c r="A2521" t="s">
        <v>3565</v>
      </c>
      <c r="B2521">
        <v>280</v>
      </c>
      <c r="C2521" t="s">
        <v>651</v>
      </c>
      <c r="D2521">
        <v>19030158</v>
      </c>
      <c r="E2521">
        <v>40633</v>
      </c>
      <c r="F2521">
        <v>29586</v>
      </c>
    </row>
    <row r="2522" spans="1:6">
      <c r="A2522" t="s">
        <v>3566</v>
      </c>
      <c r="B2522">
        <v>281</v>
      </c>
      <c r="C2522" t="s">
        <v>154</v>
      </c>
      <c r="D2522">
        <v>401128</v>
      </c>
      <c r="E2522">
        <v>37231</v>
      </c>
      <c r="F2522">
        <v>29724</v>
      </c>
    </row>
    <row r="2523" spans="1:6">
      <c r="A2523" t="s">
        <v>3567</v>
      </c>
      <c r="B2523">
        <v>281</v>
      </c>
      <c r="C2523" t="s">
        <v>1043</v>
      </c>
      <c r="D2523">
        <v>1203384</v>
      </c>
      <c r="E2523">
        <v>37231</v>
      </c>
      <c r="F2523">
        <v>29724</v>
      </c>
    </row>
    <row r="2524" spans="1:6">
      <c r="A2524" t="s">
        <v>3568</v>
      </c>
      <c r="B2524">
        <v>281</v>
      </c>
      <c r="C2524" t="s">
        <v>1045</v>
      </c>
      <c r="D2524">
        <v>722031</v>
      </c>
      <c r="E2524">
        <v>37231</v>
      </c>
      <c r="F2524">
        <v>29724</v>
      </c>
    </row>
    <row r="2525" spans="1:6">
      <c r="A2525" t="s">
        <v>3569</v>
      </c>
      <c r="B2525">
        <v>281</v>
      </c>
      <c r="C2525" t="s">
        <v>1047</v>
      </c>
      <c r="D2525">
        <v>200564</v>
      </c>
      <c r="E2525">
        <v>37231</v>
      </c>
      <c r="F2525">
        <v>29724</v>
      </c>
    </row>
    <row r="2526" spans="1:6">
      <c r="A2526" t="s">
        <v>3570</v>
      </c>
      <c r="B2526">
        <v>281</v>
      </c>
      <c r="C2526" t="s">
        <v>1049</v>
      </c>
      <c r="D2526">
        <v>60170</v>
      </c>
      <c r="E2526">
        <v>37231</v>
      </c>
      <c r="F2526">
        <v>29724</v>
      </c>
    </row>
    <row r="2527" spans="1:6">
      <c r="A2527" t="s">
        <v>3571</v>
      </c>
      <c r="B2527">
        <v>281</v>
      </c>
      <c r="C2527" t="s">
        <v>745</v>
      </c>
      <c r="D2527">
        <v>1604512</v>
      </c>
      <c r="E2527">
        <v>37231</v>
      </c>
      <c r="F2527">
        <v>29724</v>
      </c>
    </row>
    <row r="2528" spans="1:6">
      <c r="A2528" t="s">
        <v>3572</v>
      </c>
      <c r="B2528">
        <v>281</v>
      </c>
      <c r="C2528" t="s">
        <v>1052</v>
      </c>
      <c r="D2528">
        <v>3610152</v>
      </c>
      <c r="E2528">
        <v>37231</v>
      </c>
      <c r="F2528">
        <v>29724</v>
      </c>
    </row>
    <row r="2529" spans="1:6">
      <c r="A2529" t="s">
        <v>3573</v>
      </c>
      <c r="B2529">
        <v>281</v>
      </c>
      <c r="C2529" t="s">
        <v>164</v>
      </c>
      <c r="D2529">
        <v>38460562</v>
      </c>
      <c r="E2529">
        <v>40920</v>
      </c>
      <c r="F2529">
        <v>29724</v>
      </c>
    </row>
    <row r="2530" spans="1:6">
      <c r="A2530" t="s">
        <v>3574</v>
      </c>
      <c r="B2530">
        <v>281</v>
      </c>
      <c r="C2530" t="s">
        <v>651</v>
      </c>
      <c r="D2530">
        <v>19230281</v>
      </c>
      <c r="E2530">
        <v>40920</v>
      </c>
      <c r="F2530">
        <v>29724</v>
      </c>
    </row>
    <row r="2531" spans="1:6">
      <c r="A2531" t="s">
        <v>3575</v>
      </c>
      <c r="B2531">
        <v>282</v>
      </c>
      <c r="C2531" t="s">
        <v>154</v>
      </c>
      <c r="D2531">
        <v>405049</v>
      </c>
      <c r="E2531">
        <v>37504</v>
      </c>
      <c r="F2531">
        <v>29861</v>
      </c>
    </row>
    <row r="2532" spans="1:6">
      <c r="A2532" t="s">
        <v>3576</v>
      </c>
      <c r="B2532">
        <v>282</v>
      </c>
      <c r="C2532" t="s">
        <v>1043</v>
      </c>
      <c r="D2532">
        <v>1215147</v>
      </c>
      <c r="E2532">
        <v>37504</v>
      </c>
      <c r="F2532">
        <v>29861</v>
      </c>
    </row>
    <row r="2533" spans="1:6">
      <c r="A2533" t="s">
        <v>3577</v>
      </c>
      <c r="B2533">
        <v>282</v>
      </c>
      <c r="C2533" t="s">
        <v>1045</v>
      </c>
      <c r="D2533">
        <v>729089</v>
      </c>
      <c r="E2533">
        <v>37504</v>
      </c>
      <c r="F2533">
        <v>29861</v>
      </c>
    </row>
    <row r="2534" spans="1:6">
      <c r="A2534" t="s">
        <v>3578</v>
      </c>
      <c r="B2534">
        <v>282</v>
      </c>
      <c r="C2534" t="s">
        <v>1047</v>
      </c>
      <c r="D2534">
        <v>202525</v>
      </c>
      <c r="E2534">
        <v>37504</v>
      </c>
      <c r="F2534">
        <v>29861</v>
      </c>
    </row>
    <row r="2535" spans="1:6">
      <c r="A2535" t="s">
        <v>3579</v>
      </c>
      <c r="B2535">
        <v>282</v>
      </c>
      <c r="C2535" t="s">
        <v>1049</v>
      </c>
      <c r="D2535">
        <v>60758</v>
      </c>
      <c r="E2535">
        <v>37504</v>
      </c>
      <c r="F2535">
        <v>29861</v>
      </c>
    </row>
    <row r="2536" spans="1:6">
      <c r="A2536" t="s">
        <v>3580</v>
      </c>
      <c r="B2536">
        <v>282</v>
      </c>
      <c r="C2536" t="s">
        <v>745</v>
      </c>
      <c r="D2536">
        <v>1620196</v>
      </c>
      <c r="E2536">
        <v>37504</v>
      </c>
      <c r="F2536">
        <v>29861</v>
      </c>
    </row>
    <row r="2537" spans="1:6">
      <c r="A2537" t="s">
        <v>3581</v>
      </c>
      <c r="B2537">
        <v>282</v>
      </c>
      <c r="C2537" t="s">
        <v>1052</v>
      </c>
      <c r="D2537">
        <v>3645441</v>
      </c>
      <c r="E2537">
        <v>37504</v>
      </c>
      <c r="F2537">
        <v>29861</v>
      </c>
    </row>
    <row r="2538" spans="1:6">
      <c r="A2538" t="s">
        <v>3582</v>
      </c>
      <c r="B2538">
        <v>282</v>
      </c>
      <c r="C2538" t="s">
        <v>164</v>
      </c>
      <c r="D2538">
        <v>38864073</v>
      </c>
      <c r="E2538">
        <v>41208</v>
      </c>
      <c r="F2538">
        <v>29861</v>
      </c>
    </row>
    <row r="2539" spans="1:6">
      <c r="A2539" t="s">
        <v>3583</v>
      </c>
      <c r="B2539">
        <v>282</v>
      </c>
      <c r="C2539" t="s">
        <v>651</v>
      </c>
      <c r="D2539">
        <v>19432036</v>
      </c>
      <c r="E2539">
        <v>41208</v>
      </c>
      <c r="F2539">
        <v>29861</v>
      </c>
    </row>
    <row r="2540" spans="1:6">
      <c r="A2540" t="s">
        <v>3584</v>
      </c>
      <c r="B2540">
        <v>283</v>
      </c>
      <c r="C2540" t="s">
        <v>154</v>
      </c>
      <c r="D2540">
        <v>409000</v>
      </c>
      <c r="E2540">
        <v>37779</v>
      </c>
      <c r="F2540">
        <v>30000</v>
      </c>
    </row>
    <row r="2541" spans="1:6">
      <c r="A2541" t="s">
        <v>3585</v>
      </c>
      <c r="B2541">
        <v>283</v>
      </c>
      <c r="C2541" t="s">
        <v>1043</v>
      </c>
      <c r="D2541">
        <v>1227000</v>
      </c>
      <c r="E2541">
        <v>37779</v>
      </c>
      <c r="F2541">
        <v>30000</v>
      </c>
    </row>
    <row r="2542" spans="1:6">
      <c r="A2542" t="s">
        <v>3586</v>
      </c>
      <c r="B2542">
        <v>283</v>
      </c>
      <c r="C2542" t="s">
        <v>1045</v>
      </c>
      <c r="D2542">
        <v>736200</v>
      </c>
      <c r="E2542">
        <v>37779</v>
      </c>
      <c r="F2542">
        <v>30000</v>
      </c>
    </row>
    <row r="2543" spans="1:6">
      <c r="A2543" t="s">
        <v>3587</v>
      </c>
      <c r="B2543">
        <v>283</v>
      </c>
      <c r="C2543" t="s">
        <v>1047</v>
      </c>
      <c r="D2543">
        <v>204500</v>
      </c>
      <c r="E2543">
        <v>37779</v>
      </c>
      <c r="F2543">
        <v>30000</v>
      </c>
    </row>
    <row r="2544" spans="1:6">
      <c r="A2544" t="s">
        <v>3588</v>
      </c>
      <c r="B2544">
        <v>283</v>
      </c>
      <c r="C2544" t="s">
        <v>1049</v>
      </c>
      <c r="D2544">
        <v>61350</v>
      </c>
      <c r="E2544">
        <v>37779</v>
      </c>
      <c r="F2544">
        <v>30000</v>
      </c>
    </row>
    <row r="2545" spans="1:6">
      <c r="A2545" t="s">
        <v>3589</v>
      </c>
      <c r="B2545">
        <v>283</v>
      </c>
      <c r="C2545" t="s">
        <v>745</v>
      </c>
      <c r="D2545">
        <v>1636000</v>
      </c>
      <c r="E2545">
        <v>37779</v>
      </c>
      <c r="F2545">
        <v>30000</v>
      </c>
    </row>
    <row r="2546" spans="1:6">
      <c r="A2546" t="s">
        <v>3590</v>
      </c>
      <c r="B2546">
        <v>283</v>
      </c>
      <c r="C2546" t="s">
        <v>1052</v>
      </c>
      <c r="D2546">
        <v>3681000</v>
      </c>
      <c r="E2546">
        <v>37779</v>
      </c>
      <c r="F2546">
        <v>30000</v>
      </c>
    </row>
    <row r="2547" spans="1:6">
      <c r="A2547" t="s">
        <v>3591</v>
      </c>
      <c r="B2547">
        <v>283</v>
      </c>
      <c r="C2547" t="s">
        <v>164</v>
      </c>
      <c r="D2547">
        <v>39270898</v>
      </c>
      <c r="E2547">
        <v>41499</v>
      </c>
      <c r="F2547">
        <v>30000</v>
      </c>
    </row>
    <row r="2548" spans="1:6">
      <c r="A2548" t="s">
        <v>3592</v>
      </c>
      <c r="B2548">
        <v>283</v>
      </c>
      <c r="C2548" t="s">
        <v>651</v>
      </c>
      <c r="D2548">
        <v>19635449</v>
      </c>
      <c r="E2548">
        <v>41499</v>
      </c>
      <c r="F2548">
        <v>30000</v>
      </c>
    </row>
    <row r="2549" spans="1:6">
      <c r="A2549" t="s">
        <v>3593</v>
      </c>
      <c r="B2549">
        <v>284</v>
      </c>
      <c r="C2549" t="s">
        <v>154</v>
      </c>
      <c r="D2549">
        <v>412979</v>
      </c>
      <c r="E2549">
        <v>38054</v>
      </c>
      <c r="F2549">
        <v>30138</v>
      </c>
    </row>
    <row r="2550" spans="1:6">
      <c r="A2550" t="s">
        <v>3594</v>
      </c>
      <c r="B2550">
        <v>284</v>
      </c>
      <c r="C2550" t="s">
        <v>1043</v>
      </c>
      <c r="D2550">
        <v>1238937</v>
      </c>
      <c r="E2550">
        <v>38054</v>
      </c>
      <c r="F2550">
        <v>30138</v>
      </c>
    </row>
    <row r="2551" spans="1:6">
      <c r="A2551" t="s">
        <v>3595</v>
      </c>
      <c r="B2551">
        <v>284</v>
      </c>
      <c r="C2551" t="s">
        <v>1045</v>
      </c>
      <c r="D2551">
        <v>743363</v>
      </c>
      <c r="E2551">
        <v>38054</v>
      </c>
      <c r="F2551">
        <v>30138</v>
      </c>
    </row>
    <row r="2552" spans="1:6">
      <c r="A2552" t="s">
        <v>3596</v>
      </c>
      <c r="B2552">
        <v>284</v>
      </c>
      <c r="C2552" t="s">
        <v>1047</v>
      </c>
      <c r="D2552">
        <v>206490</v>
      </c>
      <c r="E2552">
        <v>38054</v>
      </c>
      <c r="F2552">
        <v>30138</v>
      </c>
    </row>
    <row r="2553" spans="1:6">
      <c r="A2553" t="s">
        <v>3597</v>
      </c>
      <c r="B2553">
        <v>284</v>
      </c>
      <c r="C2553" t="s">
        <v>1049</v>
      </c>
      <c r="D2553">
        <v>61947</v>
      </c>
      <c r="E2553">
        <v>38054</v>
      </c>
      <c r="F2553">
        <v>30138</v>
      </c>
    </row>
    <row r="2554" spans="1:6">
      <c r="A2554" t="s">
        <v>3598</v>
      </c>
      <c r="B2554">
        <v>284</v>
      </c>
      <c r="C2554" t="s">
        <v>745</v>
      </c>
      <c r="D2554">
        <v>1651916</v>
      </c>
      <c r="E2554">
        <v>38054</v>
      </c>
      <c r="F2554">
        <v>30138</v>
      </c>
    </row>
    <row r="2555" spans="1:6">
      <c r="A2555" t="s">
        <v>3599</v>
      </c>
      <c r="B2555">
        <v>284</v>
      </c>
      <c r="C2555" t="s">
        <v>1052</v>
      </c>
      <c r="D2555">
        <v>3716811</v>
      </c>
      <c r="E2555">
        <v>38054</v>
      </c>
      <c r="F2555">
        <v>30138</v>
      </c>
    </row>
    <row r="2556" spans="1:6">
      <c r="A2556" t="s">
        <v>3600</v>
      </c>
      <c r="B2556">
        <v>284</v>
      </c>
      <c r="C2556" t="s">
        <v>164</v>
      </c>
      <c r="D2556">
        <v>39680988</v>
      </c>
      <c r="E2556">
        <v>41790</v>
      </c>
      <c r="F2556">
        <v>30138</v>
      </c>
    </row>
    <row r="2557" spans="1:6">
      <c r="A2557" t="s">
        <v>3601</v>
      </c>
      <c r="B2557">
        <v>284</v>
      </c>
      <c r="C2557" t="s">
        <v>651</v>
      </c>
      <c r="D2557">
        <v>19840494</v>
      </c>
      <c r="E2557">
        <v>41790</v>
      </c>
      <c r="F2557">
        <v>30138</v>
      </c>
    </row>
    <row r="2558" spans="1:6">
      <c r="A2558" t="s">
        <v>3602</v>
      </c>
      <c r="B2558">
        <v>285</v>
      </c>
      <c r="C2558" t="s">
        <v>154</v>
      </c>
      <c r="D2558">
        <v>416989</v>
      </c>
      <c r="E2558">
        <v>38332</v>
      </c>
      <c r="F2558">
        <v>30276</v>
      </c>
    </row>
    <row r="2559" spans="1:6">
      <c r="A2559" t="s">
        <v>3603</v>
      </c>
      <c r="B2559">
        <v>285</v>
      </c>
      <c r="C2559" t="s">
        <v>1043</v>
      </c>
      <c r="D2559">
        <v>1250967</v>
      </c>
      <c r="E2559">
        <v>38332</v>
      </c>
      <c r="F2559">
        <v>30276</v>
      </c>
    </row>
    <row r="2560" spans="1:6">
      <c r="A2560" t="s">
        <v>3604</v>
      </c>
      <c r="B2560">
        <v>285</v>
      </c>
      <c r="C2560" t="s">
        <v>1045</v>
      </c>
      <c r="D2560">
        <v>750581</v>
      </c>
      <c r="E2560">
        <v>38332</v>
      </c>
      <c r="F2560">
        <v>30276</v>
      </c>
    </row>
    <row r="2561" spans="1:6">
      <c r="A2561" t="s">
        <v>3605</v>
      </c>
      <c r="B2561">
        <v>285</v>
      </c>
      <c r="C2561" t="s">
        <v>1047</v>
      </c>
      <c r="D2561">
        <v>208495</v>
      </c>
      <c r="E2561">
        <v>38332</v>
      </c>
      <c r="F2561">
        <v>30276</v>
      </c>
    </row>
    <row r="2562" spans="1:6">
      <c r="A2562" t="s">
        <v>3606</v>
      </c>
      <c r="B2562">
        <v>285</v>
      </c>
      <c r="C2562" t="s">
        <v>1049</v>
      </c>
      <c r="D2562">
        <v>62549</v>
      </c>
      <c r="E2562">
        <v>38332</v>
      </c>
      <c r="F2562">
        <v>30276</v>
      </c>
    </row>
    <row r="2563" spans="1:6">
      <c r="A2563" t="s">
        <v>3607</v>
      </c>
      <c r="B2563">
        <v>285</v>
      </c>
      <c r="C2563" t="s">
        <v>745</v>
      </c>
      <c r="D2563">
        <v>1667956</v>
      </c>
      <c r="E2563">
        <v>38332</v>
      </c>
      <c r="F2563">
        <v>30276</v>
      </c>
    </row>
    <row r="2564" spans="1:6">
      <c r="A2564" t="s">
        <v>3608</v>
      </c>
      <c r="B2564">
        <v>285</v>
      </c>
      <c r="C2564" t="s">
        <v>1052</v>
      </c>
      <c r="D2564">
        <v>3752901</v>
      </c>
      <c r="E2564">
        <v>38332</v>
      </c>
      <c r="F2564">
        <v>30276</v>
      </c>
    </row>
    <row r="2565" spans="1:6">
      <c r="A2565" t="s">
        <v>3609</v>
      </c>
      <c r="B2565">
        <v>285</v>
      </c>
      <c r="C2565" t="s">
        <v>164</v>
      </c>
      <c r="D2565">
        <v>40094444</v>
      </c>
      <c r="E2565">
        <v>42084</v>
      </c>
      <c r="F2565">
        <v>30276</v>
      </c>
    </row>
    <row r="2566" spans="1:6">
      <c r="A2566" t="s">
        <v>3610</v>
      </c>
      <c r="B2566">
        <v>285</v>
      </c>
      <c r="C2566" t="s">
        <v>651</v>
      </c>
      <c r="D2566">
        <v>20047222</v>
      </c>
      <c r="E2566">
        <v>42084</v>
      </c>
      <c r="F2566">
        <v>30276</v>
      </c>
    </row>
    <row r="2567" spans="1:6">
      <c r="A2567" t="s">
        <v>3611</v>
      </c>
      <c r="B2567">
        <v>286</v>
      </c>
      <c r="C2567" t="s">
        <v>154</v>
      </c>
      <c r="D2567">
        <v>421027</v>
      </c>
      <c r="E2567">
        <v>38610</v>
      </c>
      <c r="F2567">
        <v>30415</v>
      </c>
    </row>
    <row r="2568" spans="1:6">
      <c r="A2568" t="s">
        <v>3612</v>
      </c>
      <c r="B2568">
        <v>286</v>
      </c>
      <c r="C2568" t="s">
        <v>1043</v>
      </c>
      <c r="D2568">
        <v>1263081</v>
      </c>
      <c r="E2568">
        <v>38610</v>
      </c>
      <c r="F2568">
        <v>30415</v>
      </c>
    </row>
    <row r="2569" spans="1:6">
      <c r="A2569" t="s">
        <v>3613</v>
      </c>
      <c r="B2569">
        <v>286</v>
      </c>
      <c r="C2569" t="s">
        <v>1045</v>
      </c>
      <c r="D2569">
        <v>757849</v>
      </c>
      <c r="E2569">
        <v>38610</v>
      </c>
      <c r="F2569">
        <v>30415</v>
      </c>
    </row>
    <row r="2570" spans="1:6">
      <c r="A2570" t="s">
        <v>3614</v>
      </c>
      <c r="B2570">
        <v>286</v>
      </c>
      <c r="C2570" t="s">
        <v>1047</v>
      </c>
      <c r="D2570">
        <v>210514</v>
      </c>
      <c r="E2570">
        <v>38610</v>
      </c>
      <c r="F2570">
        <v>30415</v>
      </c>
    </row>
    <row r="2571" spans="1:6">
      <c r="A2571" t="s">
        <v>3615</v>
      </c>
      <c r="B2571">
        <v>286</v>
      </c>
      <c r="C2571" t="s">
        <v>1049</v>
      </c>
      <c r="D2571">
        <v>63155</v>
      </c>
      <c r="E2571">
        <v>38610</v>
      </c>
      <c r="F2571">
        <v>30415</v>
      </c>
    </row>
    <row r="2572" spans="1:6">
      <c r="A2572" t="s">
        <v>3616</v>
      </c>
      <c r="B2572">
        <v>286</v>
      </c>
      <c r="C2572" t="s">
        <v>745</v>
      </c>
      <c r="D2572">
        <v>1684108</v>
      </c>
      <c r="E2572">
        <v>38610</v>
      </c>
      <c r="F2572">
        <v>30415</v>
      </c>
    </row>
    <row r="2573" spans="1:6">
      <c r="A2573" t="s">
        <v>3617</v>
      </c>
      <c r="B2573">
        <v>286</v>
      </c>
      <c r="C2573" t="s">
        <v>1052</v>
      </c>
      <c r="D2573">
        <v>3789243</v>
      </c>
      <c r="E2573">
        <v>38610</v>
      </c>
      <c r="F2573">
        <v>30415</v>
      </c>
    </row>
    <row r="2574" spans="1:6">
      <c r="A2574" t="s">
        <v>3618</v>
      </c>
      <c r="B2574">
        <v>286</v>
      </c>
      <c r="C2574" t="s">
        <v>164</v>
      </c>
      <c r="D2574">
        <v>40511215</v>
      </c>
      <c r="E2574">
        <v>42378</v>
      </c>
      <c r="F2574">
        <v>30415</v>
      </c>
    </row>
    <row r="2575" spans="1:6">
      <c r="A2575" t="s">
        <v>3619</v>
      </c>
      <c r="B2575">
        <v>286</v>
      </c>
      <c r="C2575" t="s">
        <v>651</v>
      </c>
      <c r="D2575">
        <v>20255607</v>
      </c>
      <c r="E2575">
        <v>42378</v>
      </c>
      <c r="F2575">
        <v>30415</v>
      </c>
    </row>
    <row r="2576" spans="1:6">
      <c r="A2576" t="s">
        <v>3620</v>
      </c>
      <c r="B2576">
        <v>287</v>
      </c>
      <c r="C2576" t="s">
        <v>154</v>
      </c>
      <c r="D2576">
        <v>425096</v>
      </c>
      <c r="E2576">
        <v>38892</v>
      </c>
      <c r="F2576">
        <v>30554</v>
      </c>
    </row>
    <row r="2577" spans="1:6">
      <c r="A2577" t="s">
        <v>3621</v>
      </c>
      <c r="B2577">
        <v>287</v>
      </c>
      <c r="C2577" t="s">
        <v>1043</v>
      </c>
      <c r="D2577">
        <v>1275288</v>
      </c>
      <c r="E2577">
        <v>38892</v>
      </c>
      <c r="F2577">
        <v>30554</v>
      </c>
    </row>
    <row r="2578" spans="1:6">
      <c r="A2578" t="s">
        <v>3622</v>
      </c>
      <c r="B2578">
        <v>287</v>
      </c>
      <c r="C2578" t="s">
        <v>1045</v>
      </c>
      <c r="D2578">
        <v>765173</v>
      </c>
      <c r="E2578">
        <v>38892</v>
      </c>
      <c r="F2578">
        <v>30554</v>
      </c>
    </row>
    <row r="2579" spans="1:6">
      <c r="A2579" t="s">
        <v>3623</v>
      </c>
      <c r="B2579">
        <v>287</v>
      </c>
      <c r="C2579" t="s">
        <v>1047</v>
      </c>
      <c r="D2579">
        <v>212548</v>
      </c>
      <c r="E2579">
        <v>38892</v>
      </c>
      <c r="F2579">
        <v>30554</v>
      </c>
    </row>
    <row r="2580" spans="1:6">
      <c r="A2580" t="s">
        <v>3624</v>
      </c>
      <c r="B2580">
        <v>287</v>
      </c>
      <c r="C2580" t="s">
        <v>1049</v>
      </c>
      <c r="D2580">
        <v>63765</v>
      </c>
      <c r="E2580">
        <v>38892</v>
      </c>
      <c r="F2580">
        <v>30554</v>
      </c>
    </row>
    <row r="2581" spans="1:6">
      <c r="A2581" t="s">
        <v>3625</v>
      </c>
      <c r="B2581">
        <v>287</v>
      </c>
      <c r="C2581" t="s">
        <v>745</v>
      </c>
      <c r="D2581">
        <v>1700384</v>
      </c>
      <c r="E2581">
        <v>38892</v>
      </c>
      <c r="F2581">
        <v>30554</v>
      </c>
    </row>
    <row r="2582" spans="1:6">
      <c r="A2582" t="s">
        <v>3626</v>
      </c>
      <c r="B2582">
        <v>287</v>
      </c>
      <c r="C2582" t="s">
        <v>1052</v>
      </c>
      <c r="D2582">
        <v>3825864</v>
      </c>
      <c r="E2582">
        <v>38892</v>
      </c>
      <c r="F2582">
        <v>30554</v>
      </c>
    </row>
    <row r="2583" spans="1:6">
      <c r="A2583" t="s">
        <v>3627</v>
      </c>
      <c r="B2583">
        <v>287</v>
      </c>
      <c r="C2583" t="s">
        <v>164</v>
      </c>
      <c r="D2583">
        <v>40931352</v>
      </c>
      <c r="E2583">
        <v>42675</v>
      </c>
      <c r="F2583">
        <v>30554</v>
      </c>
    </row>
    <row r="2584" spans="1:6">
      <c r="A2584" t="s">
        <v>3628</v>
      </c>
      <c r="B2584">
        <v>287</v>
      </c>
      <c r="C2584" t="s">
        <v>651</v>
      </c>
      <c r="D2584">
        <v>20465676</v>
      </c>
      <c r="E2584">
        <v>42675</v>
      </c>
      <c r="F2584">
        <v>30554</v>
      </c>
    </row>
    <row r="2585" spans="1:6">
      <c r="A2585" t="s">
        <v>3629</v>
      </c>
      <c r="B2585">
        <v>288</v>
      </c>
      <c r="C2585" t="s">
        <v>154</v>
      </c>
      <c r="D2585">
        <v>429195</v>
      </c>
      <c r="E2585">
        <v>39174</v>
      </c>
      <c r="F2585">
        <v>30693</v>
      </c>
    </row>
    <row r="2586" spans="1:6">
      <c r="A2586" t="s">
        <v>3630</v>
      </c>
      <c r="B2586">
        <v>288</v>
      </c>
      <c r="C2586" t="s">
        <v>1043</v>
      </c>
      <c r="D2586">
        <v>1287585</v>
      </c>
      <c r="E2586">
        <v>39174</v>
      </c>
      <c r="F2586">
        <v>30693</v>
      </c>
    </row>
    <row r="2587" spans="1:6">
      <c r="A2587" t="s">
        <v>3631</v>
      </c>
      <c r="B2587">
        <v>288</v>
      </c>
      <c r="C2587" t="s">
        <v>1045</v>
      </c>
      <c r="D2587">
        <v>772551</v>
      </c>
      <c r="E2587">
        <v>39174</v>
      </c>
      <c r="F2587">
        <v>30693</v>
      </c>
    </row>
    <row r="2588" spans="1:6">
      <c r="A2588" t="s">
        <v>3632</v>
      </c>
      <c r="B2588">
        <v>288</v>
      </c>
      <c r="C2588" t="s">
        <v>1047</v>
      </c>
      <c r="D2588">
        <v>214598</v>
      </c>
      <c r="E2588">
        <v>39174</v>
      </c>
      <c r="F2588">
        <v>30693</v>
      </c>
    </row>
    <row r="2589" spans="1:6">
      <c r="A2589" t="s">
        <v>3633</v>
      </c>
      <c r="B2589">
        <v>288</v>
      </c>
      <c r="C2589" t="s">
        <v>1049</v>
      </c>
      <c r="D2589">
        <v>64380</v>
      </c>
      <c r="E2589">
        <v>39174</v>
      </c>
      <c r="F2589">
        <v>30693</v>
      </c>
    </row>
    <row r="2590" spans="1:6">
      <c r="A2590" t="s">
        <v>3634</v>
      </c>
      <c r="B2590">
        <v>288</v>
      </c>
      <c r="C2590" t="s">
        <v>745</v>
      </c>
      <c r="D2590">
        <v>1716780</v>
      </c>
      <c r="E2590">
        <v>39174</v>
      </c>
      <c r="F2590">
        <v>30693</v>
      </c>
    </row>
    <row r="2591" spans="1:6">
      <c r="A2591" t="s">
        <v>3635</v>
      </c>
      <c r="B2591">
        <v>288</v>
      </c>
      <c r="C2591" t="s">
        <v>1052</v>
      </c>
      <c r="D2591">
        <v>3862755</v>
      </c>
      <c r="E2591">
        <v>39174</v>
      </c>
      <c r="F2591">
        <v>30693</v>
      </c>
    </row>
    <row r="2592" spans="1:6">
      <c r="A2592" t="s">
        <v>3636</v>
      </c>
      <c r="B2592">
        <v>288</v>
      </c>
      <c r="C2592" t="s">
        <v>164</v>
      </c>
      <c r="D2592">
        <v>41354906</v>
      </c>
      <c r="E2592">
        <v>42973</v>
      </c>
      <c r="F2592">
        <v>30693</v>
      </c>
    </row>
    <row r="2593" spans="1:6">
      <c r="A2593" t="s">
        <v>3637</v>
      </c>
      <c r="B2593">
        <v>288</v>
      </c>
      <c r="C2593" t="s">
        <v>651</v>
      </c>
      <c r="D2593">
        <v>20677453</v>
      </c>
      <c r="E2593">
        <v>42973</v>
      </c>
      <c r="F2593">
        <v>30693</v>
      </c>
    </row>
    <row r="2594" spans="1:6">
      <c r="A2594" t="s">
        <v>3638</v>
      </c>
      <c r="B2594">
        <v>289</v>
      </c>
      <c r="C2594" t="s">
        <v>154</v>
      </c>
      <c r="D2594">
        <v>433323</v>
      </c>
      <c r="E2594">
        <v>39457</v>
      </c>
      <c r="F2594">
        <v>30833</v>
      </c>
    </row>
    <row r="2595" spans="1:6">
      <c r="A2595" t="s">
        <v>3639</v>
      </c>
      <c r="B2595">
        <v>289</v>
      </c>
      <c r="C2595" t="s">
        <v>1043</v>
      </c>
      <c r="D2595">
        <v>1299969</v>
      </c>
      <c r="E2595">
        <v>39457</v>
      </c>
      <c r="F2595">
        <v>30833</v>
      </c>
    </row>
    <row r="2596" spans="1:6">
      <c r="A2596" t="s">
        <v>3640</v>
      </c>
      <c r="B2596">
        <v>289</v>
      </c>
      <c r="C2596" t="s">
        <v>1045</v>
      </c>
      <c r="D2596">
        <v>779982</v>
      </c>
      <c r="E2596">
        <v>39457</v>
      </c>
      <c r="F2596">
        <v>30833</v>
      </c>
    </row>
    <row r="2597" spans="1:6">
      <c r="A2597" t="s">
        <v>3641</v>
      </c>
      <c r="B2597">
        <v>289</v>
      </c>
      <c r="C2597" t="s">
        <v>1047</v>
      </c>
      <c r="D2597">
        <v>216662</v>
      </c>
      <c r="E2597">
        <v>39457</v>
      </c>
      <c r="F2597">
        <v>30833</v>
      </c>
    </row>
    <row r="2598" spans="1:6">
      <c r="A2598" t="s">
        <v>3642</v>
      </c>
      <c r="B2598">
        <v>289</v>
      </c>
      <c r="C2598" t="s">
        <v>1049</v>
      </c>
      <c r="D2598">
        <v>64999</v>
      </c>
      <c r="E2598">
        <v>39457</v>
      </c>
      <c r="F2598">
        <v>30833</v>
      </c>
    </row>
    <row r="2599" spans="1:6">
      <c r="A2599" t="s">
        <v>3643</v>
      </c>
      <c r="B2599">
        <v>289</v>
      </c>
      <c r="C2599" t="s">
        <v>745</v>
      </c>
      <c r="D2599">
        <v>1733292</v>
      </c>
      <c r="E2599">
        <v>39457</v>
      </c>
      <c r="F2599">
        <v>30833</v>
      </c>
    </row>
    <row r="2600" spans="1:6">
      <c r="A2600" t="s">
        <v>3644</v>
      </c>
      <c r="B2600">
        <v>289</v>
      </c>
      <c r="C2600" t="s">
        <v>1052</v>
      </c>
      <c r="D2600">
        <v>3899907</v>
      </c>
      <c r="E2600">
        <v>39457</v>
      </c>
      <c r="F2600">
        <v>30833</v>
      </c>
    </row>
    <row r="2601" spans="1:6">
      <c r="A2601" t="s">
        <v>3645</v>
      </c>
      <c r="B2601">
        <v>289</v>
      </c>
      <c r="C2601" t="s">
        <v>164</v>
      </c>
      <c r="D2601">
        <v>41781877</v>
      </c>
      <c r="E2601">
        <v>43272</v>
      </c>
      <c r="F2601">
        <v>30833</v>
      </c>
    </row>
    <row r="2602" spans="1:6">
      <c r="A2602" t="s">
        <v>3646</v>
      </c>
      <c r="B2602">
        <v>289</v>
      </c>
      <c r="C2602" t="s">
        <v>651</v>
      </c>
      <c r="D2602">
        <v>20890938</v>
      </c>
      <c r="E2602">
        <v>43272</v>
      </c>
      <c r="F2602">
        <v>30833</v>
      </c>
    </row>
    <row r="2603" spans="1:6">
      <c r="A2603" t="s">
        <v>3647</v>
      </c>
      <c r="B2603">
        <v>290</v>
      </c>
      <c r="C2603" t="s">
        <v>154</v>
      </c>
      <c r="D2603">
        <v>437482</v>
      </c>
      <c r="E2603">
        <v>39742</v>
      </c>
      <c r="F2603">
        <v>30972</v>
      </c>
    </row>
    <row r="2604" spans="1:6">
      <c r="A2604" t="s">
        <v>3648</v>
      </c>
      <c r="B2604">
        <v>290</v>
      </c>
      <c r="C2604" t="s">
        <v>1043</v>
      </c>
      <c r="D2604">
        <v>1312446</v>
      </c>
      <c r="E2604">
        <v>39742</v>
      </c>
      <c r="F2604">
        <v>30972</v>
      </c>
    </row>
    <row r="2605" spans="1:6">
      <c r="A2605" t="s">
        <v>3649</v>
      </c>
      <c r="B2605">
        <v>290</v>
      </c>
      <c r="C2605" t="s">
        <v>1045</v>
      </c>
      <c r="D2605">
        <v>787468</v>
      </c>
      <c r="E2605">
        <v>39742</v>
      </c>
      <c r="F2605">
        <v>30972</v>
      </c>
    </row>
    <row r="2606" spans="1:6">
      <c r="A2606" t="s">
        <v>3650</v>
      </c>
      <c r="B2606">
        <v>290</v>
      </c>
      <c r="C2606" t="s">
        <v>1047</v>
      </c>
      <c r="D2606">
        <v>218741</v>
      </c>
      <c r="E2606">
        <v>39742</v>
      </c>
      <c r="F2606">
        <v>30972</v>
      </c>
    </row>
    <row r="2607" spans="1:6">
      <c r="A2607" t="s">
        <v>3651</v>
      </c>
      <c r="B2607">
        <v>290</v>
      </c>
      <c r="C2607" t="s">
        <v>1049</v>
      </c>
      <c r="D2607">
        <v>65623</v>
      </c>
      <c r="E2607">
        <v>39742</v>
      </c>
      <c r="F2607">
        <v>30972</v>
      </c>
    </row>
    <row r="2608" spans="1:6">
      <c r="A2608" t="s">
        <v>3652</v>
      </c>
      <c r="B2608">
        <v>290</v>
      </c>
      <c r="C2608" t="s">
        <v>745</v>
      </c>
      <c r="D2608">
        <v>1749928</v>
      </c>
      <c r="E2608">
        <v>39742</v>
      </c>
      <c r="F2608">
        <v>30972</v>
      </c>
    </row>
    <row r="2609" spans="1:6">
      <c r="A2609" t="s">
        <v>3653</v>
      </c>
      <c r="B2609">
        <v>290</v>
      </c>
      <c r="C2609" t="s">
        <v>1052</v>
      </c>
      <c r="D2609">
        <v>3937338</v>
      </c>
      <c r="E2609">
        <v>39742</v>
      </c>
      <c r="F2609">
        <v>30972</v>
      </c>
    </row>
    <row r="2610" spans="1:6">
      <c r="A2610" t="s">
        <v>3654</v>
      </c>
      <c r="B2610">
        <v>290</v>
      </c>
      <c r="C2610" t="s">
        <v>164</v>
      </c>
      <c r="D2610">
        <v>42212265</v>
      </c>
      <c r="E2610">
        <v>43573</v>
      </c>
      <c r="F2610">
        <v>30972</v>
      </c>
    </row>
    <row r="2611" spans="1:6">
      <c r="A2611" t="s">
        <v>3655</v>
      </c>
      <c r="B2611">
        <v>290</v>
      </c>
      <c r="C2611" t="s">
        <v>651</v>
      </c>
      <c r="D2611">
        <v>21106132</v>
      </c>
      <c r="E2611">
        <v>43573</v>
      </c>
      <c r="F2611">
        <v>30972</v>
      </c>
    </row>
    <row r="2612" spans="1:6">
      <c r="A2612" t="s">
        <v>3656</v>
      </c>
      <c r="B2612">
        <v>291</v>
      </c>
      <c r="C2612" t="s">
        <v>154</v>
      </c>
      <c r="D2612">
        <v>441671</v>
      </c>
      <c r="E2612">
        <v>40029</v>
      </c>
      <c r="F2612">
        <v>31112</v>
      </c>
    </row>
    <row r="2613" spans="1:6">
      <c r="A2613" t="s">
        <v>3657</v>
      </c>
      <c r="B2613">
        <v>291</v>
      </c>
      <c r="C2613" t="s">
        <v>1043</v>
      </c>
      <c r="D2613">
        <v>1325013</v>
      </c>
      <c r="E2613">
        <v>40029</v>
      </c>
      <c r="F2613">
        <v>31112</v>
      </c>
    </row>
    <row r="2614" spans="1:6">
      <c r="A2614" t="s">
        <v>3658</v>
      </c>
      <c r="B2614">
        <v>291</v>
      </c>
      <c r="C2614" t="s">
        <v>1045</v>
      </c>
      <c r="D2614">
        <v>795008</v>
      </c>
      <c r="E2614">
        <v>40029</v>
      </c>
      <c r="F2614">
        <v>31112</v>
      </c>
    </row>
    <row r="2615" spans="1:6">
      <c r="A2615" t="s">
        <v>3659</v>
      </c>
      <c r="B2615">
        <v>291</v>
      </c>
      <c r="C2615" t="s">
        <v>1047</v>
      </c>
      <c r="D2615">
        <v>220836</v>
      </c>
      <c r="E2615">
        <v>40029</v>
      </c>
      <c r="F2615">
        <v>31112</v>
      </c>
    </row>
    <row r="2616" spans="1:6">
      <c r="A2616" t="s">
        <v>3660</v>
      </c>
      <c r="B2616">
        <v>291</v>
      </c>
      <c r="C2616" t="s">
        <v>1049</v>
      </c>
      <c r="D2616">
        <v>66251</v>
      </c>
      <c r="E2616">
        <v>40029</v>
      </c>
      <c r="F2616">
        <v>31112</v>
      </c>
    </row>
    <row r="2617" spans="1:6">
      <c r="A2617" t="s">
        <v>3661</v>
      </c>
      <c r="B2617">
        <v>291</v>
      </c>
      <c r="C2617" t="s">
        <v>745</v>
      </c>
      <c r="D2617">
        <v>1766684</v>
      </c>
      <c r="E2617">
        <v>40029</v>
      </c>
      <c r="F2617">
        <v>31112</v>
      </c>
    </row>
    <row r="2618" spans="1:6">
      <c r="A2618" t="s">
        <v>3662</v>
      </c>
      <c r="B2618">
        <v>291</v>
      </c>
      <c r="C2618" t="s">
        <v>1052</v>
      </c>
      <c r="D2618">
        <v>3975039</v>
      </c>
      <c r="E2618">
        <v>40029</v>
      </c>
      <c r="F2618">
        <v>31112</v>
      </c>
    </row>
    <row r="2619" spans="1:6">
      <c r="A2619" t="s">
        <v>3663</v>
      </c>
      <c r="B2619">
        <v>291</v>
      </c>
      <c r="C2619" t="s">
        <v>164</v>
      </c>
      <c r="D2619">
        <v>42646121</v>
      </c>
      <c r="E2619">
        <v>43876</v>
      </c>
      <c r="F2619">
        <v>31112</v>
      </c>
    </row>
    <row r="2620" spans="1:6">
      <c r="A2620" t="s">
        <v>3664</v>
      </c>
      <c r="B2620">
        <v>291</v>
      </c>
      <c r="C2620" t="s">
        <v>651</v>
      </c>
      <c r="D2620">
        <v>21323060</v>
      </c>
      <c r="E2620">
        <v>43876</v>
      </c>
      <c r="F2620">
        <v>31112</v>
      </c>
    </row>
    <row r="2621" spans="1:6">
      <c r="A2621" t="s">
        <v>3665</v>
      </c>
      <c r="B2621">
        <v>292</v>
      </c>
      <c r="C2621" t="s">
        <v>154</v>
      </c>
      <c r="D2621">
        <v>445891</v>
      </c>
      <c r="E2621">
        <v>40317</v>
      </c>
      <c r="F2621">
        <v>31252</v>
      </c>
    </row>
    <row r="2622" spans="1:6">
      <c r="A2622" t="s">
        <v>3666</v>
      </c>
      <c r="B2622">
        <v>292</v>
      </c>
      <c r="C2622" t="s">
        <v>1043</v>
      </c>
      <c r="D2622">
        <v>1337673</v>
      </c>
      <c r="E2622">
        <v>40317</v>
      </c>
      <c r="F2622">
        <v>31252</v>
      </c>
    </row>
    <row r="2623" spans="1:6">
      <c r="A2623" t="s">
        <v>3667</v>
      </c>
      <c r="B2623">
        <v>292</v>
      </c>
      <c r="C2623" t="s">
        <v>1045</v>
      </c>
      <c r="D2623">
        <v>802604</v>
      </c>
      <c r="E2623">
        <v>40317</v>
      </c>
      <c r="F2623">
        <v>31252</v>
      </c>
    </row>
    <row r="2624" spans="1:6">
      <c r="A2624" t="s">
        <v>3668</v>
      </c>
      <c r="B2624">
        <v>292</v>
      </c>
      <c r="C2624" t="s">
        <v>1047</v>
      </c>
      <c r="D2624">
        <v>222946</v>
      </c>
      <c r="E2624">
        <v>40317</v>
      </c>
      <c r="F2624">
        <v>31252</v>
      </c>
    </row>
    <row r="2625" spans="1:6">
      <c r="A2625" t="s">
        <v>3669</v>
      </c>
      <c r="B2625">
        <v>292</v>
      </c>
      <c r="C2625" t="s">
        <v>1049</v>
      </c>
      <c r="D2625">
        <v>66884</v>
      </c>
      <c r="E2625">
        <v>40317</v>
      </c>
      <c r="F2625">
        <v>31252</v>
      </c>
    </row>
    <row r="2626" spans="1:6">
      <c r="A2626" t="s">
        <v>3670</v>
      </c>
      <c r="B2626">
        <v>292</v>
      </c>
      <c r="C2626" t="s">
        <v>745</v>
      </c>
      <c r="D2626">
        <v>1783564</v>
      </c>
      <c r="E2626">
        <v>40317</v>
      </c>
      <c r="F2626">
        <v>31252</v>
      </c>
    </row>
    <row r="2627" spans="1:6">
      <c r="A2627" t="s">
        <v>3671</v>
      </c>
      <c r="B2627">
        <v>292</v>
      </c>
      <c r="C2627" t="s">
        <v>1052</v>
      </c>
      <c r="D2627">
        <v>4013019</v>
      </c>
      <c r="E2627">
        <v>40317</v>
      </c>
      <c r="F2627">
        <v>31252</v>
      </c>
    </row>
    <row r="2628" spans="1:6">
      <c r="A2628" t="s">
        <v>3672</v>
      </c>
      <c r="B2628">
        <v>292</v>
      </c>
      <c r="C2628" t="s">
        <v>164</v>
      </c>
      <c r="D2628">
        <v>43083496</v>
      </c>
      <c r="E2628">
        <v>44180</v>
      </c>
      <c r="F2628">
        <v>31252</v>
      </c>
    </row>
    <row r="2629" spans="1:6">
      <c r="A2629" t="s">
        <v>3673</v>
      </c>
      <c r="B2629">
        <v>292</v>
      </c>
      <c r="C2629" t="s">
        <v>651</v>
      </c>
      <c r="D2629">
        <v>21541748</v>
      </c>
      <c r="E2629">
        <v>44180</v>
      </c>
      <c r="F2629">
        <v>31252</v>
      </c>
    </row>
    <row r="2630" spans="1:6">
      <c r="A2630" t="s">
        <v>3674</v>
      </c>
      <c r="B2630">
        <v>293</v>
      </c>
      <c r="C2630" t="s">
        <v>154</v>
      </c>
      <c r="D2630">
        <v>450142</v>
      </c>
      <c r="E2630">
        <v>40607</v>
      </c>
      <c r="F2630">
        <v>31393</v>
      </c>
    </row>
    <row r="2631" spans="1:6">
      <c r="A2631" t="s">
        <v>3675</v>
      </c>
      <c r="B2631">
        <v>293</v>
      </c>
      <c r="C2631" t="s">
        <v>1043</v>
      </c>
      <c r="D2631">
        <v>1350426</v>
      </c>
      <c r="E2631">
        <v>40607</v>
      </c>
      <c r="F2631">
        <v>31393</v>
      </c>
    </row>
    <row r="2632" spans="1:6">
      <c r="A2632" t="s">
        <v>3676</v>
      </c>
      <c r="B2632">
        <v>293</v>
      </c>
      <c r="C2632" t="s">
        <v>1045</v>
      </c>
      <c r="D2632">
        <v>810256</v>
      </c>
      <c r="E2632">
        <v>40607</v>
      </c>
      <c r="F2632">
        <v>31393</v>
      </c>
    </row>
    <row r="2633" spans="1:6">
      <c r="A2633" t="s">
        <v>3677</v>
      </c>
      <c r="B2633">
        <v>293</v>
      </c>
      <c r="C2633" t="s">
        <v>1047</v>
      </c>
      <c r="D2633">
        <v>225071</v>
      </c>
      <c r="E2633">
        <v>40607</v>
      </c>
      <c r="F2633">
        <v>31393</v>
      </c>
    </row>
    <row r="2634" spans="1:6">
      <c r="A2634" t="s">
        <v>3678</v>
      </c>
      <c r="B2634">
        <v>293</v>
      </c>
      <c r="C2634" t="s">
        <v>1049</v>
      </c>
      <c r="D2634">
        <v>67522</v>
      </c>
      <c r="E2634">
        <v>40607</v>
      </c>
      <c r="F2634">
        <v>31393</v>
      </c>
    </row>
    <row r="2635" spans="1:6">
      <c r="A2635" t="s">
        <v>3679</v>
      </c>
      <c r="B2635">
        <v>293</v>
      </c>
      <c r="C2635" t="s">
        <v>745</v>
      </c>
      <c r="D2635">
        <v>1800568</v>
      </c>
      <c r="E2635">
        <v>40607</v>
      </c>
      <c r="F2635">
        <v>31393</v>
      </c>
    </row>
    <row r="2636" spans="1:6">
      <c r="A2636" t="s">
        <v>3680</v>
      </c>
      <c r="B2636">
        <v>293</v>
      </c>
      <c r="C2636" t="s">
        <v>1052</v>
      </c>
      <c r="D2636">
        <v>4051278</v>
      </c>
      <c r="E2636">
        <v>40607</v>
      </c>
      <c r="F2636">
        <v>31393</v>
      </c>
    </row>
    <row r="2637" spans="1:6">
      <c r="A2637" t="s">
        <v>3681</v>
      </c>
      <c r="B2637">
        <v>293</v>
      </c>
      <c r="C2637" t="s">
        <v>164</v>
      </c>
      <c r="D2637">
        <v>43524288</v>
      </c>
      <c r="E2637">
        <v>44486</v>
      </c>
      <c r="F2637">
        <v>31393</v>
      </c>
    </row>
    <row r="2638" spans="1:6">
      <c r="A2638" t="s">
        <v>3682</v>
      </c>
      <c r="B2638">
        <v>293</v>
      </c>
      <c r="C2638" t="s">
        <v>651</v>
      </c>
      <c r="D2638">
        <v>21762144</v>
      </c>
      <c r="E2638">
        <v>44486</v>
      </c>
      <c r="F2638">
        <v>31393</v>
      </c>
    </row>
    <row r="2639" spans="1:6">
      <c r="A2639" t="s">
        <v>3683</v>
      </c>
      <c r="B2639">
        <v>294</v>
      </c>
      <c r="C2639" t="s">
        <v>154</v>
      </c>
      <c r="D2639">
        <v>454423</v>
      </c>
      <c r="E2639">
        <v>40898</v>
      </c>
      <c r="F2639">
        <v>31533</v>
      </c>
    </row>
    <row r="2640" spans="1:6">
      <c r="A2640" t="s">
        <v>3684</v>
      </c>
      <c r="B2640">
        <v>294</v>
      </c>
      <c r="C2640" t="s">
        <v>1043</v>
      </c>
      <c r="D2640">
        <v>1363269</v>
      </c>
      <c r="E2640">
        <v>40898</v>
      </c>
      <c r="F2640">
        <v>31533</v>
      </c>
    </row>
    <row r="2641" spans="1:6">
      <c r="A2641" t="s">
        <v>3685</v>
      </c>
      <c r="B2641">
        <v>294</v>
      </c>
      <c r="C2641" t="s">
        <v>1045</v>
      </c>
      <c r="D2641">
        <v>817962</v>
      </c>
      <c r="E2641">
        <v>40898</v>
      </c>
      <c r="F2641">
        <v>31533</v>
      </c>
    </row>
    <row r="2642" spans="1:6">
      <c r="A2642" t="s">
        <v>3686</v>
      </c>
      <c r="B2642">
        <v>294</v>
      </c>
      <c r="C2642" t="s">
        <v>1047</v>
      </c>
      <c r="D2642">
        <v>227212</v>
      </c>
      <c r="E2642">
        <v>40898</v>
      </c>
      <c r="F2642">
        <v>31533</v>
      </c>
    </row>
    <row r="2643" spans="1:6">
      <c r="A2643" t="s">
        <v>3687</v>
      </c>
      <c r="B2643">
        <v>294</v>
      </c>
      <c r="C2643" t="s">
        <v>1049</v>
      </c>
      <c r="D2643">
        <v>68164</v>
      </c>
      <c r="E2643">
        <v>40898</v>
      </c>
      <c r="F2643">
        <v>31533</v>
      </c>
    </row>
    <row r="2644" spans="1:6">
      <c r="A2644" t="s">
        <v>3688</v>
      </c>
      <c r="B2644">
        <v>294</v>
      </c>
      <c r="C2644" t="s">
        <v>745</v>
      </c>
      <c r="D2644">
        <v>1817692</v>
      </c>
      <c r="E2644">
        <v>40898</v>
      </c>
      <c r="F2644">
        <v>31533</v>
      </c>
    </row>
    <row r="2645" spans="1:6">
      <c r="A2645" t="s">
        <v>3689</v>
      </c>
      <c r="B2645">
        <v>294</v>
      </c>
      <c r="C2645" t="s">
        <v>1052</v>
      </c>
      <c r="D2645">
        <v>4089807</v>
      </c>
      <c r="E2645">
        <v>40898</v>
      </c>
      <c r="F2645">
        <v>31533</v>
      </c>
    </row>
    <row r="2646" spans="1:6">
      <c r="A2646" t="s">
        <v>3690</v>
      </c>
      <c r="B2646">
        <v>294</v>
      </c>
      <c r="C2646" t="s">
        <v>164</v>
      </c>
      <c r="D2646">
        <v>43968650</v>
      </c>
      <c r="E2646">
        <v>44793</v>
      </c>
      <c r="F2646">
        <v>31533</v>
      </c>
    </row>
    <row r="2647" spans="1:6">
      <c r="A2647" t="s">
        <v>3691</v>
      </c>
      <c r="B2647">
        <v>294</v>
      </c>
      <c r="C2647" t="s">
        <v>651</v>
      </c>
      <c r="D2647">
        <v>21984325</v>
      </c>
      <c r="E2647">
        <v>44793</v>
      </c>
      <c r="F2647">
        <v>31533</v>
      </c>
    </row>
    <row r="2648" spans="1:6">
      <c r="A2648" t="s">
        <v>3692</v>
      </c>
      <c r="B2648">
        <v>295</v>
      </c>
      <c r="C2648" t="s">
        <v>154</v>
      </c>
      <c r="D2648">
        <v>458736</v>
      </c>
      <c r="E2648">
        <v>41191</v>
      </c>
      <c r="F2648">
        <v>31674</v>
      </c>
    </row>
    <row r="2649" spans="1:6">
      <c r="A2649" t="s">
        <v>3693</v>
      </c>
      <c r="B2649">
        <v>295</v>
      </c>
      <c r="C2649" t="s">
        <v>1043</v>
      </c>
      <c r="D2649">
        <v>1376208</v>
      </c>
      <c r="E2649">
        <v>41191</v>
      </c>
      <c r="F2649">
        <v>31674</v>
      </c>
    </row>
    <row r="2650" spans="1:6">
      <c r="A2650" t="s">
        <v>3694</v>
      </c>
      <c r="B2650">
        <v>295</v>
      </c>
      <c r="C2650" t="s">
        <v>1045</v>
      </c>
      <c r="D2650">
        <v>825725</v>
      </c>
      <c r="E2650">
        <v>41191</v>
      </c>
      <c r="F2650">
        <v>31674</v>
      </c>
    </row>
    <row r="2651" spans="1:6">
      <c r="A2651" t="s">
        <v>3695</v>
      </c>
      <c r="B2651">
        <v>295</v>
      </c>
      <c r="C2651" t="s">
        <v>1047</v>
      </c>
      <c r="D2651">
        <v>229368</v>
      </c>
      <c r="E2651">
        <v>41191</v>
      </c>
      <c r="F2651">
        <v>31674</v>
      </c>
    </row>
    <row r="2652" spans="1:6">
      <c r="A2652" t="s">
        <v>3696</v>
      </c>
      <c r="B2652">
        <v>295</v>
      </c>
      <c r="C2652" t="s">
        <v>1049</v>
      </c>
      <c r="D2652">
        <v>68811</v>
      </c>
      <c r="E2652">
        <v>41191</v>
      </c>
      <c r="F2652">
        <v>31674</v>
      </c>
    </row>
    <row r="2653" spans="1:6">
      <c r="A2653" t="s">
        <v>3697</v>
      </c>
      <c r="B2653">
        <v>295</v>
      </c>
      <c r="C2653" t="s">
        <v>745</v>
      </c>
      <c r="D2653">
        <v>1834944</v>
      </c>
      <c r="E2653">
        <v>41191</v>
      </c>
      <c r="F2653">
        <v>31674</v>
      </c>
    </row>
    <row r="2654" spans="1:6">
      <c r="A2654" t="s">
        <v>3698</v>
      </c>
      <c r="B2654">
        <v>295</v>
      </c>
      <c r="C2654" t="s">
        <v>1052</v>
      </c>
      <c r="D2654">
        <v>4128624</v>
      </c>
      <c r="E2654">
        <v>41191</v>
      </c>
      <c r="F2654">
        <v>31674</v>
      </c>
    </row>
    <row r="2655" spans="1:6">
      <c r="A2655" t="s">
        <v>3699</v>
      </c>
      <c r="B2655">
        <v>295</v>
      </c>
      <c r="C2655" t="s">
        <v>164</v>
      </c>
      <c r="D2655">
        <v>44416582</v>
      </c>
      <c r="E2655">
        <v>45102</v>
      </c>
      <c r="F2655">
        <v>31674</v>
      </c>
    </row>
    <row r="2656" spans="1:6">
      <c r="A2656" t="s">
        <v>3700</v>
      </c>
      <c r="B2656">
        <v>295</v>
      </c>
      <c r="C2656" t="s">
        <v>651</v>
      </c>
      <c r="D2656">
        <v>22208291</v>
      </c>
      <c r="E2656">
        <v>45102</v>
      </c>
      <c r="F2656">
        <v>31674</v>
      </c>
    </row>
    <row r="2657" spans="1:6">
      <c r="A2657" t="s">
        <v>3701</v>
      </c>
      <c r="B2657">
        <v>296</v>
      </c>
      <c r="C2657" t="s">
        <v>154</v>
      </c>
      <c r="D2657">
        <v>463079</v>
      </c>
      <c r="E2657">
        <v>41486</v>
      </c>
      <c r="F2657">
        <v>31815</v>
      </c>
    </row>
    <row r="2658" spans="1:6">
      <c r="A2658" t="s">
        <v>3702</v>
      </c>
      <c r="B2658">
        <v>296</v>
      </c>
      <c r="C2658" t="s">
        <v>1043</v>
      </c>
      <c r="D2658">
        <v>1389237</v>
      </c>
      <c r="E2658">
        <v>41486</v>
      </c>
      <c r="F2658">
        <v>31815</v>
      </c>
    </row>
    <row r="2659" spans="1:6">
      <c r="A2659" t="s">
        <v>3703</v>
      </c>
      <c r="B2659">
        <v>296</v>
      </c>
      <c r="C2659" t="s">
        <v>1045</v>
      </c>
      <c r="D2659">
        <v>833543</v>
      </c>
      <c r="E2659">
        <v>41486</v>
      </c>
      <c r="F2659">
        <v>31815</v>
      </c>
    </row>
    <row r="2660" spans="1:6">
      <c r="A2660" t="s">
        <v>3704</v>
      </c>
      <c r="B2660">
        <v>296</v>
      </c>
      <c r="C2660" t="s">
        <v>1047</v>
      </c>
      <c r="D2660">
        <v>231540</v>
      </c>
      <c r="E2660">
        <v>41486</v>
      </c>
      <c r="F2660">
        <v>31815</v>
      </c>
    </row>
    <row r="2661" spans="1:6">
      <c r="A2661" t="s">
        <v>3705</v>
      </c>
      <c r="B2661">
        <v>296</v>
      </c>
      <c r="C2661" t="s">
        <v>1049</v>
      </c>
      <c r="D2661">
        <v>69462</v>
      </c>
      <c r="E2661">
        <v>41486</v>
      </c>
      <c r="F2661">
        <v>31815</v>
      </c>
    </row>
    <row r="2662" spans="1:6">
      <c r="A2662" t="s">
        <v>3706</v>
      </c>
      <c r="B2662">
        <v>296</v>
      </c>
      <c r="C2662" t="s">
        <v>745</v>
      </c>
      <c r="D2662">
        <v>1852316</v>
      </c>
      <c r="E2662">
        <v>41486</v>
      </c>
      <c r="F2662">
        <v>31815</v>
      </c>
    </row>
    <row r="2663" spans="1:6">
      <c r="A2663" t="s">
        <v>3707</v>
      </c>
      <c r="B2663">
        <v>296</v>
      </c>
      <c r="C2663" t="s">
        <v>1052</v>
      </c>
      <c r="D2663">
        <v>4167711</v>
      </c>
      <c r="E2663">
        <v>41486</v>
      </c>
      <c r="F2663">
        <v>31815</v>
      </c>
    </row>
    <row r="2664" spans="1:6">
      <c r="A2664" t="s">
        <v>3708</v>
      </c>
      <c r="B2664">
        <v>296</v>
      </c>
      <c r="C2664" t="s">
        <v>164</v>
      </c>
      <c r="D2664">
        <v>44868033</v>
      </c>
      <c r="E2664">
        <v>45413</v>
      </c>
      <c r="F2664">
        <v>31815</v>
      </c>
    </row>
    <row r="2665" spans="1:6">
      <c r="A2665" t="s">
        <v>3709</v>
      </c>
      <c r="B2665">
        <v>296</v>
      </c>
      <c r="C2665" t="s">
        <v>651</v>
      </c>
      <c r="D2665">
        <v>22434017</v>
      </c>
      <c r="E2665">
        <v>45413</v>
      </c>
      <c r="F2665">
        <v>31815</v>
      </c>
    </row>
    <row r="2666" spans="1:6">
      <c r="A2666" t="s">
        <v>3710</v>
      </c>
      <c r="B2666">
        <v>297</v>
      </c>
      <c r="C2666" t="s">
        <v>154</v>
      </c>
      <c r="D2666">
        <v>467454</v>
      </c>
      <c r="E2666">
        <v>41782</v>
      </c>
      <c r="F2666">
        <v>31956</v>
      </c>
    </row>
    <row r="2667" spans="1:6">
      <c r="A2667" t="s">
        <v>3711</v>
      </c>
      <c r="B2667">
        <v>297</v>
      </c>
      <c r="C2667" t="s">
        <v>1043</v>
      </c>
      <c r="D2667">
        <v>1402362</v>
      </c>
      <c r="E2667">
        <v>41782</v>
      </c>
      <c r="F2667">
        <v>31956</v>
      </c>
    </row>
    <row r="2668" spans="1:6">
      <c r="A2668" t="s">
        <v>3712</v>
      </c>
      <c r="B2668">
        <v>297</v>
      </c>
      <c r="C2668" t="s">
        <v>1045</v>
      </c>
      <c r="D2668">
        <v>841418</v>
      </c>
      <c r="E2668">
        <v>41782</v>
      </c>
      <c r="F2668">
        <v>31956</v>
      </c>
    </row>
    <row r="2669" spans="1:6">
      <c r="A2669" t="s">
        <v>3713</v>
      </c>
      <c r="B2669">
        <v>297</v>
      </c>
      <c r="C2669" t="s">
        <v>1047</v>
      </c>
      <c r="D2669">
        <v>233727</v>
      </c>
      <c r="E2669">
        <v>41782</v>
      </c>
      <c r="F2669">
        <v>31956</v>
      </c>
    </row>
    <row r="2670" spans="1:6">
      <c r="A2670" t="s">
        <v>3714</v>
      </c>
      <c r="B2670">
        <v>297</v>
      </c>
      <c r="C2670" t="s">
        <v>1049</v>
      </c>
      <c r="D2670">
        <v>70119</v>
      </c>
      <c r="E2670">
        <v>41782</v>
      </c>
      <c r="F2670">
        <v>31956</v>
      </c>
    </row>
    <row r="2671" spans="1:6">
      <c r="A2671" t="s">
        <v>3715</v>
      </c>
      <c r="B2671">
        <v>297</v>
      </c>
      <c r="C2671" t="s">
        <v>745</v>
      </c>
      <c r="D2671">
        <v>1869816</v>
      </c>
      <c r="E2671">
        <v>41782</v>
      </c>
      <c r="F2671">
        <v>31956</v>
      </c>
    </row>
    <row r="2672" spans="1:6">
      <c r="A2672" t="s">
        <v>3716</v>
      </c>
      <c r="B2672">
        <v>297</v>
      </c>
      <c r="C2672" t="s">
        <v>1052</v>
      </c>
      <c r="D2672">
        <v>4207086</v>
      </c>
      <c r="E2672">
        <v>41782</v>
      </c>
      <c r="F2672">
        <v>31956</v>
      </c>
    </row>
    <row r="2673" spans="1:6">
      <c r="A2673" t="s">
        <v>3717</v>
      </c>
      <c r="B2673">
        <v>297</v>
      </c>
      <c r="C2673" t="s">
        <v>164</v>
      </c>
      <c r="D2673">
        <v>45323106</v>
      </c>
      <c r="E2673">
        <v>45725</v>
      </c>
      <c r="F2673">
        <v>31956</v>
      </c>
    </row>
    <row r="2674" spans="1:6">
      <c r="A2674" t="s">
        <v>3718</v>
      </c>
      <c r="B2674">
        <v>297</v>
      </c>
      <c r="C2674" t="s">
        <v>651</v>
      </c>
      <c r="D2674">
        <v>22661553</v>
      </c>
      <c r="E2674">
        <v>45725</v>
      </c>
      <c r="F2674">
        <v>31956</v>
      </c>
    </row>
    <row r="2675" spans="1:6">
      <c r="A2675" t="s">
        <v>3719</v>
      </c>
      <c r="B2675">
        <v>298</v>
      </c>
      <c r="C2675" t="s">
        <v>154</v>
      </c>
      <c r="D2675">
        <v>471861</v>
      </c>
      <c r="E2675">
        <v>42080</v>
      </c>
      <c r="F2675">
        <v>32098</v>
      </c>
    </row>
    <row r="2676" spans="1:6">
      <c r="A2676" t="s">
        <v>3720</v>
      </c>
      <c r="B2676">
        <v>298</v>
      </c>
      <c r="C2676" t="s">
        <v>1043</v>
      </c>
      <c r="D2676">
        <v>1415583</v>
      </c>
      <c r="E2676">
        <v>42080</v>
      </c>
      <c r="F2676">
        <v>32098</v>
      </c>
    </row>
    <row r="2677" spans="1:6">
      <c r="A2677" t="s">
        <v>3721</v>
      </c>
      <c r="B2677">
        <v>298</v>
      </c>
      <c r="C2677" t="s">
        <v>1045</v>
      </c>
      <c r="D2677">
        <v>849350</v>
      </c>
      <c r="E2677">
        <v>42080</v>
      </c>
      <c r="F2677">
        <v>32098</v>
      </c>
    </row>
    <row r="2678" spans="1:6">
      <c r="A2678" t="s">
        <v>3722</v>
      </c>
      <c r="B2678">
        <v>298</v>
      </c>
      <c r="C2678" t="s">
        <v>1047</v>
      </c>
      <c r="D2678">
        <v>235931</v>
      </c>
      <c r="E2678">
        <v>42080</v>
      </c>
      <c r="F2678">
        <v>32098</v>
      </c>
    </row>
    <row r="2679" spans="1:6">
      <c r="A2679" t="s">
        <v>3723</v>
      </c>
      <c r="B2679">
        <v>298</v>
      </c>
      <c r="C2679" t="s">
        <v>1049</v>
      </c>
      <c r="D2679">
        <v>70780</v>
      </c>
      <c r="E2679">
        <v>42080</v>
      </c>
      <c r="F2679">
        <v>32098</v>
      </c>
    </row>
    <row r="2680" spans="1:6">
      <c r="A2680" t="s">
        <v>3724</v>
      </c>
      <c r="B2680">
        <v>298</v>
      </c>
      <c r="C2680" t="s">
        <v>745</v>
      </c>
      <c r="D2680">
        <v>1887444</v>
      </c>
      <c r="E2680">
        <v>42080</v>
      </c>
      <c r="F2680">
        <v>32098</v>
      </c>
    </row>
    <row r="2681" spans="1:6">
      <c r="A2681" t="s">
        <v>3725</v>
      </c>
      <c r="B2681">
        <v>298</v>
      </c>
      <c r="C2681" t="s">
        <v>1052</v>
      </c>
      <c r="D2681">
        <v>4246749</v>
      </c>
      <c r="E2681">
        <v>42080</v>
      </c>
      <c r="F2681">
        <v>32098</v>
      </c>
    </row>
    <row r="2682" spans="1:6">
      <c r="A2682" t="s">
        <v>3726</v>
      </c>
      <c r="B2682">
        <v>298</v>
      </c>
      <c r="C2682" t="s">
        <v>164</v>
      </c>
      <c r="D2682">
        <v>45781748</v>
      </c>
      <c r="E2682">
        <v>46039</v>
      </c>
      <c r="F2682">
        <v>32098</v>
      </c>
    </row>
    <row r="2683" spans="1:6">
      <c r="A2683" t="s">
        <v>3727</v>
      </c>
      <c r="B2683">
        <v>298</v>
      </c>
      <c r="C2683" t="s">
        <v>651</v>
      </c>
      <c r="D2683">
        <v>22890874</v>
      </c>
      <c r="E2683">
        <v>46039</v>
      </c>
      <c r="F2683">
        <v>32098</v>
      </c>
    </row>
    <row r="2684" spans="1:6">
      <c r="A2684" t="s">
        <v>3728</v>
      </c>
      <c r="B2684">
        <v>299</v>
      </c>
      <c r="C2684" t="s">
        <v>154</v>
      </c>
      <c r="D2684">
        <v>476300</v>
      </c>
      <c r="E2684">
        <v>42380</v>
      </c>
      <c r="F2684">
        <v>32240</v>
      </c>
    </row>
    <row r="2685" spans="1:6">
      <c r="A2685" t="s">
        <v>3729</v>
      </c>
      <c r="B2685">
        <v>299</v>
      </c>
      <c r="C2685" t="s">
        <v>1043</v>
      </c>
      <c r="D2685">
        <v>1428900</v>
      </c>
      <c r="E2685">
        <v>42380</v>
      </c>
      <c r="F2685">
        <v>32240</v>
      </c>
    </row>
    <row r="2686" spans="1:6">
      <c r="A2686" t="s">
        <v>3730</v>
      </c>
      <c r="B2686">
        <v>299</v>
      </c>
      <c r="C2686" t="s">
        <v>1045</v>
      </c>
      <c r="D2686">
        <v>857340</v>
      </c>
      <c r="E2686">
        <v>42380</v>
      </c>
      <c r="F2686">
        <v>32240</v>
      </c>
    </row>
    <row r="2687" spans="1:6">
      <c r="A2687" t="s">
        <v>3731</v>
      </c>
      <c r="B2687">
        <v>299</v>
      </c>
      <c r="C2687" t="s">
        <v>1047</v>
      </c>
      <c r="D2687">
        <v>238150</v>
      </c>
      <c r="E2687">
        <v>42380</v>
      </c>
      <c r="F2687">
        <v>32240</v>
      </c>
    </row>
    <row r="2688" spans="1:6">
      <c r="A2688" t="s">
        <v>3732</v>
      </c>
      <c r="B2688">
        <v>299</v>
      </c>
      <c r="C2688" t="s">
        <v>1049</v>
      </c>
      <c r="D2688">
        <v>71445</v>
      </c>
      <c r="E2688">
        <v>42380</v>
      </c>
      <c r="F2688">
        <v>32240</v>
      </c>
    </row>
    <row r="2689" spans="1:6">
      <c r="A2689" t="s">
        <v>3733</v>
      </c>
      <c r="B2689">
        <v>299</v>
      </c>
      <c r="C2689" t="s">
        <v>745</v>
      </c>
      <c r="D2689">
        <v>1905200</v>
      </c>
      <c r="E2689">
        <v>42380</v>
      </c>
      <c r="F2689">
        <v>32240</v>
      </c>
    </row>
    <row r="2690" spans="1:6">
      <c r="A2690" t="s">
        <v>3734</v>
      </c>
      <c r="B2690">
        <v>299</v>
      </c>
      <c r="C2690" t="s">
        <v>1052</v>
      </c>
      <c r="D2690">
        <v>4286700</v>
      </c>
      <c r="E2690">
        <v>42380</v>
      </c>
      <c r="F2690">
        <v>32240</v>
      </c>
    </row>
    <row r="2691" spans="1:6">
      <c r="A2691" t="s">
        <v>3735</v>
      </c>
      <c r="B2691">
        <v>299</v>
      </c>
      <c r="C2691" t="s">
        <v>164</v>
      </c>
      <c r="D2691">
        <v>46244062</v>
      </c>
      <c r="E2691">
        <v>46355</v>
      </c>
      <c r="F2691">
        <v>32240</v>
      </c>
    </row>
    <row r="2692" spans="1:6">
      <c r="A2692" t="s">
        <v>3736</v>
      </c>
      <c r="B2692">
        <v>299</v>
      </c>
      <c r="C2692" t="s">
        <v>651</v>
      </c>
      <c r="D2692">
        <v>23122031</v>
      </c>
      <c r="E2692">
        <v>46355</v>
      </c>
      <c r="F2692">
        <v>32240</v>
      </c>
    </row>
    <row r="2693" spans="1:6">
      <c r="A2693" t="s">
        <v>3737</v>
      </c>
      <c r="B2693">
        <v>300</v>
      </c>
      <c r="C2693" t="s">
        <v>154</v>
      </c>
      <c r="D2693">
        <v>480770</v>
      </c>
      <c r="E2693">
        <v>42680</v>
      </c>
      <c r="F2693">
        <v>32382</v>
      </c>
    </row>
    <row r="2694" spans="1:6">
      <c r="A2694" t="s">
        <v>3738</v>
      </c>
      <c r="B2694">
        <v>300</v>
      </c>
      <c r="C2694" t="s">
        <v>1043</v>
      </c>
      <c r="D2694">
        <v>1442310</v>
      </c>
      <c r="E2694">
        <v>42680</v>
      </c>
      <c r="F2694">
        <v>32382</v>
      </c>
    </row>
    <row r="2695" spans="1:6">
      <c r="A2695" t="s">
        <v>3739</v>
      </c>
      <c r="B2695">
        <v>300</v>
      </c>
      <c r="C2695" t="s">
        <v>1045</v>
      </c>
      <c r="D2695">
        <v>865386</v>
      </c>
      <c r="E2695">
        <v>42680</v>
      </c>
      <c r="F2695">
        <v>32382</v>
      </c>
    </row>
    <row r="2696" spans="1:6">
      <c r="A2696" t="s">
        <v>3740</v>
      </c>
      <c r="B2696">
        <v>300</v>
      </c>
      <c r="C2696" t="s">
        <v>1047</v>
      </c>
      <c r="D2696">
        <v>240385</v>
      </c>
      <c r="E2696">
        <v>42680</v>
      </c>
      <c r="F2696">
        <v>32382</v>
      </c>
    </row>
    <row r="2697" spans="1:6">
      <c r="A2697" t="s">
        <v>3741</v>
      </c>
      <c r="B2697">
        <v>300</v>
      </c>
      <c r="C2697" t="s">
        <v>1049</v>
      </c>
      <c r="D2697">
        <v>72116</v>
      </c>
      <c r="E2697">
        <v>42680</v>
      </c>
      <c r="F2697">
        <v>32382</v>
      </c>
    </row>
    <row r="2698" spans="1:6">
      <c r="A2698" t="s">
        <v>3742</v>
      </c>
      <c r="B2698">
        <v>300</v>
      </c>
      <c r="C2698" t="s">
        <v>745</v>
      </c>
      <c r="D2698">
        <v>1923080</v>
      </c>
      <c r="E2698">
        <v>42680</v>
      </c>
      <c r="F2698">
        <v>32382</v>
      </c>
    </row>
    <row r="2699" spans="1:6">
      <c r="A2699" t="s">
        <v>3743</v>
      </c>
      <c r="B2699">
        <v>300</v>
      </c>
      <c r="C2699" t="s">
        <v>1052</v>
      </c>
      <c r="D2699">
        <v>4326930</v>
      </c>
      <c r="E2699">
        <v>42680</v>
      </c>
      <c r="F2699">
        <v>32382</v>
      </c>
    </row>
    <row r="2700" spans="1:6">
      <c r="A2700" t="s">
        <v>3744</v>
      </c>
      <c r="B2700">
        <v>300</v>
      </c>
      <c r="C2700" t="s">
        <v>164</v>
      </c>
      <c r="D2700">
        <v>46709998</v>
      </c>
      <c r="E2700">
        <v>46672</v>
      </c>
      <c r="F2700">
        <v>32382</v>
      </c>
    </row>
    <row r="2701" spans="1:6">
      <c r="A2701" t="s">
        <v>3745</v>
      </c>
      <c r="B2701">
        <v>300</v>
      </c>
      <c r="C2701" t="s">
        <v>651</v>
      </c>
      <c r="D2701">
        <v>23354999</v>
      </c>
      <c r="E2701">
        <v>46672</v>
      </c>
      <c r="F2701">
        <v>32382</v>
      </c>
    </row>
    <row r="2702" spans="1:6">
      <c r="A2702" t="s">
        <v>3746</v>
      </c>
      <c r="B2702">
        <v>301</v>
      </c>
      <c r="C2702" t="s">
        <v>154</v>
      </c>
      <c r="D2702">
        <v>485273</v>
      </c>
      <c r="E2702">
        <v>42983</v>
      </c>
      <c r="F2702">
        <v>32524</v>
      </c>
    </row>
    <row r="2703" spans="1:6">
      <c r="A2703" t="s">
        <v>3747</v>
      </c>
      <c r="B2703">
        <v>301</v>
      </c>
      <c r="C2703" t="s">
        <v>1043</v>
      </c>
      <c r="D2703">
        <v>1455819</v>
      </c>
      <c r="E2703">
        <v>42983</v>
      </c>
      <c r="F2703">
        <v>32524</v>
      </c>
    </row>
    <row r="2704" spans="1:6">
      <c r="A2704" t="s">
        <v>3748</v>
      </c>
      <c r="B2704">
        <v>301</v>
      </c>
      <c r="C2704" t="s">
        <v>1045</v>
      </c>
      <c r="D2704">
        <v>873492</v>
      </c>
      <c r="E2704">
        <v>42983</v>
      </c>
      <c r="F2704">
        <v>32524</v>
      </c>
    </row>
    <row r="2705" spans="1:6">
      <c r="A2705" t="s">
        <v>3749</v>
      </c>
      <c r="B2705">
        <v>301</v>
      </c>
      <c r="C2705" t="s">
        <v>1047</v>
      </c>
      <c r="D2705">
        <v>242637</v>
      </c>
      <c r="E2705">
        <v>42983</v>
      </c>
      <c r="F2705">
        <v>32524</v>
      </c>
    </row>
    <row r="2706" spans="1:6">
      <c r="A2706" t="s">
        <v>3750</v>
      </c>
      <c r="B2706">
        <v>301</v>
      </c>
      <c r="C2706" t="s">
        <v>1049</v>
      </c>
      <c r="D2706">
        <v>72791</v>
      </c>
      <c r="E2706">
        <v>42983</v>
      </c>
      <c r="F2706">
        <v>32524</v>
      </c>
    </row>
    <row r="2707" spans="1:6">
      <c r="A2707" t="s">
        <v>3751</v>
      </c>
      <c r="B2707">
        <v>301</v>
      </c>
      <c r="C2707" t="s">
        <v>745</v>
      </c>
      <c r="D2707">
        <v>1941092</v>
      </c>
      <c r="E2707">
        <v>42983</v>
      </c>
      <c r="F2707">
        <v>32524</v>
      </c>
    </row>
    <row r="2708" spans="1:6">
      <c r="A2708" t="s">
        <v>3752</v>
      </c>
      <c r="B2708">
        <v>301</v>
      </c>
      <c r="C2708" t="s">
        <v>1052</v>
      </c>
      <c r="D2708">
        <v>4367457</v>
      </c>
      <c r="E2708">
        <v>42983</v>
      </c>
      <c r="F2708">
        <v>32524</v>
      </c>
    </row>
    <row r="2709" spans="1:6">
      <c r="A2709" t="s">
        <v>3753</v>
      </c>
      <c r="B2709">
        <v>301</v>
      </c>
      <c r="C2709" t="s">
        <v>164</v>
      </c>
      <c r="D2709">
        <v>47179605</v>
      </c>
      <c r="E2709">
        <v>46991</v>
      </c>
      <c r="F2709">
        <v>32524</v>
      </c>
    </row>
    <row r="2710" spans="1:6">
      <c r="A2710" t="s">
        <v>3754</v>
      </c>
      <c r="B2710">
        <v>301</v>
      </c>
      <c r="C2710" t="s">
        <v>651</v>
      </c>
      <c r="D2710">
        <v>23589802</v>
      </c>
      <c r="E2710">
        <v>46991</v>
      </c>
      <c r="F2710">
        <v>32524</v>
      </c>
    </row>
    <row r="2711" spans="1:6">
      <c r="A2711" t="s">
        <v>3755</v>
      </c>
      <c r="B2711">
        <v>302</v>
      </c>
      <c r="C2711" t="s">
        <v>154</v>
      </c>
      <c r="D2711">
        <v>489807</v>
      </c>
      <c r="E2711">
        <v>43288</v>
      </c>
      <c r="F2711">
        <v>32666</v>
      </c>
    </row>
    <row r="2712" spans="1:6">
      <c r="A2712" t="s">
        <v>3756</v>
      </c>
      <c r="B2712">
        <v>302</v>
      </c>
      <c r="C2712" t="s">
        <v>1043</v>
      </c>
      <c r="D2712">
        <v>1469421</v>
      </c>
      <c r="E2712">
        <v>43288</v>
      </c>
      <c r="F2712">
        <v>32666</v>
      </c>
    </row>
    <row r="2713" spans="1:6">
      <c r="A2713" t="s">
        <v>3757</v>
      </c>
      <c r="B2713">
        <v>302</v>
      </c>
      <c r="C2713" t="s">
        <v>1045</v>
      </c>
      <c r="D2713">
        <v>881653</v>
      </c>
      <c r="E2713">
        <v>43288</v>
      </c>
      <c r="F2713">
        <v>32666</v>
      </c>
    </row>
    <row r="2714" spans="1:6">
      <c r="A2714" t="s">
        <v>3758</v>
      </c>
      <c r="B2714">
        <v>302</v>
      </c>
      <c r="C2714" t="s">
        <v>1047</v>
      </c>
      <c r="D2714">
        <v>244904</v>
      </c>
      <c r="E2714">
        <v>43288</v>
      </c>
      <c r="F2714">
        <v>32666</v>
      </c>
    </row>
    <row r="2715" spans="1:6">
      <c r="A2715" t="s">
        <v>3759</v>
      </c>
      <c r="B2715">
        <v>302</v>
      </c>
      <c r="C2715" t="s">
        <v>1049</v>
      </c>
      <c r="D2715">
        <v>73472</v>
      </c>
      <c r="E2715">
        <v>43288</v>
      </c>
      <c r="F2715">
        <v>32666</v>
      </c>
    </row>
    <row r="2716" spans="1:6">
      <c r="A2716" t="s">
        <v>3760</v>
      </c>
      <c r="B2716">
        <v>302</v>
      </c>
      <c r="C2716" t="s">
        <v>745</v>
      </c>
      <c r="D2716">
        <v>1959228</v>
      </c>
      <c r="E2716">
        <v>43288</v>
      </c>
      <c r="F2716">
        <v>32666</v>
      </c>
    </row>
    <row r="2717" spans="1:6">
      <c r="A2717" t="s">
        <v>3761</v>
      </c>
      <c r="B2717">
        <v>302</v>
      </c>
      <c r="C2717" t="s">
        <v>1052</v>
      </c>
      <c r="D2717">
        <v>4408263</v>
      </c>
      <c r="E2717">
        <v>43288</v>
      </c>
      <c r="F2717">
        <v>32666</v>
      </c>
    </row>
    <row r="2718" spans="1:6">
      <c r="A2718" t="s">
        <v>3762</v>
      </c>
      <c r="B2718">
        <v>302</v>
      </c>
      <c r="C2718" t="s">
        <v>164</v>
      </c>
      <c r="D2718">
        <v>47652986</v>
      </c>
      <c r="E2718">
        <v>47312</v>
      </c>
      <c r="F2718">
        <v>32666</v>
      </c>
    </row>
    <row r="2719" spans="1:6">
      <c r="A2719" t="s">
        <v>3763</v>
      </c>
      <c r="B2719">
        <v>302</v>
      </c>
      <c r="C2719" t="s">
        <v>651</v>
      </c>
      <c r="D2719">
        <v>23826493</v>
      </c>
      <c r="E2719">
        <v>47312</v>
      </c>
      <c r="F2719">
        <v>32666</v>
      </c>
    </row>
    <row r="2720" spans="1:6">
      <c r="A2720" t="s">
        <v>3764</v>
      </c>
      <c r="B2720">
        <v>303</v>
      </c>
      <c r="C2720" t="s">
        <v>154</v>
      </c>
      <c r="D2720">
        <v>494375</v>
      </c>
      <c r="E2720">
        <v>43594</v>
      </c>
      <c r="F2720">
        <v>32809</v>
      </c>
    </row>
    <row r="2721" spans="1:6">
      <c r="A2721" t="s">
        <v>3765</v>
      </c>
      <c r="B2721">
        <v>303</v>
      </c>
      <c r="C2721" t="s">
        <v>1043</v>
      </c>
      <c r="D2721">
        <v>1483125</v>
      </c>
      <c r="E2721">
        <v>43594</v>
      </c>
      <c r="F2721">
        <v>32809</v>
      </c>
    </row>
    <row r="2722" spans="1:6">
      <c r="A2722" t="s">
        <v>3766</v>
      </c>
      <c r="B2722">
        <v>303</v>
      </c>
      <c r="C2722" t="s">
        <v>1045</v>
      </c>
      <c r="D2722">
        <v>889875</v>
      </c>
      <c r="E2722">
        <v>43594</v>
      </c>
      <c r="F2722">
        <v>32809</v>
      </c>
    </row>
    <row r="2723" spans="1:6">
      <c r="A2723" t="s">
        <v>3767</v>
      </c>
      <c r="B2723">
        <v>303</v>
      </c>
      <c r="C2723" t="s">
        <v>1047</v>
      </c>
      <c r="D2723">
        <v>247188</v>
      </c>
      <c r="E2723">
        <v>43594</v>
      </c>
      <c r="F2723">
        <v>32809</v>
      </c>
    </row>
    <row r="2724" spans="1:6">
      <c r="A2724" t="s">
        <v>3768</v>
      </c>
      <c r="B2724">
        <v>303</v>
      </c>
      <c r="C2724" t="s">
        <v>1049</v>
      </c>
      <c r="D2724">
        <v>74157</v>
      </c>
      <c r="E2724">
        <v>43594</v>
      </c>
      <c r="F2724">
        <v>32809</v>
      </c>
    </row>
    <row r="2725" spans="1:6">
      <c r="A2725" t="s">
        <v>3769</v>
      </c>
      <c r="B2725">
        <v>303</v>
      </c>
      <c r="C2725" t="s">
        <v>745</v>
      </c>
      <c r="D2725">
        <v>1977500</v>
      </c>
      <c r="E2725">
        <v>43594</v>
      </c>
      <c r="F2725">
        <v>32809</v>
      </c>
    </row>
    <row r="2726" spans="1:6">
      <c r="A2726" t="s">
        <v>3770</v>
      </c>
      <c r="B2726">
        <v>303</v>
      </c>
      <c r="C2726" t="s">
        <v>1052</v>
      </c>
      <c r="D2726">
        <v>4449375</v>
      </c>
      <c r="E2726">
        <v>43594</v>
      </c>
      <c r="F2726">
        <v>32809</v>
      </c>
    </row>
    <row r="2727" spans="1:6">
      <c r="A2727" t="s">
        <v>3771</v>
      </c>
      <c r="B2727">
        <v>303</v>
      </c>
      <c r="C2727" t="s">
        <v>164</v>
      </c>
      <c r="D2727">
        <v>48130040</v>
      </c>
      <c r="E2727">
        <v>47634</v>
      </c>
      <c r="F2727">
        <v>32809</v>
      </c>
    </row>
    <row r="2728" spans="1:6">
      <c r="A2728" t="s">
        <v>3772</v>
      </c>
      <c r="B2728">
        <v>303</v>
      </c>
      <c r="C2728" t="s">
        <v>651</v>
      </c>
      <c r="D2728">
        <v>24065020</v>
      </c>
      <c r="E2728">
        <v>47634</v>
      </c>
      <c r="F2728">
        <v>32809</v>
      </c>
    </row>
    <row r="2729" spans="1:6">
      <c r="A2729" t="s">
        <v>3773</v>
      </c>
      <c r="B2729">
        <v>304</v>
      </c>
      <c r="C2729" t="s">
        <v>154</v>
      </c>
      <c r="D2729">
        <v>498974</v>
      </c>
      <c r="E2729">
        <v>43901</v>
      </c>
      <c r="F2729">
        <v>32952</v>
      </c>
    </row>
    <row r="2730" spans="1:6">
      <c r="A2730" t="s">
        <v>3774</v>
      </c>
      <c r="B2730">
        <v>304</v>
      </c>
      <c r="C2730" t="s">
        <v>1043</v>
      </c>
      <c r="D2730">
        <v>1496922</v>
      </c>
      <c r="E2730">
        <v>43901</v>
      </c>
      <c r="F2730">
        <v>32952</v>
      </c>
    </row>
    <row r="2731" spans="1:6">
      <c r="A2731" t="s">
        <v>3775</v>
      </c>
      <c r="B2731">
        <v>304</v>
      </c>
      <c r="C2731" t="s">
        <v>1045</v>
      </c>
      <c r="D2731">
        <v>898154</v>
      </c>
      <c r="E2731">
        <v>43901</v>
      </c>
      <c r="F2731">
        <v>32952</v>
      </c>
    </row>
    <row r="2732" spans="1:6">
      <c r="A2732" t="s">
        <v>3776</v>
      </c>
      <c r="B2732">
        <v>304</v>
      </c>
      <c r="C2732" t="s">
        <v>1047</v>
      </c>
      <c r="D2732">
        <v>249487</v>
      </c>
      <c r="E2732">
        <v>43901</v>
      </c>
      <c r="F2732">
        <v>32952</v>
      </c>
    </row>
    <row r="2733" spans="1:6">
      <c r="A2733" t="s">
        <v>3777</v>
      </c>
      <c r="B2733">
        <v>304</v>
      </c>
      <c r="C2733" t="s">
        <v>1049</v>
      </c>
      <c r="D2733">
        <v>74847</v>
      </c>
      <c r="E2733">
        <v>43901</v>
      </c>
      <c r="F2733">
        <v>32952</v>
      </c>
    </row>
    <row r="2734" spans="1:6">
      <c r="A2734" t="s">
        <v>3778</v>
      </c>
      <c r="B2734">
        <v>304</v>
      </c>
      <c r="C2734" t="s">
        <v>745</v>
      </c>
      <c r="D2734">
        <v>1995896</v>
      </c>
      <c r="E2734">
        <v>43901</v>
      </c>
      <c r="F2734">
        <v>32952</v>
      </c>
    </row>
    <row r="2735" spans="1:6">
      <c r="A2735" t="s">
        <v>3779</v>
      </c>
      <c r="B2735">
        <v>304</v>
      </c>
      <c r="C2735" t="s">
        <v>1052</v>
      </c>
      <c r="D2735">
        <v>4490766</v>
      </c>
      <c r="E2735">
        <v>43901</v>
      </c>
      <c r="F2735">
        <v>32952</v>
      </c>
    </row>
    <row r="2736" spans="1:6">
      <c r="A2736" t="s">
        <v>3780</v>
      </c>
      <c r="B2736">
        <v>304</v>
      </c>
      <c r="C2736" t="s">
        <v>164</v>
      </c>
      <c r="D2736">
        <v>48610816</v>
      </c>
      <c r="E2736">
        <v>47958</v>
      </c>
      <c r="F2736">
        <v>32952</v>
      </c>
    </row>
    <row r="2737" spans="1:6">
      <c r="A2737" t="s">
        <v>3781</v>
      </c>
      <c r="B2737">
        <v>304</v>
      </c>
      <c r="C2737" t="s">
        <v>651</v>
      </c>
      <c r="D2737">
        <v>24305408</v>
      </c>
      <c r="E2737">
        <v>47958</v>
      </c>
      <c r="F2737">
        <v>32952</v>
      </c>
    </row>
    <row r="2738" spans="1:6">
      <c r="A2738" t="s">
        <v>3782</v>
      </c>
      <c r="B2738">
        <v>305</v>
      </c>
      <c r="C2738" t="s">
        <v>154</v>
      </c>
      <c r="D2738">
        <v>503607</v>
      </c>
      <c r="E2738">
        <v>44211</v>
      </c>
      <c r="F2738">
        <v>33095</v>
      </c>
    </row>
    <row r="2739" spans="1:6">
      <c r="A2739" t="s">
        <v>3783</v>
      </c>
      <c r="B2739">
        <v>305</v>
      </c>
      <c r="C2739" t="s">
        <v>1043</v>
      </c>
      <c r="D2739">
        <v>1510821</v>
      </c>
      <c r="E2739">
        <v>44211</v>
      </c>
      <c r="F2739">
        <v>33095</v>
      </c>
    </row>
    <row r="2740" spans="1:6">
      <c r="A2740" t="s">
        <v>3784</v>
      </c>
      <c r="B2740">
        <v>305</v>
      </c>
      <c r="C2740" t="s">
        <v>1045</v>
      </c>
      <c r="D2740">
        <v>906493</v>
      </c>
      <c r="E2740">
        <v>44211</v>
      </c>
      <c r="F2740">
        <v>33095</v>
      </c>
    </row>
    <row r="2741" spans="1:6">
      <c r="A2741" t="s">
        <v>3785</v>
      </c>
      <c r="B2741">
        <v>305</v>
      </c>
      <c r="C2741" t="s">
        <v>1047</v>
      </c>
      <c r="D2741">
        <v>251804</v>
      </c>
      <c r="E2741">
        <v>44211</v>
      </c>
      <c r="F2741">
        <v>33095</v>
      </c>
    </row>
    <row r="2742" spans="1:6">
      <c r="A2742" t="s">
        <v>3786</v>
      </c>
      <c r="B2742">
        <v>305</v>
      </c>
      <c r="C2742" t="s">
        <v>1049</v>
      </c>
      <c r="D2742">
        <v>75542</v>
      </c>
      <c r="E2742">
        <v>44211</v>
      </c>
      <c r="F2742">
        <v>33095</v>
      </c>
    </row>
    <row r="2743" spans="1:6">
      <c r="A2743" t="s">
        <v>3787</v>
      </c>
      <c r="B2743">
        <v>305</v>
      </c>
      <c r="C2743" t="s">
        <v>745</v>
      </c>
      <c r="D2743">
        <v>2014428</v>
      </c>
      <c r="E2743">
        <v>44211</v>
      </c>
      <c r="F2743">
        <v>33095</v>
      </c>
    </row>
    <row r="2744" spans="1:6">
      <c r="A2744" t="s">
        <v>3788</v>
      </c>
      <c r="B2744">
        <v>305</v>
      </c>
      <c r="C2744" t="s">
        <v>1052</v>
      </c>
      <c r="D2744">
        <v>4532463</v>
      </c>
      <c r="E2744">
        <v>44211</v>
      </c>
      <c r="F2744">
        <v>33095</v>
      </c>
    </row>
    <row r="2745" spans="1:6">
      <c r="A2745" t="s">
        <v>3789</v>
      </c>
      <c r="B2745">
        <v>305</v>
      </c>
      <c r="C2745" t="s">
        <v>164</v>
      </c>
      <c r="D2745">
        <v>49095418</v>
      </c>
      <c r="E2745">
        <v>48284</v>
      </c>
      <c r="F2745">
        <v>33095</v>
      </c>
    </row>
    <row r="2746" spans="1:6">
      <c r="A2746" t="s">
        <v>3790</v>
      </c>
      <c r="B2746">
        <v>305</v>
      </c>
      <c r="C2746" t="s">
        <v>651</v>
      </c>
      <c r="D2746">
        <v>24547709</v>
      </c>
      <c r="E2746">
        <v>48284</v>
      </c>
      <c r="F2746">
        <v>33095</v>
      </c>
    </row>
    <row r="2747" spans="1:6">
      <c r="A2747" t="s">
        <v>3791</v>
      </c>
      <c r="B2747">
        <v>306</v>
      </c>
      <c r="C2747" t="s">
        <v>154</v>
      </c>
      <c r="D2747">
        <v>508272</v>
      </c>
      <c r="E2747">
        <v>44522</v>
      </c>
      <c r="F2747">
        <v>33238</v>
      </c>
    </row>
    <row r="2748" spans="1:6">
      <c r="A2748" t="s">
        <v>3792</v>
      </c>
      <c r="B2748">
        <v>306</v>
      </c>
      <c r="C2748" t="s">
        <v>1043</v>
      </c>
      <c r="D2748">
        <v>1524816</v>
      </c>
      <c r="E2748">
        <v>44522</v>
      </c>
      <c r="F2748">
        <v>33238</v>
      </c>
    </row>
    <row r="2749" spans="1:6">
      <c r="A2749" t="s">
        <v>3793</v>
      </c>
      <c r="B2749">
        <v>306</v>
      </c>
      <c r="C2749" t="s">
        <v>1045</v>
      </c>
      <c r="D2749">
        <v>914890</v>
      </c>
      <c r="E2749">
        <v>44522</v>
      </c>
      <c r="F2749">
        <v>33238</v>
      </c>
    </row>
    <row r="2750" spans="1:6">
      <c r="A2750" t="s">
        <v>3794</v>
      </c>
      <c r="B2750">
        <v>306</v>
      </c>
      <c r="C2750" t="s">
        <v>1047</v>
      </c>
      <c r="D2750">
        <v>254136</v>
      </c>
      <c r="E2750">
        <v>44522</v>
      </c>
      <c r="F2750">
        <v>33238</v>
      </c>
    </row>
    <row r="2751" spans="1:6">
      <c r="A2751" t="s">
        <v>3795</v>
      </c>
      <c r="B2751">
        <v>306</v>
      </c>
      <c r="C2751" t="s">
        <v>1049</v>
      </c>
      <c r="D2751">
        <v>76241</v>
      </c>
      <c r="E2751">
        <v>44522</v>
      </c>
      <c r="F2751">
        <v>33238</v>
      </c>
    </row>
    <row r="2752" spans="1:6">
      <c r="A2752" t="s">
        <v>3796</v>
      </c>
      <c r="B2752">
        <v>306</v>
      </c>
      <c r="C2752" t="s">
        <v>745</v>
      </c>
      <c r="D2752">
        <v>2033088</v>
      </c>
      <c r="E2752">
        <v>44522</v>
      </c>
      <c r="F2752">
        <v>33238</v>
      </c>
    </row>
    <row r="2753" spans="1:6">
      <c r="A2753" t="s">
        <v>3797</v>
      </c>
      <c r="B2753">
        <v>306</v>
      </c>
      <c r="C2753" t="s">
        <v>1052</v>
      </c>
      <c r="D2753">
        <v>4574448</v>
      </c>
      <c r="E2753">
        <v>44522</v>
      </c>
      <c r="F2753">
        <v>33238</v>
      </c>
    </row>
    <row r="2754" spans="1:6">
      <c r="A2754" t="s">
        <v>3798</v>
      </c>
      <c r="B2754">
        <v>306</v>
      </c>
      <c r="C2754" t="s">
        <v>164</v>
      </c>
      <c r="D2754">
        <v>49583742</v>
      </c>
      <c r="E2754">
        <v>48611</v>
      </c>
      <c r="F2754">
        <v>33238</v>
      </c>
    </row>
    <row r="2755" spans="1:6">
      <c r="A2755" t="s">
        <v>3799</v>
      </c>
      <c r="B2755">
        <v>306</v>
      </c>
      <c r="C2755" t="s">
        <v>651</v>
      </c>
      <c r="D2755">
        <v>24791871</v>
      </c>
      <c r="E2755">
        <v>48611</v>
      </c>
      <c r="F2755">
        <v>33238</v>
      </c>
    </row>
    <row r="2756" spans="1:6">
      <c r="A2756" t="s">
        <v>3800</v>
      </c>
      <c r="B2756">
        <v>307</v>
      </c>
      <c r="C2756" t="s">
        <v>154</v>
      </c>
      <c r="D2756">
        <v>512971</v>
      </c>
      <c r="E2756">
        <v>44835</v>
      </c>
      <c r="F2756">
        <v>33382</v>
      </c>
    </row>
    <row r="2757" spans="1:6">
      <c r="A2757" t="s">
        <v>3801</v>
      </c>
      <c r="B2757">
        <v>307</v>
      </c>
      <c r="C2757" t="s">
        <v>1043</v>
      </c>
      <c r="D2757">
        <v>1538913</v>
      </c>
      <c r="E2757">
        <v>44835</v>
      </c>
      <c r="F2757">
        <v>33382</v>
      </c>
    </row>
    <row r="2758" spans="1:6">
      <c r="A2758" t="s">
        <v>3802</v>
      </c>
      <c r="B2758">
        <v>307</v>
      </c>
      <c r="C2758" t="s">
        <v>1045</v>
      </c>
      <c r="D2758">
        <v>923348</v>
      </c>
      <c r="E2758">
        <v>44835</v>
      </c>
      <c r="F2758">
        <v>33382</v>
      </c>
    </row>
    <row r="2759" spans="1:6">
      <c r="A2759" t="s">
        <v>3803</v>
      </c>
      <c r="B2759">
        <v>307</v>
      </c>
      <c r="C2759" t="s">
        <v>1047</v>
      </c>
      <c r="D2759">
        <v>256486</v>
      </c>
      <c r="E2759">
        <v>44835</v>
      </c>
      <c r="F2759">
        <v>33382</v>
      </c>
    </row>
    <row r="2760" spans="1:6">
      <c r="A2760" t="s">
        <v>3804</v>
      </c>
      <c r="B2760">
        <v>307</v>
      </c>
      <c r="C2760" t="s">
        <v>1049</v>
      </c>
      <c r="D2760">
        <v>76946</v>
      </c>
      <c r="E2760">
        <v>44835</v>
      </c>
      <c r="F2760">
        <v>33382</v>
      </c>
    </row>
    <row r="2761" spans="1:6">
      <c r="A2761" t="s">
        <v>3805</v>
      </c>
      <c r="B2761">
        <v>307</v>
      </c>
      <c r="C2761" t="s">
        <v>745</v>
      </c>
      <c r="D2761">
        <v>2051884</v>
      </c>
      <c r="E2761">
        <v>44835</v>
      </c>
      <c r="F2761">
        <v>33382</v>
      </c>
    </row>
    <row r="2762" spans="1:6">
      <c r="A2762" t="s">
        <v>3806</v>
      </c>
      <c r="B2762">
        <v>307</v>
      </c>
      <c r="C2762" t="s">
        <v>1052</v>
      </c>
      <c r="D2762">
        <v>4616739</v>
      </c>
      <c r="E2762">
        <v>44835</v>
      </c>
      <c r="F2762">
        <v>33382</v>
      </c>
    </row>
    <row r="2763" spans="1:6">
      <c r="A2763" t="s">
        <v>3807</v>
      </c>
      <c r="B2763">
        <v>307</v>
      </c>
      <c r="C2763" t="s">
        <v>164</v>
      </c>
      <c r="D2763">
        <v>50075943</v>
      </c>
      <c r="E2763">
        <v>48940</v>
      </c>
      <c r="F2763">
        <v>33382</v>
      </c>
    </row>
    <row r="2764" spans="1:6">
      <c r="A2764" t="s">
        <v>3808</v>
      </c>
      <c r="B2764">
        <v>307</v>
      </c>
      <c r="C2764" t="s">
        <v>651</v>
      </c>
      <c r="D2764">
        <v>25037971</v>
      </c>
      <c r="E2764">
        <v>48940</v>
      </c>
      <c r="F2764">
        <v>33382</v>
      </c>
    </row>
    <row r="2765" spans="1:6">
      <c r="A2765" t="s">
        <v>3809</v>
      </c>
      <c r="B2765">
        <v>308</v>
      </c>
      <c r="C2765" t="s">
        <v>154</v>
      </c>
      <c r="D2765">
        <v>517703</v>
      </c>
      <c r="E2765">
        <v>45149</v>
      </c>
      <c r="F2765">
        <v>33525</v>
      </c>
    </row>
    <row r="2766" spans="1:6">
      <c r="A2766" t="s">
        <v>3810</v>
      </c>
      <c r="B2766">
        <v>308</v>
      </c>
      <c r="C2766" t="s">
        <v>1043</v>
      </c>
      <c r="D2766">
        <v>1553109</v>
      </c>
      <c r="E2766">
        <v>45149</v>
      </c>
      <c r="F2766">
        <v>33525</v>
      </c>
    </row>
    <row r="2767" spans="1:6">
      <c r="A2767" t="s">
        <v>3811</v>
      </c>
      <c r="B2767">
        <v>308</v>
      </c>
      <c r="C2767" t="s">
        <v>1045</v>
      </c>
      <c r="D2767">
        <v>931866</v>
      </c>
      <c r="E2767">
        <v>45149</v>
      </c>
      <c r="F2767">
        <v>33525</v>
      </c>
    </row>
    <row r="2768" spans="1:6">
      <c r="A2768" t="s">
        <v>3812</v>
      </c>
      <c r="B2768">
        <v>308</v>
      </c>
      <c r="C2768" t="s">
        <v>1047</v>
      </c>
      <c r="D2768">
        <v>258852</v>
      </c>
      <c r="E2768">
        <v>45149</v>
      </c>
      <c r="F2768">
        <v>33525</v>
      </c>
    </row>
    <row r="2769" spans="1:6">
      <c r="A2769" t="s">
        <v>3813</v>
      </c>
      <c r="B2769">
        <v>308</v>
      </c>
      <c r="C2769" t="s">
        <v>1049</v>
      </c>
      <c r="D2769">
        <v>77656</v>
      </c>
      <c r="E2769">
        <v>45149</v>
      </c>
      <c r="F2769">
        <v>33525</v>
      </c>
    </row>
    <row r="2770" spans="1:6">
      <c r="A2770" t="s">
        <v>3814</v>
      </c>
      <c r="B2770">
        <v>308</v>
      </c>
      <c r="C2770" t="s">
        <v>745</v>
      </c>
      <c r="D2770">
        <v>2070812</v>
      </c>
      <c r="E2770">
        <v>45149</v>
      </c>
      <c r="F2770">
        <v>33525</v>
      </c>
    </row>
    <row r="2771" spans="1:6">
      <c r="A2771" t="s">
        <v>3815</v>
      </c>
      <c r="B2771">
        <v>308</v>
      </c>
      <c r="C2771" t="s">
        <v>1052</v>
      </c>
      <c r="D2771">
        <v>4659327</v>
      </c>
      <c r="E2771">
        <v>45149</v>
      </c>
      <c r="F2771">
        <v>33525</v>
      </c>
    </row>
    <row r="2772" spans="1:6">
      <c r="A2772" t="s">
        <v>3816</v>
      </c>
      <c r="B2772">
        <v>308</v>
      </c>
      <c r="C2772" t="s">
        <v>164</v>
      </c>
      <c r="D2772">
        <v>50571968</v>
      </c>
      <c r="E2772">
        <v>49271</v>
      </c>
      <c r="F2772">
        <v>33525</v>
      </c>
    </row>
    <row r="2773" spans="1:6">
      <c r="A2773" t="s">
        <v>3817</v>
      </c>
      <c r="B2773">
        <v>308</v>
      </c>
      <c r="C2773" t="s">
        <v>651</v>
      </c>
      <c r="D2773">
        <v>25285984</v>
      </c>
      <c r="E2773">
        <v>49271</v>
      </c>
      <c r="F2773">
        <v>33525</v>
      </c>
    </row>
    <row r="2774" spans="1:6">
      <c r="A2774" t="s">
        <v>3818</v>
      </c>
      <c r="B2774">
        <v>309</v>
      </c>
      <c r="C2774" t="s">
        <v>154</v>
      </c>
      <c r="D2774">
        <v>522469</v>
      </c>
      <c r="E2774">
        <v>45465</v>
      </c>
      <c r="F2774">
        <v>33669</v>
      </c>
    </row>
    <row r="2775" spans="1:6">
      <c r="A2775" t="s">
        <v>3819</v>
      </c>
      <c r="B2775">
        <v>309</v>
      </c>
      <c r="C2775" t="s">
        <v>1043</v>
      </c>
      <c r="D2775">
        <v>1567407</v>
      </c>
      <c r="E2775">
        <v>45465</v>
      </c>
      <c r="F2775">
        <v>33669</v>
      </c>
    </row>
    <row r="2776" spans="1:6">
      <c r="A2776" t="s">
        <v>3820</v>
      </c>
      <c r="B2776">
        <v>309</v>
      </c>
      <c r="C2776" t="s">
        <v>1045</v>
      </c>
      <c r="D2776">
        <v>940445</v>
      </c>
      <c r="E2776">
        <v>45465</v>
      </c>
      <c r="F2776">
        <v>33669</v>
      </c>
    </row>
    <row r="2777" spans="1:6">
      <c r="A2777" t="s">
        <v>3821</v>
      </c>
      <c r="B2777">
        <v>309</v>
      </c>
      <c r="C2777" t="s">
        <v>1047</v>
      </c>
      <c r="D2777">
        <v>261235</v>
      </c>
      <c r="E2777">
        <v>45465</v>
      </c>
      <c r="F2777">
        <v>33669</v>
      </c>
    </row>
    <row r="2778" spans="1:6">
      <c r="A2778" t="s">
        <v>3822</v>
      </c>
      <c r="B2778">
        <v>309</v>
      </c>
      <c r="C2778" t="s">
        <v>1049</v>
      </c>
      <c r="D2778">
        <v>78371</v>
      </c>
      <c r="E2778">
        <v>45465</v>
      </c>
      <c r="F2778">
        <v>33669</v>
      </c>
    </row>
    <row r="2779" spans="1:6">
      <c r="A2779" t="s">
        <v>3823</v>
      </c>
      <c r="B2779">
        <v>309</v>
      </c>
      <c r="C2779" t="s">
        <v>745</v>
      </c>
      <c r="D2779">
        <v>2089876</v>
      </c>
      <c r="E2779">
        <v>45465</v>
      </c>
      <c r="F2779">
        <v>33669</v>
      </c>
    </row>
    <row r="2780" spans="1:6">
      <c r="A2780" t="s">
        <v>3824</v>
      </c>
      <c r="B2780">
        <v>309</v>
      </c>
      <c r="C2780" t="s">
        <v>1052</v>
      </c>
      <c r="D2780">
        <v>4702221</v>
      </c>
      <c r="E2780">
        <v>45465</v>
      </c>
      <c r="F2780">
        <v>33669</v>
      </c>
    </row>
    <row r="2781" spans="1:6">
      <c r="A2781" t="s">
        <v>3825</v>
      </c>
      <c r="B2781">
        <v>309</v>
      </c>
      <c r="C2781" t="s">
        <v>164</v>
      </c>
      <c r="D2781">
        <v>51071870</v>
      </c>
      <c r="E2781">
        <v>49603</v>
      </c>
      <c r="F2781">
        <v>33669</v>
      </c>
    </row>
    <row r="2782" spans="1:6">
      <c r="A2782" t="s">
        <v>3826</v>
      </c>
      <c r="B2782">
        <v>309</v>
      </c>
      <c r="C2782" t="s">
        <v>651</v>
      </c>
      <c r="D2782">
        <v>25535935</v>
      </c>
      <c r="E2782">
        <v>49603</v>
      </c>
      <c r="F2782">
        <v>33669</v>
      </c>
    </row>
    <row r="2783" spans="1:6">
      <c r="A2783" t="s">
        <v>3827</v>
      </c>
      <c r="B2783">
        <v>310</v>
      </c>
      <c r="C2783" t="s">
        <v>154</v>
      </c>
      <c r="D2783">
        <v>527268</v>
      </c>
      <c r="E2783">
        <v>45782</v>
      </c>
      <c r="F2783">
        <v>33814</v>
      </c>
    </row>
    <row r="2784" spans="1:6">
      <c r="A2784" t="s">
        <v>3828</v>
      </c>
      <c r="B2784">
        <v>310</v>
      </c>
      <c r="C2784" t="s">
        <v>1043</v>
      </c>
      <c r="D2784">
        <v>1581804</v>
      </c>
      <c r="E2784">
        <v>45782</v>
      </c>
      <c r="F2784">
        <v>33814</v>
      </c>
    </row>
    <row r="2785" spans="1:6">
      <c r="A2785" t="s">
        <v>3829</v>
      </c>
      <c r="B2785">
        <v>310</v>
      </c>
      <c r="C2785" t="s">
        <v>1045</v>
      </c>
      <c r="D2785">
        <v>949083</v>
      </c>
      <c r="E2785">
        <v>45782</v>
      </c>
      <c r="F2785">
        <v>33814</v>
      </c>
    </row>
    <row r="2786" spans="1:6">
      <c r="A2786" t="s">
        <v>3830</v>
      </c>
      <c r="B2786">
        <v>310</v>
      </c>
      <c r="C2786" t="s">
        <v>1047</v>
      </c>
      <c r="D2786">
        <v>263634</v>
      </c>
      <c r="E2786">
        <v>45782</v>
      </c>
      <c r="F2786">
        <v>33814</v>
      </c>
    </row>
    <row r="2787" spans="1:6">
      <c r="A2787" t="s">
        <v>3831</v>
      </c>
      <c r="B2787">
        <v>310</v>
      </c>
      <c r="C2787" t="s">
        <v>1049</v>
      </c>
      <c r="D2787">
        <v>79091</v>
      </c>
      <c r="E2787">
        <v>45782</v>
      </c>
      <c r="F2787">
        <v>33814</v>
      </c>
    </row>
    <row r="2788" spans="1:6">
      <c r="A2788" t="s">
        <v>3832</v>
      </c>
      <c r="B2788">
        <v>310</v>
      </c>
      <c r="C2788" t="s">
        <v>745</v>
      </c>
      <c r="D2788">
        <v>2109072</v>
      </c>
      <c r="E2788">
        <v>45782</v>
      </c>
      <c r="F2788">
        <v>33814</v>
      </c>
    </row>
    <row r="2789" spans="1:6">
      <c r="A2789" t="s">
        <v>3833</v>
      </c>
      <c r="B2789">
        <v>310</v>
      </c>
      <c r="C2789" t="s">
        <v>1052</v>
      </c>
      <c r="D2789">
        <v>4745412</v>
      </c>
      <c r="E2789">
        <v>45782</v>
      </c>
      <c r="F2789">
        <v>33814</v>
      </c>
    </row>
    <row r="2790" spans="1:6">
      <c r="A2790" t="s">
        <v>3834</v>
      </c>
      <c r="B2790">
        <v>310</v>
      </c>
      <c r="C2790" t="s">
        <v>164</v>
      </c>
      <c r="D2790">
        <v>51575647</v>
      </c>
      <c r="E2790">
        <v>49937</v>
      </c>
      <c r="F2790">
        <v>33814</v>
      </c>
    </row>
    <row r="2791" spans="1:6">
      <c r="A2791" t="s">
        <v>3835</v>
      </c>
      <c r="B2791">
        <v>310</v>
      </c>
      <c r="C2791" t="s">
        <v>651</v>
      </c>
      <c r="D2791">
        <v>25787824</v>
      </c>
      <c r="E2791">
        <v>49937</v>
      </c>
      <c r="F2791">
        <v>33814</v>
      </c>
    </row>
    <row r="2792" spans="1:6">
      <c r="A2792" t="s">
        <v>3836</v>
      </c>
      <c r="B2792">
        <v>311</v>
      </c>
      <c r="C2792" t="s">
        <v>154</v>
      </c>
      <c r="D2792">
        <v>532101</v>
      </c>
      <c r="E2792">
        <v>46102</v>
      </c>
      <c r="F2792">
        <v>33958</v>
      </c>
    </row>
    <row r="2793" spans="1:6">
      <c r="A2793" t="s">
        <v>3837</v>
      </c>
      <c r="B2793">
        <v>311</v>
      </c>
      <c r="C2793" t="s">
        <v>1043</v>
      </c>
      <c r="D2793">
        <v>1596303</v>
      </c>
      <c r="E2793">
        <v>46102</v>
      </c>
      <c r="F2793">
        <v>33958</v>
      </c>
    </row>
    <row r="2794" spans="1:6">
      <c r="A2794" t="s">
        <v>3838</v>
      </c>
      <c r="B2794">
        <v>311</v>
      </c>
      <c r="C2794" t="s">
        <v>1045</v>
      </c>
      <c r="D2794">
        <v>957782</v>
      </c>
      <c r="E2794">
        <v>46102</v>
      </c>
      <c r="F2794">
        <v>33958</v>
      </c>
    </row>
    <row r="2795" spans="1:6">
      <c r="A2795" t="s">
        <v>3839</v>
      </c>
      <c r="B2795">
        <v>311</v>
      </c>
      <c r="C2795" t="s">
        <v>1047</v>
      </c>
      <c r="D2795">
        <v>266051</v>
      </c>
      <c r="E2795">
        <v>46102</v>
      </c>
      <c r="F2795">
        <v>33958</v>
      </c>
    </row>
    <row r="2796" spans="1:6">
      <c r="A2796" t="s">
        <v>3840</v>
      </c>
      <c r="B2796">
        <v>311</v>
      </c>
      <c r="C2796" t="s">
        <v>1049</v>
      </c>
      <c r="D2796">
        <v>79816</v>
      </c>
      <c r="E2796">
        <v>46102</v>
      </c>
      <c r="F2796">
        <v>33958</v>
      </c>
    </row>
    <row r="2797" spans="1:6">
      <c r="A2797" t="s">
        <v>3841</v>
      </c>
      <c r="B2797">
        <v>311</v>
      </c>
      <c r="C2797" t="s">
        <v>745</v>
      </c>
      <c r="D2797">
        <v>2128404</v>
      </c>
      <c r="E2797">
        <v>46102</v>
      </c>
      <c r="F2797">
        <v>33958</v>
      </c>
    </row>
    <row r="2798" spans="1:6">
      <c r="A2798" t="s">
        <v>3842</v>
      </c>
      <c r="B2798">
        <v>311</v>
      </c>
      <c r="C2798" t="s">
        <v>1052</v>
      </c>
      <c r="D2798">
        <v>4788909</v>
      </c>
      <c r="E2798">
        <v>46102</v>
      </c>
      <c r="F2798">
        <v>33958</v>
      </c>
    </row>
    <row r="2799" spans="1:6">
      <c r="A2799" t="s">
        <v>3843</v>
      </c>
      <c r="B2799">
        <v>311</v>
      </c>
      <c r="C2799" t="s">
        <v>164</v>
      </c>
      <c r="D2799">
        <v>52083352</v>
      </c>
      <c r="E2799">
        <v>50273</v>
      </c>
      <c r="F2799">
        <v>33958</v>
      </c>
    </row>
    <row r="2800" spans="1:6">
      <c r="A2800" t="s">
        <v>3844</v>
      </c>
      <c r="B2800">
        <v>311</v>
      </c>
      <c r="C2800" t="s">
        <v>651</v>
      </c>
      <c r="D2800">
        <v>26041676</v>
      </c>
      <c r="E2800">
        <v>50273</v>
      </c>
      <c r="F2800">
        <v>33958</v>
      </c>
    </row>
    <row r="2801" spans="1:6">
      <c r="A2801" t="s">
        <v>3845</v>
      </c>
      <c r="B2801">
        <v>312</v>
      </c>
      <c r="C2801" t="s">
        <v>154</v>
      </c>
      <c r="D2801">
        <v>536968</v>
      </c>
      <c r="E2801">
        <v>46423</v>
      </c>
      <c r="F2801">
        <v>34103</v>
      </c>
    </row>
    <row r="2802" spans="1:6">
      <c r="A2802" t="s">
        <v>3846</v>
      </c>
      <c r="B2802">
        <v>312</v>
      </c>
      <c r="C2802" t="s">
        <v>1043</v>
      </c>
      <c r="D2802">
        <v>1610904</v>
      </c>
      <c r="E2802">
        <v>46423</v>
      </c>
      <c r="F2802">
        <v>34103</v>
      </c>
    </row>
    <row r="2803" spans="1:6">
      <c r="A2803" t="s">
        <v>3847</v>
      </c>
      <c r="B2803">
        <v>312</v>
      </c>
      <c r="C2803" t="s">
        <v>1045</v>
      </c>
      <c r="D2803">
        <v>966543</v>
      </c>
      <c r="E2803">
        <v>46423</v>
      </c>
      <c r="F2803">
        <v>34103</v>
      </c>
    </row>
    <row r="2804" spans="1:6">
      <c r="A2804" t="s">
        <v>3848</v>
      </c>
      <c r="B2804">
        <v>312</v>
      </c>
      <c r="C2804" t="s">
        <v>1047</v>
      </c>
      <c r="D2804">
        <v>268484</v>
      </c>
      <c r="E2804">
        <v>46423</v>
      </c>
      <c r="F2804">
        <v>34103</v>
      </c>
    </row>
    <row r="2805" spans="1:6">
      <c r="A2805" t="s">
        <v>3849</v>
      </c>
      <c r="B2805">
        <v>312</v>
      </c>
      <c r="C2805" t="s">
        <v>1049</v>
      </c>
      <c r="D2805">
        <v>80546</v>
      </c>
      <c r="E2805">
        <v>46423</v>
      </c>
      <c r="F2805">
        <v>34103</v>
      </c>
    </row>
    <row r="2806" spans="1:6">
      <c r="A2806" t="s">
        <v>3850</v>
      </c>
      <c r="B2806">
        <v>312</v>
      </c>
      <c r="C2806" t="s">
        <v>745</v>
      </c>
      <c r="D2806">
        <v>2147872</v>
      </c>
      <c r="E2806">
        <v>46423</v>
      </c>
      <c r="F2806">
        <v>34103</v>
      </c>
    </row>
    <row r="2807" spans="1:6">
      <c r="A2807" t="s">
        <v>3851</v>
      </c>
      <c r="B2807">
        <v>312</v>
      </c>
      <c r="C2807" t="s">
        <v>1052</v>
      </c>
      <c r="D2807">
        <v>4832712</v>
      </c>
      <c r="E2807">
        <v>46423</v>
      </c>
      <c r="F2807">
        <v>34103</v>
      </c>
    </row>
    <row r="2808" spans="1:6">
      <c r="A2808" t="s">
        <v>3852</v>
      </c>
      <c r="B2808">
        <v>312</v>
      </c>
      <c r="C2808" t="s">
        <v>164</v>
      </c>
      <c r="D2808">
        <v>52594932</v>
      </c>
      <c r="E2808">
        <v>50611</v>
      </c>
      <c r="F2808">
        <v>34103</v>
      </c>
    </row>
    <row r="2809" spans="1:6">
      <c r="A2809" t="s">
        <v>3853</v>
      </c>
      <c r="B2809">
        <v>312</v>
      </c>
      <c r="C2809" t="s">
        <v>651</v>
      </c>
      <c r="D2809">
        <v>26297466</v>
      </c>
      <c r="E2809">
        <v>50611</v>
      </c>
      <c r="F2809">
        <v>34103</v>
      </c>
    </row>
    <row r="2810" spans="1:6">
      <c r="A2810" t="s">
        <v>3854</v>
      </c>
      <c r="B2810">
        <v>313</v>
      </c>
      <c r="C2810" t="s">
        <v>154</v>
      </c>
      <c r="D2810">
        <v>541869</v>
      </c>
      <c r="E2810">
        <v>46747</v>
      </c>
      <c r="F2810">
        <v>34248</v>
      </c>
    </row>
    <row r="2811" spans="1:6">
      <c r="A2811" t="s">
        <v>3855</v>
      </c>
      <c r="B2811">
        <v>313</v>
      </c>
      <c r="C2811" t="s">
        <v>1043</v>
      </c>
      <c r="D2811">
        <v>1625607</v>
      </c>
      <c r="E2811">
        <v>46747</v>
      </c>
      <c r="F2811">
        <v>34248</v>
      </c>
    </row>
    <row r="2812" spans="1:6">
      <c r="A2812" t="s">
        <v>3856</v>
      </c>
      <c r="B2812">
        <v>313</v>
      </c>
      <c r="C2812" t="s">
        <v>1045</v>
      </c>
      <c r="D2812">
        <v>975365</v>
      </c>
      <c r="E2812">
        <v>46747</v>
      </c>
      <c r="F2812">
        <v>34248</v>
      </c>
    </row>
    <row r="2813" spans="1:6">
      <c r="A2813" t="s">
        <v>3857</v>
      </c>
      <c r="B2813">
        <v>313</v>
      </c>
      <c r="C2813" t="s">
        <v>1047</v>
      </c>
      <c r="D2813">
        <v>270935</v>
      </c>
      <c r="E2813">
        <v>46747</v>
      </c>
      <c r="F2813">
        <v>34248</v>
      </c>
    </row>
    <row r="2814" spans="1:6">
      <c r="A2814" t="s">
        <v>3858</v>
      </c>
      <c r="B2814">
        <v>313</v>
      </c>
      <c r="C2814" t="s">
        <v>1049</v>
      </c>
      <c r="D2814">
        <v>81281</v>
      </c>
      <c r="E2814">
        <v>46747</v>
      </c>
      <c r="F2814">
        <v>34248</v>
      </c>
    </row>
    <row r="2815" spans="1:6">
      <c r="A2815" t="s">
        <v>3859</v>
      </c>
      <c r="B2815">
        <v>313</v>
      </c>
      <c r="C2815" t="s">
        <v>745</v>
      </c>
      <c r="D2815">
        <v>2167476</v>
      </c>
      <c r="E2815">
        <v>46747</v>
      </c>
      <c r="F2815">
        <v>34248</v>
      </c>
    </row>
    <row r="2816" spans="1:6">
      <c r="A2816" t="s">
        <v>3860</v>
      </c>
      <c r="B2816">
        <v>313</v>
      </c>
      <c r="C2816" t="s">
        <v>1052</v>
      </c>
      <c r="D2816">
        <v>4876821</v>
      </c>
      <c r="E2816">
        <v>46747</v>
      </c>
      <c r="F2816">
        <v>34248</v>
      </c>
    </row>
    <row r="2817" spans="1:6">
      <c r="A2817" t="s">
        <v>3861</v>
      </c>
      <c r="B2817">
        <v>313</v>
      </c>
      <c r="C2817" t="s">
        <v>164</v>
      </c>
      <c r="D2817">
        <v>53110542</v>
      </c>
      <c r="E2817">
        <v>50951</v>
      </c>
      <c r="F2817">
        <v>34248</v>
      </c>
    </row>
    <row r="2818" spans="1:6">
      <c r="A2818" t="s">
        <v>3862</v>
      </c>
      <c r="B2818">
        <v>313</v>
      </c>
      <c r="C2818" t="s">
        <v>651</v>
      </c>
      <c r="D2818">
        <v>26555271</v>
      </c>
      <c r="E2818">
        <v>50951</v>
      </c>
      <c r="F2818">
        <v>34248</v>
      </c>
    </row>
    <row r="2819" spans="1:6">
      <c r="A2819" t="s">
        <v>3863</v>
      </c>
      <c r="B2819">
        <v>314</v>
      </c>
      <c r="C2819" t="s">
        <v>154</v>
      </c>
      <c r="D2819">
        <v>546805</v>
      </c>
      <c r="E2819">
        <v>47071</v>
      </c>
      <c r="F2819">
        <v>34393</v>
      </c>
    </row>
    <row r="2820" spans="1:6">
      <c r="A2820" t="s">
        <v>3864</v>
      </c>
      <c r="B2820">
        <v>314</v>
      </c>
      <c r="C2820" t="s">
        <v>1043</v>
      </c>
      <c r="D2820">
        <v>1640415</v>
      </c>
      <c r="E2820">
        <v>47071</v>
      </c>
      <c r="F2820">
        <v>34393</v>
      </c>
    </row>
    <row r="2821" spans="1:6">
      <c r="A2821" t="s">
        <v>3865</v>
      </c>
      <c r="B2821">
        <v>314</v>
      </c>
      <c r="C2821" t="s">
        <v>1045</v>
      </c>
      <c r="D2821">
        <v>984249</v>
      </c>
      <c r="E2821">
        <v>47071</v>
      </c>
      <c r="F2821">
        <v>34393</v>
      </c>
    </row>
    <row r="2822" spans="1:6">
      <c r="A2822" t="s">
        <v>3866</v>
      </c>
      <c r="B2822">
        <v>314</v>
      </c>
      <c r="C2822" t="s">
        <v>1047</v>
      </c>
      <c r="D2822">
        <v>273403</v>
      </c>
      <c r="E2822">
        <v>47071</v>
      </c>
      <c r="F2822">
        <v>34393</v>
      </c>
    </row>
    <row r="2823" spans="1:6">
      <c r="A2823" t="s">
        <v>3867</v>
      </c>
      <c r="B2823">
        <v>314</v>
      </c>
      <c r="C2823" t="s">
        <v>1049</v>
      </c>
      <c r="D2823">
        <v>82021</v>
      </c>
      <c r="E2823">
        <v>47071</v>
      </c>
      <c r="F2823">
        <v>34393</v>
      </c>
    </row>
    <row r="2824" spans="1:6">
      <c r="A2824" t="s">
        <v>3868</v>
      </c>
      <c r="B2824">
        <v>314</v>
      </c>
      <c r="C2824" t="s">
        <v>745</v>
      </c>
      <c r="D2824">
        <v>2187220</v>
      </c>
      <c r="E2824">
        <v>47071</v>
      </c>
      <c r="F2824">
        <v>34393</v>
      </c>
    </row>
    <row r="2825" spans="1:6">
      <c r="A2825" t="s">
        <v>3869</v>
      </c>
      <c r="B2825">
        <v>314</v>
      </c>
      <c r="C2825" t="s">
        <v>1052</v>
      </c>
      <c r="D2825">
        <v>4921245</v>
      </c>
      <c r="E2825">
        <v>47071</v>
      </c>
      <c r="F2825">
        <v>34393</v>
      </c>
    </row>
    <row r="2826" spans="1:6">
      <c r="A2826" t="s">
        <v>3870</v>
      </c>
      <c r="B2826">
        <v>314</v>
      </c>
      <c r="C2826" t="s">
        <v>164</v>
      </c>
      <c r="D2826">
        <v>53630079</v>
      </c>
      <c r="E2826">
        <v>51292</v>
      </c>
      <c r="F2826">
        <v>34393</v>
      </c>
    </row>
    <row r="2827" spans="1:6">
      <c r="A2827" t="s">
        <v>3871</v>
      </c>
      <c r="B2827">
        <v>314</v>
      </c>
      <c r="C2827" t="s">
        <v>651</v>
      </c>
      <c r="D2827">
        <v>26815039</v>
      </c>
      <c r="E2827">
        <v>51292</v>
      </c>
      <c r="F2827">
        <v>34393</v>
      </c>
    </row>
    <row r="2828" spans="1:6">
      <c r="A2828" t="s">
        <v>3872</v>
      </c>
      <c r="B2828">
        <v>315</v>
      </c>
      <c r="C2828" t="s">
        <v>154</v>
      </c>
      <c r="D2828">
        <v>551775</v>
      </c>
      <c r="E2828">
        <v>47398</v>
      </c>
      <c r="F2828">
        <v>34538</v>
      </c>
    </row>
    <row r="2829" spans="1:6">
      <c r="A2829" t="s">
        <v>3873</v>
      </c>
      <c r="B2829">
        <v>315</v>
      </c>
      <c r="C2829" t="s">
        <v>1043</v>
      </c>
      <c r="D2829">
        <v>1655325</v>
      </c>
      <c r="E2829">
        <v>47398</v>
      </c>
      <c r="F2829">
        <v>34538</v>
      </c>
    </row>
    <row r="2830" spans="1:6">
      <c r="A2830" t="s">
        <v>3874</v>
      </c>
      <c r="B2830">
        <v>315</v>
      </c>
      <c r="C2830" t="s">
        <v>1045</v>
      </c>
      <c r="D2830">
        <v>993195</v>
      </c>
      <c r="E2830">
        <v>47398</v>
      </c>
      <c r="F2830">
        <v>34538</v>
      </c>
    </row>
    <row r="2831" spans="1:6">
      <c r="A2831" t="s">
        <v>3875</v>
      </c>
      <c r="B2831">
        <v>315</v>
      </c>
      <c r="C2831" t="s">
        <v>1047</v>
      </c>
      <c r="D2831">
        <v>275888</v>
      </c>
      <c r="E2831">
        <v>47398</v>
      </c>
      <c r="F2831">
        <v>34538</v>
      </c>
    </row>
    <row r="2832" spans="1:6">
      <c r="A2832" t="s">
        <v>3876</v>
      </c>
      <c r="B2832">
        <v>315</v>
      </c>
      <c r="C2832" t="s">
        <v>1049</v>
      </c>
      <c r="D2832">
        <v>82767</v>
      </c>
      <c r="E2832">
        <v>47398</v>
      </c>
      <c r="F2832">
        <v>34538</v>
      </c>
    </row>
    <row r="2833" spans="1:6">
      <c r="A2833" t="s">
        <v>3877</v>
      </c>
      <c r="B2833">
        <v>315</v>
      </c>
      <c r="C2833" t="s">
        <v>745</v>
      </c>
      <c r="D2833">
        <v>2207100</v>
      </c>
      <c r="E2833">
        <v>47398</v>
      </c>
      <c r="F2833">
        <v>34538</v>
      </c>
    </row>
    <row r="2834" spans="1:6">
      <c r="A2834" t="s">
        <v>3878</v>
      </c>
      <c r="B2834">
        <v>315</v>
      </c>
      <c r="C2834" t="s">
        <v>1052</v>
      </c>
      <c r="D2834">
        <v>4965975</v>
      </c>
      <c r="E2834">
        <v>47398</v>
      </c>
      <c r="F2834">
        <v>34538</v>
      </c>
    </row>
    <row r="2835" spans="1:6">
      <c r="A2835" t="s">
        <v>3879</v>
      </c>
      <c r="B2835">
        <v>315</v>
      </c>
      <c r="C2835" t="s">
        <v>164</v>
      </c>
      <c r="D2835">
        <v>54153695</v>
      </c>
      <c r="E2835">
        <v>51635</v>
      </c>
      <c r="F2835">
        <v>34538</v>
      </c>
    </row>
    <row r="2836" spans="1:6">
      <c r="A2836" t="s">
        <v>3880</v>
      </c>
      <c r="B2836">
        <v>315</v>
      </c>
      <c r="C2836" t="s">
        <v>651</v>
      </c>
      <c r="D2836">
        <v>27076848</v>
      </c>
      <c r="E2836">
        <v>51635</v>
      </c>
      <c r="F2836">
        <v>34538</v>
      </c>
    </row>
    <row r="2837" spans="1:6">
      <c r="A2837" t="s">
        <v>3881</v>
      </c>
      <c r="B2837">
        <v>316</v>
      </c>
      <c r="C2837" t="s">
        <v>154</v>
      </c>
      <c r="D2837">
        <v>556780</v>
      </c>
      <c r="E2837">
        <v>47726</v>
      </c>
      <c r="F2837">
        <v>34684</v>
      </c>
    </row>
    <row r="2838" spans="1:6">
      <c r="A2838" t="s">
        <v>3882</v>
      </c>
      <c r="B2838">
        <v>316</v>
      </c>
      <c r="C2838" t="s">
        <v>1043</v>
      </c>
      <c r="D2838">
        <v>1670340</v>
      </c>
      <c r="E2838">
        <v>47726</v>
      </c>
      <c r="F2838">
        <v>34684</v>
      </c>
    </row>
    <row r="2839" spans="1:6">
      <c r="A2839" t="s">
        <v>3883</v>
      </c>
      <c r="B2839">
        <v>316</v>
      </c>
      <c r="C2839" t="s">
        <v>1045</v>
      </c>
      <c r="D2839">
        <v>1002204</v>
      </c>
      <c r="E2839">
        <v>47726</v>
      </c>
      <c r="F2839">
        <v>34684</v>
      </c>
    </row>
    <row r="2840" spans="1:6">
      <c r="A2840" t="s">
        <v>3884</v>
      </c>
      <c r="B2840">
        <v>316</v>
      </c>
      <c r="C2840" t="s">
        <v>1047</v>
      </c>
      <c r="D2840">
        <v>278390</v>
      </c>
      <c r="E2840">
        <v>47726</v>
      </c>
      <c r="F2840">
        <v>34684</v>
      </c>
    </row>
    <row r="2841" spans="1:6">
      <c r="A2841" t="s">
        <v>3885</v>
      </c>
      <c r="B2841">
        <v>316</v>
      </c>
      <c r="C2841" t="s">
        <v>1049</v>
      </c>
      <c r="D2841">
        <v>83517</v>
      </c>
      <c r="E2841">
        <v>47726</v>
      </c>
      <c r="F2841">
        <v>34684</v>
      </c>
    </row>
    <row r="2842" spans="1:6">
      <c r="A2842" t="s">
        <v>3886</v>
      </c>
      <c r="B2842">
        <v>316</v>
      </c>
      <c r="C2842" t="s">
        <v>745</v>
      </c>
      <c r="D2842">
        <v>2227120</v>
      </c>
      <c r="E2842">
        <v>47726</v>
      </c>
      <c r="F2842">
        <v>34684</v>
      </c>
    </row>
    <row r="2843" spans="1:6">
      <c r="A2843" t="s">
        <v>3887</v>
      </c>
      <c r="B2843">
        <v>316</v>
      </c>
      <c r="C2843" t="s">
        <v>1052</v>
      </c>
      <c r="D2843">
        <v>5011020</v>
      </c>
      <c r="E2843">
        <v>47726</v>
      </c>
      <c r="F2843">
        <v>34684</v>
      </c>
    </row>
    <row r="2844" spans="1:6">
      <c r="A2844" t="s">
        <v>3888</v>
      </c>
      <c r="B2844">
        <v>316</v>
      </c>
      <c r="C2844" t="s">
        <v>164</v>
      </c>
      <c r="D2844">
        <v>54681290</v>
      </c>
      <c r="E2844">
        <v>51980</v>
      </c>
      <c r="F2844">
        <v>34684</v>
      </c>
    </row>
    <row r="2845" spans="1:6">
      <c r="A2845" t="s">
        <v>3889</v>
      </c>
      <c r="B2845">
        <v>316</v>
      </c>
      <c r="C2845" t="s">
        <v>651</v>
      </c>
      <c r="D2845">
        <v>27340645</v>
      </c>
      <c r="E2845">
        <v>51980</v>
      </c>
      <c r="F2845">
        <v>34684</v>
      </c>
    </row>
    <row r="2846" spans="1:6">
      <c r="A2846" t="s">
        <v>3890</v>
      </c>
      <c r="B2846">
        <v>317</v>
      </c>
      <c r="C2846" t="s">
        <v>154</v>
      </c>
      <c r="D2846">
        <v>561820</v>
      </c>
      <c r="E2846">
        <v>48056</v>
      </c>
      <c r="F2846">
        <v>34829</v>
      </c>
    </row>
    <row r="2847" spans="1:6">
      <c r="A2847" t="s">
        <v>3891</v>
      </c>
      <c r="B2847">
        <v>317</v>
      </c>
      <c r="C2847" t="s">
        <v>1043</v>
      </c>
      <c r="D2847">
        <v>1685460</v>
      </c>
      <c r="E2847">
        <v>48056</v>
      </c>
      <c r="F2847">
        <v>34829</v>
      </c>
    </row>
    <row r="2848" spans="1:6">
      <c r="A2848" t="s">
        <v>3892</v>
      </c>
      <c r="B2848">
        <v>317</v>
      </c>
      <c r="C2848" t="s">
        <v>1045</v>
      </c>
      <c r="D2848">
        <v>1011276</v>
      </c>
      <c r="E2848">
        <v>48056</v>
      </c>
      <c r="F2848">
        <v>34829</v>
      </c>
    </row>
    <row r="2849" spans="1:6">
      <c r="A2849" t="s">
        <v>3893</v>
      </c>
      <c r="B2849">
        <v>317</v>
      </c>
      <c r="C2849" t="s">
        <v>1047</v>
      </c>
      <c r="D2849">
        <v>280910</v>
      </c>
      <c r="E2849">
        <v>48056</v>
      </c>
      <c r="F2849">
        <v>34829</v>
      </c>
    </row>
    <row r="2850" spans="1:6">
      <c r="A2850" t="s">
        <v>3894</v>
      </c>
      <c r="B2850">
        <v>317</v>
      </c>
      <c r="C2850" t="s">
        <v>1049</v>
      </c>
      <c r="D2850">
        <v>84273</v>
      </c>
      <c r="E2850">
        <v>48056</v>
      </c>
      <c r="F2850">
        <v>34829</v>
      </c>
    </row>
    <row r="2851" spans="1:6">
      <c r="A2851" t="s">
        <v>3895</v>
      </c>
      <c r="B2851">
        <v>317</v>
      </c>
      <c r="C2851" t="s">
        <v>745</v>
      </c>
      <c r="D2851">
        <v>2247280</v>
      </c>
      <c r="E2851">
        <v>48056</v>
      </c>
      <c r="F2851">
        <v>34829</v>
      </c>
    </row>
    <row r="2852" spans="1:6">
      <c r="A2852" t="s">
        <v>3896</v>
      </c>
      <c r="B2852">
        <v>317</v>
      </c>
      <c r="C2852" t="s">
        <v>1052</v>
      </c>
      <c r="D2852">
        <v>5056380</v>
      </c>
      <c r="E2852">
        <v>48056</v>
      </c>
      <c r="F2852">
        <v>34829</v>
      </c>
    </row>
    <row r="2853" spans="1:6">
      <c r="A2853" t="s">
        <v>3897</v>
      </c>
      <c r="B2853">
        <v>317</v>
      </c>
      <c r="C2853" t="s">
        <v>164</v>
      </c>
      <c r="D2853">
        <v>55212965</v>
      </c>
      <c r="E2853">
        <v>52326</v>
      </c>
      <c r="F2853">
        <v>34829</v>
      </c>
    </row>
    <row r="2854" spans="1:6">
      <c r="A2854" t="s">
        <v>3898</v>
      </c>
      <c r="B2854">
        <v>317</v>
      </c>
      <c r="C2854" t="s">
        <v>651</v>
      </c>
      <c r="D2854">
        <v>27606482</v>
      </c>
      <c r="E2854">
        <v>52326</v>
      </c>
      <c r="F2854">
        <v>34829</v>
      </c>
    </row>
    <row r="2855" spans="1:6">
      <c r="A2855" t="s">
        <v>3899</v>
      </c>
      <c r="B2855">
        <v>318</v>
      </c>
      <c r="C2855" t="s">
        <v>154</v>
      </c>
      <c r="D2855">
        <v>566895</v>
      </c>
      <c r="E2855">
        <v>48388</v>
      </c>
      <c r="F2855">
        <v>34975</v>
      </c>
    </row>
    <row r="2856" spans="1:6">
      <c r="A2856" t="s">
        <v>3900</v>
      </c>
      <c r="B2856">
        <v>318</v>
      </c>
      <c r="C2856" t="s">
        <v>1043</v>
      </c>
      <c r="D2856">
        <v>1700685</v>
      </c>
      <c r="E2856">
        <v>48388</v>
      </c>
      <c r="F2856">
        <v>34975</v>
      </c>
    </row>
    <row r="2857" spans="1:6">
      <c r="A2857" t="s">
        <v>3901</v>
      </c>
      <c r="B2857">
        <v>318</v>
      </c>
      <c r="C2857" t="s">
        <v>1045</v>
      </c>
      <c r="D2857">
        <v>1020411</v>
      </c>
      <c r="E2857">
        <v>48388</v>
      </c>
      <c r="F2857">
        <v>34975</v>
      </c>
    </row>
    <row r="2858" spans="1:6">
      <c r="A2858" t="s">
        <v>3902</v>
      </c>
      <c r="B2858">
        <v>318</v>
      </c>
      <c r="C2858" t="s">
        <v>1047</v>
      </c>
      <c r="D2858">
        <v>283448</v>
      </c>
      <c r="E2858">
        <v>48388</v>
      </c>
      <c r="F2858">
        <v>34975</v>
      </c>
    </row>
    <row r="2859" spans="1:6">
      <c r="A2859" t="s">
        <v>3903</v>
      </c>
      <c r="B2859">
        <v>318</v>
      </c>
      <c r="C2859" t="s">
        <v>1049</v>
      </c>
      <c r="D2859">
        <v>85035</v>
      </c>
      <c r="E2859">
        <v>48388</v>
      </c>
      <c r="F2859">
        <v>34975</v>
      </c>
    </row>
    <row r="2860" spans="1:6">
      <c r="A2860" t="s">
        <v>3904</v>
      </c>
      <c r="B2860">
        <v>318</v>
      </c>
      <c r="C2860" t="s">
        <v>745</v>
      </c>
      <c r="D2860">
        <v>2267580</v>
      </c>
      <c r="E2860">
        <v>48388</v>
      </c>
      <c r="F2860">
        <v>34975</v>
      </c>
    </row>
    <row r="2861" spans="1:6">
      <c r="A2861" t="s">
        <v>3905</v>
      </c>
      <c r="B2861">
        <v>318</v>
      </c>
      <c r="C2861" t="s">
        <v>1052</v>
      </c>
      <c r="D2861">
        <v>5102055</v>
      </c>
      <c r="E2861">
        <v>48388</v>
      </c>
      <c r="F2861">
        <v>34975</v>
      </c>
    </row>
    <row r="2862" spans="1:6">
      <c r="A2862" t="s">
        <v>3906</v>
      </c>
      <c r="B2862">
        <v>318</v>
      </c>
      <c r="C2862" t="s">
        <v>164</v>
      </c>
      <c r="D2862">
        <v>55748668</v>
      </c>
      <c r="E2862">
        <v>52675</v>
      </c>
      <c r="F2862">
        <v>34975</v>
      </c>
    </row>
    <row r="2863" spans="1:6">
      <c r="A2863" t="s">
        <v>3907</v>
      </c>
      <c r="B2863">
        <v>318</v>
      </c>
      <c r="C2863" t="s">
        <v>651</v>
      </c>
      <c r="D2863">
        <v>27874334</v>
      </c>
      <c r="E2863">
        <v>52675</v>
      </c>
      <c r="F2863">
        <v>34975</v>
      </c>
    </row>
    <row r="2864" spans="1:6">
      <c r="A2864" t="s">
        <v>3908</v>
      </c>
      <c r="B2864">
        <v>319</v>
      </c>
      <c r="C2864" t="s">
        <v>154</v>
      </c>
      <c r="D2864">
        <v>572005</v>
      </c>
      <c r="E2864">
        <v>48721</v>
      </c>
      <c r="F2864">
        <v>35122</v>
      </c>
    </row>
    <row r="2865" spans="1:6">
      <c r="A2865" t="s">
        <v>3909</v>
      </c>
      <c r="B2865">
        <v>319</v>
      </c>
      <c r="C2865" t="s">
        <v>1043</v>
      </c>
      <c r="D2865">
        <v>1716015</v>
      </c>
      <c r="E2865">
        <v>48721</v>
      </c>
      <c r="F2865">
        <v>35122</v>
      </c>
    </row>
    <row r="2866" spans="1:6">
      <c r="A2866" t="s">
        <v>3910</v>
      </c>
      <c r="B2866">
        <v>319</v>
      </c>
      <c r="C2866" t="s">
        <v>1045</v>
      </c>
      <c r="D2866">
        <v>1029609</v>
      </c>
      <c r="E2866">
        <v>48721</v>
      </c>
      <c r="F2866">
        <v>35122</v>
      </c>
    </row>
    <row r="2867" spans="1:6">
      <c r="A2867" t="s">
        <v>3911</v>
      </c>
      <c r="B2867">
        <v>319</v>
      </c>
      <c r="C2867" t="s">
        <v>1047</v>
      </c>
      <c r="D2867">
        <v>286003</v>
      </c>
      <c r="E2867">
        <v>48721</v>
      </c>
      <c r="F2867">
        <v>35122</v>
      </c>
    </row>
    <row r="2868" spans="1:6">
      <c r="A2868" t="s">
        <v>3912</v>
      </c>
      <c r="B2868">
        <v>319</v>
      </c>
      <c r="C2868" t="s">
        <v>1049</v>
      </c>
      <c r="D2868">
        <v>85801</v>
      </c>
      <c r="E2868">
        <v>48721</v>
      </c>
      <c r="F2868">
        <v>35122</v>
      </c>
    </row>
    <row r="2869" spans="1:6">
      <c r="A2869" t="s">
        <v>3913</v>
      </c>
      <c r="B2869">
        <v>319</v>
      </c>
      <c r="C2869" t="s">
        <v>745</v>
      </c>
      <c r="D2869">
        <v>2288020</v>
      </c>
      <c r="E2869">
        <v>48721</v>
      </c>
      <c r="F2869">
        <v>35122</v>
      </c>
    </row>
    <row r="2870" spans="1:6">
      <c r="A2870" t="s">
        <v>3914</v>
      </c>
      <c r="B2870">
        <v>319</v>
      </c>
      <c r="C2870" t="s">
        <v>1052</v>
      </c>
      <c r="D2870">
        <v>5148045</v>
      </c>
      <c r="E2870">
        <v>48721</v>
      </c>
      <c r="F2870">
        <v>35122</v>
      </c>
    </row>
    <row r="2871" spans="1:6">
      <c r="A2871" t="s">
        <v>3915</v>
      </c>
      <c r="B2871">
        <v>319</v>
      </c>
      <c r="C2871" t="s">
        <v>164</v>
      </c>
      <c r="D2871">
        <v>56288554</v>
      </c>
      <c r="E2871">
        <v>53025</v>
      </c>
      <c r="F2871">
        <v>35122</v>
      </c>
    </row>
    <row r="2872" spans="1:6">
      <c r="A2872" t="s">
        <v>3916</v>
      </c>
      <c r="B2872">
        <v>319</v>
      </c>
      <c r="C2872" t="s">
        <v>651</v>
      </c>
      <c r="D2872">
        <v>28144277</v>
      </c>
      <c r="E2872">
        <v>53025</v>
      </c>
      <c r="F2872">
        <v>35122</v>
      </c>
    </row>
    <row r="2873" spans="1:6">
      <c r="A2873" t="s">
        <v>3917</v>
      </c>
      <c r="B2873">
        <v>320</v>
      </c>
      <c r="C2873" t="s">
        <v>154</v>
      </c>
      <c r="D2873">
        <v>577151</v>
      </c>
      <c r="E2873">
        <v>49057</v>
      </c>
      <c r="F2873">
        <v>35268</v>
      </c>
    </row>
    <row r="2874" spans="1:6">
      <c r="A2874" t="s">
        <v>3918</v>
      </c>
      <c r="B2874">
        <v>320</v>
      </c>
      <c r="C2874" t="s">
        <v>1043</v>
      </c>
      <c r="D2874">
        <v>1731453</v>
      </c>
      <c r="E2874">
        <v>49057</v>
      </c>
      <c r="F2874">
        <v>35268</v>
      </c>
    </row>
    <row r="2875" spans="1:6">
      <c r="A2875" t="s">
        <v>3919</v>
      </c>
      <c r="B2875">
        <v>320</v>
      </c>
      <c r="C2875" t="s">
        <v>1045</v>
      </c>
      <c r="D2875">
        <v>1038872</v>
      </c>
      <c r="E2875">
        <v>49057</v>
      </c>
      <c r="F2875">
        <v>35268</v>
      </c>
    </row>
    <row r="2876" spans="1:6">
      <c r="A2876" t="s">
        <v>3920</v>
      </c>
      <c r="B2876">
        <v>320</v>
      </c>
      <c r="C2876" t="s">
        <v>1047</v>
      </c>
      <c r="D2876">
        <v>288576</v>
      </c>
      <c r="E2876">
        <v>49057</v>
      </c>
      <c r="F2876">
        <v>35268</v>
      </c>
    </row>
    <row r="2877" spans="1:6">
      <c r="A2877" t="s">
        <v>3921</v>
      </c>
      <c r="B2877">
        <v>320</v>
      </c>
      <c r="C2877" t="s">
        <v>1049</v>
      </c>
      <c r="D2877">
        <v>86573</v>
      </c>
      <c r="E2877">
        <v>49057</v>
      </c>
      <c r="F2877">
        <v>35268</v>
      </c>
    </row>
    <row r="2878" spans="1:6">
      <c r="A2878" t="s">
        <v>3922</v>
      </c>
      <c r="B2878">
        <v>320</v>
      </c>
      <c r="C2878" t="s">
        <v>745</v>
      </c>
      <c r="D2878">
        <v>2308604</v>
      </c>
      <c r="E2878">
        <v>49057</v>
      </c>
      <c r="F2878">
        <v>35268</v>
      </c>
    </row>
    <row r="2879" spans="1:6">
      <c r="A2879" t="s">
        <v>3923</v>
      </c>
      <c r="B2879">
        <v>320</v>
      </c>
      <c r="C2879" t="s">
        <v>1052</v>
      </c>
      <c r="D2879">
        <v>5194359</v>
      </c>
      <c r="E2879">
        <v>49057</v>
      </c>
      <c r="F2879">
        <v>35268</v>
      </c>
    </row>
    <row r="2880" spans="1:6">
      <c r="A2880" t="s">
        <v>3924</v>
      </c>
      <c r="B2880">
        <v>320</v>
      </c>
      <c r="C2880" t="s">
        <v>164</v>
      </c>
      <c r="D2880">
        <v>56832520</v>
      </c>
      <c r="E2880">
        <v>53377</v>
      </c>
      <c r="F2880">
        <v>35268</v>
      </c>
    </row>
    <row r="2881" spans="1:6">
      <c r="A2881" t="s">
        <v>3925</v>
      </c>
      <c r="B2881">
        <v>320</v>
      </c>
      <c r="C2881" t="s">
        <v>651</v>
      </c>
      <c r="D2881">
        <v>28416260</v>
      </c>
      <c r="E2881">
        <v>53377</v>
      </c>
      <c r="F2881">
        <v>35268</v>
      </c>
    </row>
    <row r="2882" spans="1:6">
      <c r="A2882" t="s">
        <v>3926</v>
      </c>
      <c r="B2882">
        <v>321</v>
      </c>
      <c r="C2882" t="s">
        <v>154</v>
      </c>
      <c r="D2882">
        <v>582332</v>
      </c>
      <c r="E2882">
        <v>49394</v>
      </c>
      <c r="F2882">
        <v>35415</v>
      </c>
    </row>
    <row r="2883" spans="1:6">
      <c r="A2883" t="s">
        <v>3927</v>
      </c>
      <c r="B2883">
        <v>321</v>
      </c>
      <c r="C2883" t="s">
        <v>1043</v>
      </c>
      <c r="D2883">
        <v>1746996</v>
      </c>
      <c r="E2883">
        <v>49394</v>
      </c>
      <c r="F2883">
        <v>35415</v>
      </c>
    </row>
    <row r="2884" spans="1:6">
      <c r="A2884" t="s">
        <v>3928</v>
      </c>
      <c r="B2884">
        <v>321</v>
      </c>
      <c r="C2884" t="s">
        <v>1045</v>
      </c>
      <c r="D2884">
        <v>1048198</v>
      </c>
      <c r="E2884">
        <v>49394</v>
      </c>
      <c r="F2884">
        <v>35415</v>
      </c>
    </row>
    <row r="2885" spans="1:6">
      <c r="A2885" t="s">
        <v>3929</v>
      </c>
      <c r="B2885">
        <v>321</v>
      </c>
      <c r="C2885" t="s">
        <v>1047</v>
      </c>
      <c r="D2885">
        <v>291166</v>
      </c>
      <c r="E2885">
        <v>49394</v>
      </c>
      <c r="F2885">
        <v>35415</v>
      </c>
    </row>
    <row r="2886" spans="1:6">
      <c r="A2886" t="s">
        <v>3930</v>
      </c>
      <c r="B2886">
        <v>321</v>
      </c>
      <c r="C2886" t="s">
        <v>1049</v>
      </c>
      <c r="D2886">
        <v>87350</v>
      </c>
      <c r="E2886">
        <v>49394</v>
      </c>
      <c r="F2886">
        <v>35415</v>
      </c>
    </row>
    <row r="2887" spans="1:6">
      <c r="A2887" t="s">
        <v>3931</v>
      </c>
      <c r="B2887">
        <v>321</v>
      </c>
      <c r="C2887" t="s">
        <v>745</v>
      </c>
      <c r="D2887">
        <v>2329328</v>
      </c>
      <c r="E2887">
        <v>49394</v>
      </c>
      <c r="F2887">
        <v>35415</v>
      </c>
    </row>
    <row r="2888" spans="1:6">
      <c r="A2888" t="s">
        <v>3932</v>
      </c>
      <c r="B2888">
        <v>321</v>
      </c>
      <c r="C2888" t="s">
        <v>1052</v>
      </c>
      <c r="D2888">
        <v>5240988</v>
      </c>
      <c r="E2888">
        <v>49394</v>
      </c>
      <c r="F2888">
        <v>35415</v>
      </c>
    </row>
    <row r="2889" spans="1:6">
      <c r="A2889" t="s">
        <v>3933</v>
      </c>
      <c r="B2889">
        <v>321</v>
      </c>
      <c r="C2889" t="s">
        <v>164</v>
      </c>
      <c r="D2889">
        <v>57380668</v>
      </c>
      <c r="E2889">
        <v>53731</v>
      </c>
      <c r="F2889">
        <v>35415</v>
      </c>
    </row>
    <row r="2890" spans="1:6">
      <c r="A2890" t="s">
        <v>3934</v>
      </c>
      <c r="B2890">
        <v>321</v>
      </c>
      <c r="C2890" t="s">
        <v>651</v>
      </c>
      <c r="D2890">
        <v>28690334</v>
      </c>
      <c r="E2890">
        <v>53731</v>
      </c>
      <c r="F2890">
        <v>35415</v>
      </c>
    </row>
    <row r="2891" spans="1:6">
      <c r="A2891" t="s">
        <v>3935</v>
      </c>
      <c r="B2891">
        <v>322</v>
      </c>
      <c r="C2891" t="s">
        <v>154</v>
      </c>
      <c r="D2891">
        <v>587549</v>
      </c>
      <c r="E2891">
        <v>49732</v>
      </c>
      <c r="F2891">
        <v>35562</v>
      </c>
    </row>
    <row r="2892" spans="1:6">
      <c r="A2892" t="s">
        <v>3936</v>
      </c>
      <c r="B2892">
        <v>322</v>
      </c>
      <c r="C2892" t="s">
        <v>1043</v>
      </c>
      <c r="D2892">
        <v>1762647</v>
      </c>
      <c r="E2892">
        <v>49732</v>
      </c>
      <c r="F2892">
        <v>35562</v>
      </c>
    </row>
    <row r="2893" spans="1:6">
      <c r="A2893" t="s">
        <v>3937</v>
      </c>
      <c r="B2893">
        <v>322</v>
      </c>
      <c r="C2893" t="s">
        <v>1045</v>
      </c>
      <c r="D2893">
        <v>1057589</v>
      </c>
      <c r="E2893">
        <v>49732</v>
      </c>
      <c r="F2893">
        <v>35562</v>
      </c>
    </row>
    <row r="2894" spans="1:6">
      <c r="A2894" t="s">
        <v>3938</v>
      </c>
      <c r="B2894">
        <v>322</v>
      </c>
      <c r="C2894" t="s">
        <v>1047</v>
      </c>
      <c r="D2894">
        <v>293775</v>
      </c>
      <c r="E2894">
        <v>49732</v>
      </c>
      <c r="F2894">
        <v>35562</v>
      </c>
    </row>
    <row r="2895" spans="1:6">
      <c r="A2895" t="s">
        <v>3939</v>
      </c>
      <c r="B2895">
        <v>322</v>
      </c>
      <c r="C2895" t="s">
        <v>1049</v>
      </c>
      <c r="D2895">
        <v>88133</v>
      </c>
      <c r="E2895">
        <v>49732</v>
      </c>
      <c r="F2895">
        <v>35562</v>
      </c>
    </row>
    <row r="2896" spans="1:6">
      <c r="A2896" t="s">
        <v>3940</v>
      </c>
      <c r="B2896">
        <v>322</v>
      </c>
      <c r="C2896" t="s">
        <v>745</v>
      </c>
      <c r="D2896">
        <v>2350196</v>
      </c>
      <c r="E2896">
        <v>49732</v>
      </c>
      <c r="F2896">
        <v>35562</v>
      </c>
    </row>
    <row r="2897" spans="1:6">
      <c r="A2897" t="s">
        <v>3941</v>
      </c>
      <c r="B2897">
        <v>322</v>
      </c>
      <c r="C2897" t="s">
        <v>1052</v>
      </c>
      <c r="D2897">
        <v>5287941</v>
      </c>
      <c r="E2897">
        <v>49732</v>
      </c>
      <c r="F2897">
        <v>35562</v>
      </c>
    </row>
    <row r="2898" spans="1:6">
      <c r="A2898" t="s">
        <v>3942</v>
      </c>
      <c r="B2898">
        <v>322</v>
      </c>
      <c r="C2898" t="s">
        <v>164</v>
      </c>
      <c r="D2898">
        <v>57932997</v>
      </c>
      <c r="E2898">
        <v>54086</v>
      </c>
      <c r="F2898">
        <v>35562</v>
      </c>
    </row>
    <row r="2899" spans="1:6">
      <c r="A2899" t="s">
        <v>3943</v>
      </c>
      <c r="B2899">
        <v>322</v>
      </c>
      <c r="C2899" t="s">
        <v>651</v>
      </c>
      <c r="D2899">
        <v>28966499</v>
      </c>
      <c r="E2899">
        <v>54086</v>
      </c>
      <c r="F2899">
        <v>35562</v>
      </c>
    </row>
    <row r="2900" spans="1:6">
      <c r="A2900" t="s">
        <v>3944</v>
      </c>
      <c r="B2900">
        <v>323</v>
      </c>
      <c r="C2900" t="s">
        <v>154</v>
      </c>
      <c r="D2900">
        <v>592803</v>
      </c>
      <c r="E2900">
        <v>50074</v>
      </c>
      <c r="F2900">
        <v>35709</v>
      </c>
    </row>
    <row r="2901" spans="1:6">
      <c r="A2901" t="s">
        <v>3945</v>
      </c>
      <c r="B2901">
        <v>323</v>
      </c>
      <c r="C2901" t="s">
        <v>1043</v>
      </c>
      <c r="D2901">
        <v>1778409</v>
      </c>
      <c r="E2901">
        <v>50074</v>
      </c>
      <c r="F2901">
        <v>35709</v>
      </c>
    </row>
    <row r="2902" spans="1:6">
      <c r="A2902" t="s">
        <v>3946</v>
      </c>
      <c r="B2902">
        <v>323</v>
      </c>
      <c r="C2902" t="s">
        <v>1045</v>
      </c>
      <c r="D2902">
        <v>1067046</v>
      </c>
      <c r="E2902">
        <v>50074</v>
      </c>
      <c r="F2902">
        <v>35709</v>
      </c>
    </row>
    <row r="2903" spans="1:6">
      <c r="A2903" t="s">
        <v>3947</v>
      </c>
      <c r="B2903">
        <v>323</v>
      </c>
      <c r="C2903" t="s">
        <v>1047</v>
      </c>
      <c r="D2903">
        <v>296402</v>
      </c>
      <c r="E2903">
        <v>50074</v>
      </c>
      <c r="F2903">
        <v>35709</v>
      </c>
    </row>
    <row r="2904" spans="1:6">
      <c r="A2904" t="s">
        <v>3948</v>
      </c>
      <c r="B2904">
        <v>323</v>
      </c>
      <c r="C2904" t="s">
        <v>1049</v>
      </c>
      <c r="D2904">
        <v>88921</v>
      </c>
      <c r="E2904">
        <v>50074</v>
      </c>
      <c r="F2904">
        <v>35709</v>
      </c>
    </row>
    <row r="2905" spans="1:6">
      <c r="A2905" t="s">
        <v>3949</v>
      </c>
      <c r="B2905">
        <v>323</v>
      </c>
      <c r="C2905" t="s">
        <v>745</v>
      </c>
      <c r="D2905">
        <v>2371212</v>
      </c>
      <c r="E2905">
        <v>50074</v>
      </c>
      <c r="F2905">
        <v>35709</v>
      </c>
    </row>
    <row r="2906" spans="1:6">
      <c r="A2906" t="s">
        <v>3950</v>
      </c>
      <c r="B2906">
        <v>323</v>
      </c>
      <c r="C2906" t="s">
        <v>1052</v>
      </c>
      <c r="D2906">
        <v>5335227</v>
      </c>
      <c r="E2906">
        <v>50074</v>
      </c>
      <c r="F2906">
        <v>35709</v>
      </c>
    </row>
    <row r="2907" spans="1:6">
      <c r="A2907" t="s">
        <v>3951</v>
      </c>
      <c r="B2907">
        <v>323</v>
      </c>
      <c r="C2907" t="s">
        <v>164</v>
      </c>
      <c r="D2907">
        <v>58489509</v>
      </c>
      <c r="E2907">
        <v>54444</v>
      </c>
      <c r="F2907">
        <v>35709</v>
      </c>
    </row>
    <row r="2908" spans="1:6">
      <c r="A2908" t="s">
        <v>3952</v>
      </c>
      <c r="B2908">
        <v>323</v>
      </c>
      <c r="C2908" t="s">
        <v>651</v>
      </c>
      <c r="D2908">
        <v>29244755</v>
      </c>
      <c r="E2908">
        <v>54444</v>
      </c>
      <c r="F2908">
        <v>35709</v>
      </c>
    </row>
    <row r="2909" spans="1:6">
      <c r="A2909" t="s">
        <v>3953</v>
      </c>
      <c r="B2909">
        <v>324</v>
      </c>
      <c r="C2909" t="s">
        <v>154</v>
      </c>
      <c r="D2909">
        <v>598092</v>
      </c>
      <c r="E2909">
        <v>50416</v>
      </c>
      <c r="F2909">
        <v>35856</v>
      </c>
    </row>
    <row r="2910" spans="1:6">
      <c r="A2910" t="s">
        <v>3954</v>
      </c>
      <c r="B2910">
        <v>324</v>
      </c>
      <c r="C2910" t="s">
        <v>1043</v>
      </c>
      <c r="D2910">
        <v>1794276</v>
      </c>
      <c r="E2910">
        <v>50416</v>
      </c>
      <c r="F2910">
        <v>35856</v>
      </c>
    </row>
    <row r="2911" spans="1:6">
      <c r="A2911" t="s">
        <v>3955</v>
      </c>
      <c r="B2911">
        <v>324</v>
      </c>
      <c r="C2911" t="s">
        <v>1045</v>
      </c>
      <c r="D2911">
        <v>1076566</v>
      </c>
      <c r="E2911">
        <v>50416</v>
      </c>
      <c r="F2911">
        <v>35856</v>
      </c>
    </row>
    <row r="2912" spans="1:6">
      <c r="A2912" t="s">
        <v>3956</v>
      </c>
      <c r="B2912">
        <v>324</v>
      </c>
      <c r="C2912" t="s">
        <v>1047</v>
      </c>
      <c r="D2912">
        <v>299046</v>
      </c>
      <c r="E2912">
        <v>50416</v>
      </c>
      <c r="F2912">
        <v>35856</v>
      </c>
    </row>
    <row r="2913" spans="1:6">
      <c r="A2913" t="s">
        <v>3957</v>
      </c>
      <c r="B2913">
        <v>324</v>
      </c>
      <c r="C2913" t="s">
        <v>1049</v>
      </c>
      <c r="D2913">
        <v>89714</v>
      </c>
      <c r="E2913">
        <v>50416</v>
      </c>
      <c r="F2913">
        <v>35856</v>
      </c>
    </row>
    <row r="2914" spans="1:6">
      <c r="A2914" t="s">
        <v>3958</v>
      </c>
      <c r="B2914">
        <v>324</v>
      </c>
      <c r="C2914" t="s">
        <v>745</v>
      </c>
      <c r="D2914">
        <v>2392368</v>
      </c>
      <c r="E2914">
        <v>50416</v>
      </c>
      <c r="F2914">
        <v>35856</v>
      </c>
    </row>
    <row r="2915" spans="1:6">
      <c r="A2915" t="s">
        <v>3959</v>
      </c>
      <c r="B2915">
        <v>324</v>
      </c>
      <c r="C2915" t="s">
        <v>1052</v>
      </c>
      <c r="D2915">
        <v>5382828</v>
      </c>
      <c r="E2915">
        <v>50416</v>
      </c>
      <c r="F2915">
        <v>35856</v>
      </c>
    </row>
    <row r="2916" spans="1:6">
      <c r="A2916" t="s">
        <v>3960</v>
      </c>
      <c r="B2916">
        <v>324</v>
      </c>
      <c r="C2916" t="s">
        <v>164</v>
      </c>
      <c r="D2916">
        <v>59050254</v>
      </c>
      <c r="E2916">
        <v>54803</v>
      </c>
      <c r="F2916">
        <v>35856</v>
      </c>
    </row>
    <row r="2917" spans="1:6">
      <c r="A2917" t="s">
        <v>3961</v>
      </c>
      <c r="B2917">
        <v>324</v>
      </c>
      <c r="C2917" t="s">
        <v>651</v>
      </c>
      <c r="D2917">
        <v>29525127</v>
      </c>
      <c r="E2917">
        <v>54803</v>
      </c>
      <c r="F2917">
        <v>35856</v>
      </c>
    </row>
    <row r="2918" spans="1:6">
      <c r="A2918" t="s">
        <v>3962</v>
      </c>
      <c r="B2918">
        <v>325</v>
      </c>
      <c r="C2918" t="s">
        <v>154</v>
      </c>
      <c r="D2918">
        <v>603418</v>
      </c>
      <c r="E2918">
        <v>50761</v>
      </c>
      <c r="F2918">
        <v>36004</v>
      </c>
    </row>
    <row r="2919" spans="1:6">
      <c r="A2919" t="s">
        <v>3963</v>
      </c>
      <c r="B2919">
        <v>325</v>
      </c>
      <c r="C2919" t="s">
        <v>1043</v>
      </c>
      <c r="D2919">
        <v>1810254</v>
      </c>
      <c r="E2919">
        <v>50761</v>
      </c>
      <c r="F2919">
        <v>36004</v>
      </c>
    </row>
    <row r="2920" spans="1:6">
      <c r="A2920" t="s">
        <v>3964</v>
      </c>
      <c r="B2920">
        <v>325</v>
      </c>
      <c r="C2920" t="s">
        <v>1045</v>
      </c>
      <c r="D2920">
        <v>1086153</v>
      </c>
      <c r="E2920">
        <v>50761</v>
      </c>
      <c r="F2920">
        <v>36004</v>
      </c>
    </row>
    <row r="2921" spans="1:6">
      <c r="A2921" t="s">
        <v>3965</v>
      </c>
      <c r="B2921">
        <v>325</v>
      </c>
      <c r="C2921" t="s">
        <v>1047</v>
      </c>
      <c r="D2921">
        <v>301709</v>
      </c>
      <c r="E2921">
        <v>50761</v>
      </c>
      <c r="F2921">
        <v>36004</v>
      </c>
    </row>
    <row r="2922" spans="1:6">
      <c r="A2922" t="s">
        <v>3966</v>
      </c>
      <c r="B2922">
        <v>325</v>
      </c>
      <c r="C2922" t="s">
        <v>1049</v>
      </c>
      <c r="D2922">
        <v>90513</v>
      </c>
      <c r="E2922">
        <v>50761</v>
      </c>
      <c r="F2922">
        <v>36004</v>
      </c>
    </row>
    <row r="2923" spans="1:6">
      <c r="A2923" t="s">
        <v>3967</v>
      </c>
      <c r="B2923">
        <v>325</v>
      </c>
      <c r="C2923" t="s">
        <v>745</v>
      </c>
      <c r="D2923">
        <v>2413672</v>
      </c>
      <c r="E2923">
        <v>50761</v>
      </c>
      <c r="F2923">
        <v>36004</v>
      </c>
    </row>
    <row r="2924" spans="1:6">
      <c r="A2924" t="s">
        <v>3968</v>
      </c>
      <c r="B2924">
        <v>325</v>
      </c>
      <c r="C2924" t="s">
        <v>1052</v>
      </c>
      <c r="D2924">
        <v>5430762</v>
      </c>
      <c r="E2924">
        <v>50761</v>
      </c>
      <c r="F2924">
        <v>36004</v>
      </c>
    </row>
    <row r="2925" spans="1:6">
      <c r="A2925" t="s">
        <v>3969</v>
      </c>
      <c r="B2925">
        <v>325</v>
      </c>
      <c r="C2925" t="s">
        <v>164</v>
      </c>
      <c r="D2925">
        <v>59615283</v>
      </c>
      <c r="E2925">
        <v>55165</v>
      </c>
      <c r="F2925">
        <v>36004</v>
      </c>
    </row>
    <row r="2926" spans="1:6">
      <c r="A2926" t="s">
        <v>3970</v>
      </c>
      <c r="B2926">
        <v>325</v>
      </c>
      <c r="C2926" t="s">
        <v>651</v>
      </c>
      <c r="D2926">
        <v>29807641</v>
      </c>
      <c r="E2926">
        <v>55165</v>
      </c>
      <c r="F2926">
        <v>36004</v>
      </c>
    </row>
    <row r="2927" spans="1:6">
      <c r="A2927" t="s">
        <v>3971</v>
      </c>
      <c r="B2927">
        <v>326</v>
      </c>
      <c r="C2927" t="s">
        <v>154</v>
      </c>
      <c r="D2927">
        <v>608781</v>
      </c>
      <c r="E2927">
        <v>51107</v>
      </c>
      <c r="F2927">
        <v>36152</v>
      </c>
    </row>
    <row r="2928" spans="1:6">
      <c r="A2928" t="s">
        <v>3972</v>
      </c>
      <c r="B2928">
        <v>326</v>
      </c>
      <c r="C2928" t="s">
        <v>1043</v>
      </c>
      <c r="D2928">
        <v>1826343</v>
      </c>
      <c r="E2928">
        <v>51107</v>
      </c>
      <c r="F2928">
        <v>36152</v>
      </c>
    </row>
    <row r="2929" spans="1:6">
      <c r="A2929" t="s">
        <v>3973</v>
      </c>
      <c r="B2929">
        <v>326</v>
      </c>
      <c r="C2929" t="s">
        <v>1045</v>
      </c>
      <c r="D2929">
        <v>1095806</v>
      </c>
      <c r="E2929">
        <v>51107</v>
      </c>
      <c r="F2929">
        <v>36152</v>
      </c>
    </row>
    <row r="2930" spans="1:6">
      <c r="A2930" t="s">
        <v>3974</v>
      </c>
      <c r="B2930">
        <v>326</v>
      </c>
      <c r="C2930" t="s">
        <v>1047</v>
      </c>
      <c r="D2930">
        <v>304391</v>
      </c>
      <c r="E2930">
        <v>51107</v>
      </c>
      <c r="F2930">
        <v>36152</v>
      </c>
    </row>
    <row r="2931" spans="1:6">
      <c r="A2931" t="s">
        <v>3975</v>
      </c>
      <c r="B2931">
        <v>326</v>
      </c>
      <c r="C2931" t="s">
        <v>1049</v>
      </c>
      <c r="D2931">
        <v>91318</v>
      </c>
      <c r="E2931">
        <v>51107</v>
      </c>
      <c r="F2931">
        <v>36152</v>
      </c>
    </row>
    <row r="2932" spans="1:6">
      <c r="A2932" t="s">
        <v>3976</v>
      </c>
      <c r="B2932">
        <v>326</v>
      </c>
      <c r="C2932" t="s">
        <v>745</v>
      </c>
      <c r="D2932">
        <v>2435124</v>
      </c>
      <c r="E2932">
        <v>51107</v>
      </c>
      <c r="F2932">
        <v>36152</v>
      </c>
    </row>
    <row r="2933" spans="1:6">
      <c r="A2933" t="s">
        <v>3977</v>
      </c>
      <c r="B2933">
        <v>326</v>
      </c>
      <c r="C2933" t="s">
        <v>1052</v>
      </c>
      <c r="D2933">
        <v>5479029</v>
      </c>
      <c r="E2933">
        <v>51107</v>
      </c>
      <c r="F2933">
        <v>36152</v>
      </c>
    </row>
    <row r="2934" spans="1:6">
      <c r="A2934" t="s">
        <v>3978</v>
      </c>
      <c r="B2934">
        <v>326</v>
      </c>
      <c r="C2934" t="s">
        <v>164</v>
      </c>
      <c r="D2934">
        <v>60184595</v>
      </c>
      <c r="E2934">
        <v>55528</v>
      </c>
      <c r="F2934">
        <v>36152</v>
      </c>
    </row>
    <row r="2935" spans="1:6">
      <c r="A2935" t="s">
        <v>3979</v>
      </c>
      <c r="B2935">
        <v>326</v>
      </c>
      <c r="C2935" t="s">
        <v>651</v>
      </c>
      <c r="D2935">
        <v>30092298</v>
      </c>
      <c r="E2935">
        <v>55528</v>
      </c>
      <c r="F2935">
        <v>36152</v>
      </c>
    </row>
    <row r="2936" spans="1:6">
      <c r="A2936" t="s">
        <v>3980</v>
      </c>
      <c r="B2936">
        <v>327</v>
      </c>
      <c r="C2936" t="s">
        <v>154</v>
      </c>
      <c r="D2936">
        <v>614180</v>
      </c>
      <c r="E2936">
        <v>51455</v>
      </c>
      <c r="F2936">
        <v>36300</v>
      </c>
    </row>
    <row r="2937" spans="1:6">
      <c r="A2937" t="s">
        <v>3981</v>
      </c>
      <c r="B2937">
        <v>327</v>
      </c>
      <c r="C2937" t="s">
        <v>1043</v>
      </c>
      <c r="D2937">
        <v>1842540</v>
      </c>
      <c r="E2937">
        <v>51455</v>
      </c>
      <c r="F2937">
        <v>36300</v>
      </c>
    </row>
    <row r="2938" spans="1:6">
      <c r="A2938" t="s">
        <v>3982</v>
      </c>
      <c r="B2938">
        <v>327</v>
      </c>
      <c r="C2938" t="s">
        <v>1045</v>
      </c>
      <c r="D2938">
        <v>1105524</v>
      </c>
      <c r="E2938">
        <v>51455</v>
      </c>
      <c r="F2938">
        <v>36300</v>
      </c>
    </row>
    <row r="2939" spans="1:6">
      <c r="A2939" t="s">
        <v>3983</v>
      </c>
      <c r="B2939">
        <v>327</v>
      </c>
      <c r="C2939" t="s">
        <v>1047</v>
      </c>
      <c r="D2939">
        <v>307090</v>
      </c>
      <c r="E2939">
        <v>51455</v>
      </c>
      <c r="F2939">
        <v>36300</v>
      </c>
    </row>
    <row r="2940" spans="1:6">
      <c r="A2940" t="s">
        <v>3984</v>
      </c>
      <c r="B2940">
        <v>327</v>
      </c>
      <c r="C2940" t="s">
        <v>1049</v>
      </c>
      <c r="D2940">
        <v>92127</v>
      </c>
      <c r="E2940">
        <v>51455</v>
      </c>
      <c r="F2940">
        <v>36300</v>
      </c>
    </row>
    <row r="2941" spans="1:6">
      <c r="A2941" t="s">
        <v>3985</v>
      </c>
      <c r="B2941">
        <v>327</v>
      </c>
      <c r="C2941" t="s">
        <v>745</v>
      </c>
      <c r="D2941">
        <v>2456720</v>
      </c>
      <c r="E2941">
        <v>51455</v>
      </c>
      <c r="F2941">
        <v>36300</v>
      </c>
    </row>
    <row r="2942" spans="1:6">
      <c r="A2942" t="s">
        <v>3986</v>
      </c>
      <c r="B2942">
        <v>327</v>
      </c>
      <c r="C2942" t="s">
        <v>1052</v>
      </c>
      <c r="D2942">
        <v>5527620</v>
      </c>
      <c r="E2942">
        <v>51455</v>
      </c>
      <c r="F2942">
        <v>36300</v>
      </c>
    </row>
    <row r="2943" spans="1:6">
      <c r="A2943" t="s">
        <v>3987</v>
      </c>
      <c r="B2943">
        <v>327</v>
      </c>
      <c r="C2943" t="s">
        <v>164</v>
      </c>
      <c r="D2943">
        <v>60758192</v>
      </c>
      <c r="E2943">
        <v>55893</v>
      </c>
      <c r="F2943">
        <v>36300</v>
      </c>
    </row>
    <row r="2944" spans="1:6">
      <c r="A2944" t="s">
        <v>3988</v>
      </c>
      <c r="B2944">
        <v>327</v>
      </c>
      <c r="C2944" t="s">
        <v>651</v>
      </c>
      <c r="D2944">
        <v>30379096</v>
      </c>
      <c r="E2944">
        <v>55893</v>
      </c>
      <c r="F2944">
        <v>36300</v>
      </c>
    </row>
    <row r="2945" spans="1:6">
      <c r="A2945" t="s">
        <v>3989</v>
      </c>
      <c r="B2945">
        <v>328</v>
      </c>
      <c r="C2945" t="s">
        <v>154</v>
      </c>
      <c r="D2945">
        <v>619617</v>
      </c>
      <c r="E2945">
        <v>51805</v>
      </c>
      <c r="F2945">
        <v>36448</v>
      </c>
    </row>
    <row r="2946" spans="1:6">
      <c r="A2946" t="s">
        <v>3990</v>
      </c>
      <c r="B2946">
        <v>328</v>
      </c>
      <c r="C2946" t="s">
        <v>1043</v>
      </c>
      <c r="D2946">
        <v>1858851</v>
      </c>
      <c r="E2946">
        <v>51805</v>
      </c>
      <c r="F2946">
        <v>36448</v>
      </c>
    </row>
    <row r="2947" spans="1:6">
      <c r="A2947" t="s">
        <v>3991</v>
      </c>
      <c r="B2947">
        <v>328</v>
      </c>
      <c r="C2947" t="s">
        <v>1045</v>
      </c>
      <c r="D2947">
        <v>1115311</v>
      </c>
      <c r="E2947">
        <v>51805</v>
      </c>
      <c r="F2947">
        <v>36448</v>
      </c>
    </row>
    <row r="2948" spans="1:6">
      <c r="A2948" t="s">
        <v>3992</v>
      </c>
      <c r="B2948">
        <v>328</v>
      </c>
      <c r="C2948" t="s">
        <v>1047</v>
      </c>
      <c r="D2948">
        <v>309809</v>
      </c>
      <c r="E2948">
        <v>51805</v>
      </c>
      <c r="F2948">
        <v>36448</v>
      </c>
    </row>
    <row r="2949" spans="1:6">
      <c r="A2949" t="s">
        <v>3993</v>
      </c>
      <c r="B2949">
        <v>328</v>
      </c>
      <c r="C2949" t="s">
        <v>1049</v>
      </c>
      <c r="D2949">
        <v>92943</v>
      </c>
      <c r="E2949">
        <v>51805</v>
      </c>
      <c r="F2949">
        <v>36448</v>
      </c>
    </row>
    <row r="2950" spans="1:6">
      <c r="A2950" t="s">
        <v>3994</v>
      </c>
      <c r="B2950">
        <v>328</v>
      </c>
      <c r="C2950" t="s">
        <v>745</v>
      </c>
      <c r="D2950">
        <v>2478468</v>
      </c>
      <c r="E2950">
        <v>51805</v>
      </c>
      <c r="F2950">
        <v>36448</v>
      </c>
    </row>
    <row r="2951" spans="1:6">
      <c r="A2951" t="s">
        <v>3995</v>
      </c>
      <c r="B2951">
        <v>328</v>
      </c>
      <c r="C2951" t="s">
        <v>1052</v>
      </c>
      <c r="D2951">
        <v>5576553</v>
      </c>
      <c r="E2951">
        <v>51805</v>
      </c>
      <c r="F2951">
        <v>36448</v>
      </c>
    </row>
    <row r="2952" spans="1:6">
      <c r="A2952" t="s">
        <v>3996</v>
      </c>
      <c r="B2952">
        <v>328</v>
      </c>
      <c r="C2952" t="s">
        <v>164</v>
      </c>
      <c r="D2952">
        <v>61336124</v>
      </c>
      <c r="E2952">
        <v>56260</v>
      </c>
      <c r="F2952">
        <v>36448</v>
      </c>
    </row>
    <row r="2953" spans="1:6">
      <c r="A2953" t="s">
        <v>3997</v>
      </c>
      <c r="B2953">
        <v>328</v>
      </c>
      <c r="C2953" t="s">
        <v>651</v>
      </c>
      <c r="D2953">
        <v>30668062</v>
      </c>
      <c r="E2953">
        <v>56260</v>
      </c>
      <c r="F2953">
        <v>36448</v>
      </c>
    </row>
    <row r="2954" spans="1:6">
      <c r="A2954" t="s">
        <v>3998</v>
      </c>
      <c r="B2954">
        <v>329</v>
      </c>
      <c r="C2954" t="s">
        <v>154</v>
      </c>
      <c r="D2954">
        <v>625091</v>
      </c>
      <c r="E2954">
        <v>52157</v>
      </c>
      <c r="F2954">
        <v>36597</v>
      </c>
    </row>
    <row r="2955" spans="1:6">
      <c r="A2955" t="s">
        <v>3999</v>
      </c>
      <c r="B2955">
        <v>329</v>
      </c>
      <c r="C2955" t="s">
        <v>1043</v>
      </c>
      <c r="D2955">
        <v>1875273</v>
      </c>
      <c r="E2955">
        <v>52157</v>
      </c>
      <c r="F2955">
        <v>36597</v>
      </c>
    </row>
    <row r="2956" spans="1:6">
      <c r="A2956" t="s">
        <v>4000</v>
      </c>
      <c r="B2956">
        <v>329</v>
      </c>
      <c r="C2956" t="s">
        <v>1045</v>
      </c>
      <c r="D2956">
        <v>1125164</v>
      </c>
      <c r="E2956">
        <v>52157</v>
      </c>
      <c r="F2956">
        <v>36597</v>
      </c>
    </row>
    <row r="2957" spans="1:6">
      <c r="A2957" t="s">
        <v>4001</v>
      </c>
      <c r="B2957">
        <v>329</v>
      </c>
      <c r="C2957" t="s">
        <v>1047</v>
      </c>
      <c r="D2957">
        <v>312546</v>
      </c>
      <c r="E2957">
        <v>52157</v>
      </c>
      <c r="F2957">
        <v>36597</v>
      </c>
    </row>
    <row r="2958" spans="1:6">
      <c r="A2958" t="s">
        <v>4002</v>
      </c>
      <c r="B2958">
        <v>329</v>
      </c>
      <c r="C2958" t="s">
        <v>1049</v>
      </c>
      <c r="D2958">
        <v>93764</v>
      </c>
      <c r="E2958">
        <v>52157</v>
      </c>
      <c r="F2958">
        <v>36597</v>
      </c>
    </row>
    <row r="2959" spans="1:6">
      <c r="A2959" t="s">
        <v>4003</v>
      </c>
      <c r="B2959">
        <v>329</v>
      </c>
      <c r="C2959" t="s">
        <v>745</v>
      </c>
      <c r="D2959">
        <v>2500364</v>
      </c>
      <c r="E2959">
        <v>52157</v>
      </c>
      <c r="F2959">
        <v>36597</v>
      </c>
    </row>
    <row r="2960" spans="1:6">
      <c r="A2960" t="s">
        <v>4004</v>
      </c>
      <c r="B2960">
        <v>329</v>
      </c>
      <c r="C2960" t="s">
        <v>1052</v>
      </c>
      <c r="D2960">
        <v>5625819</v>
      </c>
      <c r="E2960">
        <v>52157</v>
      </c>
      <c r="F2960">
        <v>36597</v>
      </c>
    </row>
    <row r="2961" spans="1:6">
      <c r="A2961" t="s">
        <v>4005</v>
      </c>
      <c r="B2961">
        <v>329</v>
      </c>
      <c r="C2961" t="s">
        <v>164</v>
      </c>
      <c r="D2961">
        <v>61918442</v>
      </c>
      <c r="E2961">
        <v>56628</v>
      </c>
      <c r="F2961">
        <v>36597</v>
      </c>
    </row>
    <row r="2962" spans="1:6">
      <c r="A2962" t="s">
        <v>4006</v>
      </c>
      <c r="B2962">
        <v>329</v>
      </c>
      <c r="C2962" t="s">
        <v>651</v>
      </c>
      <c r="D2962">
        <v>30959221</v>
      </c>
      <c r="E2962">
        <v>56628</v>
      </c>
      <c r="F2962">
        <v>36597</v>
      </c>
    </row>
    <row r="2963" spans="1:6">
      <c r="A2963" t="s">
        <v>4007</v>
      </c>
      <c r="B2963">
        <v>330</v>
      </c>
      <c r="C2963" t="s">
        <v>154</v>
      </c>
      <c r="D2963">
        <v>630602</v>
      </c>
      <c r="E2963">
        <v>52511</v>
      </c>
      <c r="F2963">
        <v>36746</v>
      </c>
    </row>
    <row r="2964" spans="1:6">
      <c r="A2964" t="s">
        <v>4008</v>
      </c>
      <c r="B2964">
        <v>330</v>
      </c>
      <c r="C2964" t="s">
        <v>1043</v>
      </c>
      <c r="D2964">
        <v>1891806</v>
      </c>
      <c r="E2964">
        <v>52511</v>
      </c>
      <c r="F2964">
        <v>36746</v>
      </c>
    </row>
    <row r="2965" spans="1:6">
      <c r="A2965" t="s">
        <v>4009</v>
      </c>
      <c r="B2965">
        <v>330</v>
      </c>
      <c r="C2965" t="s">
        <v>1045</v>
      </c>
      <c r="D2965">
        <v>1135084</v>
      </c>
      <c r="E2965">
        <v>52511</v>
      </c>
      <c r="F2965">
        <v>36746</v>
      </c>
    </row>
    <row r="2966" spans="1:6">
      <c r="A2966" t="s">
        <v>4010</v>
      </c>
      <c r="B2966">
        <v>330</v>
      </c>
      <c r="C2966" t="s">
        <v>1047</v>
      </c>
      <c r="D2966">
        <v>315301</v>
      </c>
      <c r="E2966">
        <v>52511</v>
      </c>
      <c r="F2966">
        <v>36746</v>
      </c>
    </row>
    <row r="2967" spans="1:6">
      <c r="A2967" t="s">
        <v>4011</v>
      </c>
      <c r="B2967">
        <v>330</v>
      </c>
      <c r="C2967" t="s">
        <v>1049</v>
      </c>
      <c r="D2967">
        <v>94591</v>
      </c>
      <c r="E2967">
        <v>52511</v>
      </c>
      <c r="F2967">
        <v>36746</v>
      </c>
    </row>
    <row r="2968" spans="1:6">
      <c r="A2968" t="s">
        <v>4012</v>
      </c>
      <c r="B2968">
        <v>330</v>
      </c>
      <c r="C2968" t="s">
        <v>745</v>
      </c>
      <c r="D2968">
        <v>2522408</v>
      </c>
      <c r="E2968">
        <v>52511</v>
      </c>
      <c r="F2968">
        <v>36746</v>
      </c>
    </row>
    <row r="2969" spans="1:6">
      <c r="A2969" t="s">
        <v>4013</v>
      </c>
      <c r="B2969">
        <v>330</v>
      </c>
      <c r="C2969" t="s">
        <v>1052</v>
      </c>
      <c r="D2969">
        <v>5675418</v>
      </c>
      <c r="E2969">
        <v>52511</v>
      </c>
      <c r="F2969">
        <v>36746</v>
      </c>
    </row>
    <row r="2970" spans="1:6">
      <c r="A2970" t="s">
        <v>4014</v>
      </c>
      <c r="B2970">
        <v>330</v>
      </c>
      <c r="C2970" t="s">
        <v>164</v>
      </c>
      <c r="D2970">
        <v>62505145</v>
      </c>
      <c r="E2970">
        <v>56999</v>
      </c>
      <c r="F2970">
        <v>36746</v>
      </c>
    </row>
    <row r="2971" spans="1:6">
      <c r="A2971" t="s">
        <v>4015</v>
      </c>
      <c r="B2971">
        <v>330</v>
      </c>
      <c r="C2971" t="s">
        <v>651</v>
      </c>
      <c r="D2971">
        <v>31252573</v>
      </c>
      <c r="E2971">
        <v>56999</v>
      </c>
      <c r="F2971">
        <v>36746</v>
      </c>
    </row>
    <row r="2972" spans="1:6">
      <c r="A2972" t="s">
        <v>4016</v>
      </c>
      <c r="B2972">
        <v>331</v>
      </c>
      <c r="C2972" t="s">
        <v>154</v>
      </c>
      <c r="D2972">
        <v>636150</v>
      </c>
      <c r="E2972">
        <v>52867</v>
      </c>
      <c r="F2972">
        <v>36895</v>
      </c>
    </row>
    <row r="2973" spans="1:6">
      <c r="A2973" t="s">
        <v>4017</v>
      </c>
      <c r="B2973">
        <v>331</v>
      </c>
      <c r="C2973" t="s">
        <v>1043</v>
      </c>
      <c r="D2973">
        <v>1908450</v>
      </c>
      <c r="E2973">
        <v>52867</v>
      </c>
      <c r="F2973">
        <v>36895</v>
      </c>
    </row>
    <row r="2974" spans="1:6">
      <c r="A2974" t="s">
        <v>4018</v>
      </c>
      <c r="B2974">
        <v>331</v>
      </c>
      <c r="C2974" t="s">
        <v>1045</v>
      </c>
      <c r="D2974">
        <v>1145070</v>
      </c>
      <c r="E2974">
        <v>52867</v>
      </c>
      <c r="F2974">
        <v>36895</v>
      </c>
    </row>
    <row r="2975" spans="1:6">
      <c r="A2975" t="s">
        <v>4019</v>
      </c>
      <c r="B2975">
        <v>331</v>
      </c>
      <c r="C2975" t="s">
        <v>1047</v>
      </c>
      <c r="D2975">
        <v>318075</v>
      </c>
      <c r="E2975">
        <v>52867</v>
      </c>
      <c r="F2975">
        <v>36895</v>
      </c>
    </row>
    <row r="2976" spans="1:6">
      <c r="A2976" t="s">
        <v>4020</v>
      </c>
      <c r="B2976">
        <v>331</v>
      </c>
      <c r="C2976" t="s">
        <v>1049</v>
      </c>
      <c r="D2976">
        <v>95423</v>
      </c>
      <c r="E2976">
        <v>52867</v>
      </c>
      <c r="F2976">
        <v>36895</v>
      </c>
    </row>
    <row r="2977" spans="1:6">
      <c r="A2977" t="s">
        <v>4021</v>
      </c>
      <c r="B2977">
        <v>331</v>
      </c>
      <c r="C2977" t="s">
        <v>745</v>
      </c>
      <c r="D2977">
        <v>2544600</v>
      </c>
      <c r="E2977">
        <v>52867</v>
      </c>
      <c r="F2977">
        <v>36895</v>
      </c>
    </row>
    <row r="2978" spans="1:6">
      <c r="A2978" t="s">
        <v>4022</v>
      </c>
      <c r="B2978">
        <v>331</v>
      </c>
      <c r="C2978" t="s">
        <v>1052</v>
      </c>
      <c r="D2978">
        <v>5725350</v>
      </c>
      <c r="E2978">
        <v>52867</v>
      </c>
      <c r="F2978">
        <v>36895</v>
      </c>
    </row>
    <row r="2979" spans="1:6">
      <c r="A2979" t="s">
        <v>4023</v>
      </c>
      <c r="B2979">
        <v>331</v>
      </c>
      <c r="C2979" t="s">
        <v>164</v>
      </c>
      <c r="D2979">
        <v>63096235</v>
      </c>
      <c r="E2979">
        <v>57372</v>
      </c>
      <c r="F2979">
        <v>36895</v>
      </c>
    </row>
    <row r="2980" spans="1:6">
      <c r="A2980" t="s">
        <v>4024</v>
      </c>
      <c r="B2980">
        <v>331</v>
      </c>
      <c r="C2980" t="s">
        <v>651</v>
      </c>
      <c r="D2980">
        <v>31548118</v>
      </c>
      <c r="E2980">
        <v>57372</v>
      </c>
      <c r="F2980">
        <v>36895</v>
      </c>
    </row>
    <row r="2981" spans="1:6">
      <c r="A2981" t="s">
        <v>4025</v>
      </c>
      <c r="B2981">
        <v>332</v>
      </c>
      <c r="C2981" t="s">
        <v>154</v>
      </c>
      <c r="D2981">
        <v>641737</v>
      </c>
      <c r="E2981">
        <v>53224</v>
      </c>
      <c r="F2981">
        <v>37044</v>
      </c>
    </row>
    <row r="2982" spans="1:6">
      <c r="A2982" t="s">
        <v>4026</v>
      </c>
      <c r="B2982">
        <v>332</v>
      </c>
      <c r="C2982" t="s">
        <v>1043</v>
      </c>
      <c r="D2982">
        <v>1925211</v>
      </c>
      <c r="E2982">
        <v>53224</v>
      </c>
      <c r="F2982">
        <v>37044</v>
      </c>
    </row>
    <row r="2983" spans="1:6">
      <c r="A2983" t="s">
        <v>4027</v>
      </c>
      <c r="B2983">
        <v>332</v>
      </c>
      <c r="C2983" t="s">
        <v>1045</v>
      </c>
      <c r="D2983">
        <v>1155127</v>
      </c>
      <c r="E2983">
        <v>53224</v>
      </c>
      <c r="F2983">
        <v>37044</v>
      </c>
    </row>
    <row r="2984" spans="1:6">
      <c r="A2984" t="s">
        <v>4028</v>
      </c>
      <c r="B2984">
        <v>332</v>
      </c>
      <c r="C2984" t="s">
        <v>1047</v>
      </c>
      <c r="D2984">
        <v>320869</v>
      </c>
      <c r="E2984">
        <v>53224</v>
      </c>
      <c r="F2984">
        <v>37044</v>
      </c>
    </row>
    <row r="2985" spans="1:6">
      <c r="A2985" t="s">
        <v>4029</v>
      </c>
      <c r="B2985">
        <v>332</v>
      </c>
      <c r="C2985" t="s">
        <v>1049</v>
      </c>
      <c r="D2985">
        <v>96261</v>
      </c>
      <c r="E2985">
        <v>53224</v>
      </c>
      <c r="F2985">
        <v>37044</v>
      </c>
    </row>
    <row r="2986" spans="1:6">
      <c r="A2986" t="s">
        <v>4030</v>
      </c>
      <c r="B2986">
        <v>332</v>
      </c>
      <c r="C2986" t="s">
        <v>745</v>
      </c>
      <c r="D2986">
        <v>2566948</v>
      </c>
      <c r="E2986">
        <v>53224</v>
      </c>
      <c r="F2986">
        <v>37044</v>
      </c>
    </row>
    <row r="2987" spans="1:6">
      <c r="A2987" t="s">
        <v>4031</v>
      </c>
      <c r="B2987">
        <v>332</v>
      </c>
      <c r="C2987" t="s">
        <v>1052</v>
      </c>
      <c r="D2987">
        <v>5775633</v>
      </c>
      <c r="E2987">
        <v>53224</v>
      </c>
      <c r="F2987">
        <v>37044</v>
      </c>
    </row>
    <row r="2988" spans="1:6">
      <c r="A2988" t="s">
        <v>4032</v>
      </c>
      <c r="B2988">
        <v>332</v>
      </c>
      <c r="C2988" t="s">
        <v>164</v>
      </c>
      <c r="D2988">
        <v>63691762</v>
      </c>
      <c r="E2988">
        <v>57746</v>
      </c>
      <c r="F2988">
        <v>37044</v>
      </c>
    </row>
    <row r="2989" spans="1:6">
      <c r="A2989" t="s">
        <v>4033</v>
      </c>
      <c r="B2989">
        <v>332</v>
      </c>
      <c r="C2989" t="s">
        <v>651</v>
      </c>
      <c r="D2989">
        <v>31845881</v>
      </c>
      <c r="E2989">
        <v>57746</v>
      </c>
      <c r="F2989">
        <v>37044</v>
      </c>
    </row>
    <row r="2990" spans="1:6">
      <c r="A2990" t="s">
        <v>4034</v>
      </c>
      <c r="B2990">
        <v>333</v>
      </c>
      <c r="C2990" t="s">
        <v>154</v>
      </c>
      <c r="D2990">
        <v>647361</v>
      </c>
      <c r="E2990">
        <v>53584</v>
      </c>
      <c r="F2990">
        <v>37193</v>
      </c>
    </row>
    <row r="2991" spans="1:6">
      <c r="A2991" t="s">
        <v>4035</v>
      </c>
      <c r="B2991">
        <v>333</v>
      </c>
      <c r="C2991" t="s">
        <v>1043</v>
      </c>
      <c r="D2991">
        <v>1942083</v>
      </c>
      <c r="E2991">
        <v>53584</v>
      </c>
      <c r="F2991">
        <v>37193</v>
      </c>
    </row>
    <row r="2992" spans="1:6">
      <c r="A2992" t="s">
        <v>4036</v>
      </c>
      <c r="B2992">
        <v>333</v>
      </c>
      <c r="C2992" t="s">
        <v>1045</v>
      </c>
      <c r="D2992">
        <v>1165250</v>
      </c>
      <c r="E2992">
        <v>53584</v>
      </c>
      <c r="F2992">
        <v>37193</v>
      </c>
    </row>
    <row r="2993" spans="1:6">
      <c r="A2993" t="s">
        <v>4037</v>
      </c>
      <c r="B2993">
        <v>333</v>
      </c>
      <c r="C2993" t="s">
        <v>1047</v>
      </c>
      <c r="D2993">
        <v>323681</v>
      </c>
      <c r="E2993">
        <v>53584</v>
      </c>
      <c r="F2993">
        <v>37193</v>
      </c>
    </row>
    <row r="2994" spans="1:6">
      <c r="A2994" t="s">
        <v>4038</v>
      </c>
      <c r="B2994">
        <v>333</v>
      </c>
      <c r="C2994" t="s">
        <v>1049</v>
      </c>
      <c r="D2994">
        <v>97105</v>
      </c>
      <c r="E2994">
        <v>53584</v>
      </c>
      <c r="F2994">
        <v>37193</v>
      </c>
    </row>
    <row r="2995" spans="1:6">
      <c r="A2995" t="s">
        <v>4039</v>
      </c>
      <c r="B2995">
        <v>333</v>
      </c>
      <c r="C2995" t="s">
        <v>745</v>
      </c>
      <c r="D2995">
        <v>2589444</v>
      </c>
      <c r="E2995">
        <v>53584</v>
      </c>
      <c r="F2995">
        <v>37193</v>
      </c>
    </row>
    <row r="2996" spans="1:6">
      <c r="A2996" t="s">
        <v>4040</v>
      </c>
      <c r="B2996">
        <v>333</v>
      </c>
      <c r="C2996" t="s">
        <v>1052</v>
      </c>
      <c r="D2996">
        <v>5826249</v>
      </c>
      <c r="E2996">
        <v>53584</v>
      </c>
      <c r="F2996">
        <v>37193</v>
      </c>
    </row>
    <row r="2997" spans="1:6">
      <c r="A2997" t="s">
        <v>4041</v>
      </c>
      <c r="B2997">
        <v>333</v>
      </c>
      <c r="C2997" t="s">
        <v>164</v>
      </c>
      <c r="D2997">
        <v>64291777</v>
      </c>
      <c r="E2997">
        <v>58123</v>
      </c>
      <c r="F2997">
        <v>37193</v>
      </c>
    </row>
    <row r="2998" spans="1:6">
      <c r="A2998" t="s">
        <v>4042</v>
      </c>
      <c r="B2998">
        <v>333</v>
      </c>
      <c r="C2998" t="s">
        <v>651</v>
      </c>
      <c r="D2998">
        <v>32145888</v>
      </c>
      <c r="E2998">
        <v>58123</v>
      </c>
      <c r="F2998">
        <v>37193</v>
      </c>
    </row>
    <row r="2999" spans="1:6">
      <c r="A2999" t="s">
        <v>4043</v>
      </c>
      <c r="B2999">
        <v>334</v>
      </c>
      <c r="C2999" t="s">
        <v>154</v>
      </c>
      <c r="D2999">
        <v>653024</v>
      </c>
      <c r="E2999">
        <v>53945</v>
      </c>
      <c r="F2999">
        <v>37343</v>
      </c>
    </row>
    <row r="3000" spans="1:6">
      <c r="A3000" t="s">
        <v>4044</v>
      </c>
      <c r="B3000">
        <v>334</v>
      </c>
      <c r="C3000" t="s">
        <v>1043</v>
      </c>
      <c r="D3000">
        <v>1959072</v>
      </c>
      <c r="E3000">
        <v>53945</v>
      </c>
      <c r="F3000">
        <v>37343</v>
      </c>
    </row>
    <row r="3001" spans="1:6">
      <c r="A3001" t="s">
        <v>4045</v>
      </c>
      <c r="B3001">
        <v>334</v>
      </c>
      <c r="C3001" t="s">
        <v>1045</v>
      </c>
      <c r="D3001">
        <v>1175444</v>
      </c>
      <c r="E3001">
        <v>53945</v>
      </c>
      <c r="F3001">
        <v>37343</v>
      </c>
    </row>
    <row r="3002" spans="1:6">
      <c r="A3002" t="s">
        <v>4046</v>
      </c>
      <c r="B3002">
        <v>334</v>
      </c>
      <c r="C3002" t="s">
        <v>1047</v>
      </c>
      <c r="D3002">
        <v>326512</v>
      </c>
      <c r="E3002">
        <v>53945</v>
      </c>
      <c r="F3002">
        <v>37343</v>
      </c>
    </row>
    <row r="3003" spans="1:6">
      <c r="A3003" t="s">
        <v>4047</v>
      </c>
      <c r="B3003">
        <v>334</v>
      </c>
      <c r="C3003" t="s">
        <v>1049</v>
      </c>
      <c r="D3003">
        <v>97954</v>
      </c>
      <c r="E3003">
        <v>53945</v>
      </c>
      <c r="F3003">
        <v>37343</v>
      </c>
    </row>
    <row r="3004" spans="1:6">
      <c r="A3004" t="s">
        <v>4048</v>
      </c>
      <c r="B3004">
        <v>334</v>
      </c>
      <c r="C3004" t="s">
        <v>745</v>
      </c>
      <c r="D3004">
        <v>2612096</v>
      </c>
      <c r="E3004">
        <v>53945</v>
      </c>
      <c r="F3004">
        <v>37343</v>
      </c>
    </row>
    <row r="3005" spans="1:6">
      <c r="A3005" t="s">
        <v>4049</v>
      </c>
      <c r="B3005">
        <v>334</v>
      </c>
      <c r="C3005" t="s">
        <v>1052</v>
      </c>
      <c r="D3005">
        <v>5877216</v>
      </c>
      <c r="E3005">
        <v>53945</v>
      </c>
      <c r="F3005">
        <v>37343</v>
      </c>
    </row>
    <row r="3006" spans="1:6">
      <c r="A3006" t="s">
        <v>4050</v>
      </c>
      <c r="B3006">
        <v>334</v>
      </c>
      <c r="C3006" t="s">
        <v>164</v>
      </c>
      <c r="D3006">
        <v>64896280</v>
      </c>
      <c r="E3006">
        <v>58501</v>
      </c>
      <c r="F3006">
        <v>37343</v>
      </c>
    </row>
    <row r="3007" spans="1:6">
      <c r="A3007" t="s">
        <v>4051</v>
      </c>
      <c r="B3007">
        <v>334</v>
      </c>
      <c r="C3007" t="s">
        <v>651</v>
      </c>
      <c r="D3007">
        <v>32448140</v>
      </c>
      <c r="E3007">
        <v>58501</v>
      </c>
      <c r="F3007">
        <v>37343</v>
      </c>
    </row>
    <row r="3008" spans="1:6">
      <c r="A3008" t="s">
        <v>4052</v>
      </c>
      <c r="B3008">
        <v>335</v>
      </c>
      <c r="C3008" t="s">
        <v>154</v>
      </c>
      <c r="D3008">
        <v>658725</v>
      </c>
      <c r="E3008">
        <v>54308</v>
      </c>
      <c r="F3008">
        <v>37493</v>
      </c>
    </row>
    <row r="3009" spans="1:6">
      <c r="A3009" t="s">
        <v>4053</v>
      </c>
      <c r="B3009">
        <v>335</v>
      </c>
      <c r="C3009" t="s">
        <v>1043</v>
      </c>
      <c r="D3009">
        <v>1976175</v>
      </c>
      <c r="E3009">
        <v>54308</v>
      </c>
      <c r="F3009">
        <v>37493</v>
      </c>
    </row>
    <row r="3010" spans="1:6">
      <c r="A3010" t="s">
        <v>4054</v>
      </c>
      <c r="B3010">
        <v>335</v>
      </c>
      <c r="C3010" t="s">
        <v>1045</v>
      </c>
      <c r="D3010">
        <v>1185705</v>
      </c>
      <c r="E3010">
        <v>54308</v>
      </c>
      <c r="F3010">
        <v>37493</v>
      </c>
    </row>
    <row r="3011" spans="1:6">
      <c r="A3011" t="s">
        <v>4055</v>
      </c>
      <c r="B3011">
        <v>335</v>
      </c>
      <c r="C3011" t="s">
        <v>1047</v>
      </c>
      <c r="D3011">
        <v>329363</v>
      </c>
      <c r="E3011">
        <v>54308</v>
      </c>
      <c r="F3011">
        <v>37493</v>
      </c>
    </row>
    <row r="3012" spans="1:6">
      <c r="A3012" t="s">
        <v>4056</v>
      </c>
      <c r="B3012">
        <v>335</v>
      </c>
      <c r="C3012" t="s">
        <v>1049</v>
      </c>
      <c r="D3012">
        <v>98809</v>
      </c>
      <c r="E3012">
        <v>54308</v>
      </c>
      <c r="F3012">
        <v>37493</v>
      </c>
    </row>
    <row r="3013" spans="1:6">
      <c r="A3013" t="s">
        <v>4057</v>
      </c>
      <c r="B3013">
        <v>335</v>
      </c>
      <c r="C3013" t="s">
        <v>745</v>
      </c>
      <c r="D3013">
        <v>2634900</v>
      </c>
      <c r="E3013">
        <v>54308</v>
      </c>
      <c r="F3013">
        <v>37493</v>
      </c>
    </row>
    <row r="3014" spans="1:6">
      <c r="A3014" t="s">
        <v>4058</v>
      </c>
      <c r="B3014">
        <v>335</v>
      </c>
      <c r="C3014" t="s">
        <v>1052</v>
      </c>
      <c r="D3014">
        <v>5928525</v>
      </c>
      <c r="E3014">
        <v>54308</v>
      </c>
      <c r="F3014">
        <v>37493</v>
      </c>
    </row>
    <row r="3015" spans="1:6">
      <c r="A3015" t="s">
        <v>4059</v>
      </c>
      <c r="B3015">
        <v>335</v>
      </c>
      <c r="C3015" t="s">
        <v>164</v>
      </c>
      <c r="D3015">
        <v>65505322</v>
      </c>
      <c r="E3015">
        <v>58881</v>
      </c>
      <c r="F3015">
        <v>37493</v>
      </c>
    </row>
    <row r="3016" spans="1:6">
      <c r="A3016" t="s">
        <v>4060</v>
      </c>
      <c r="B3016">
        <v>335</v>
      </c>
      <c r="C3016" t="s">
        <v>651</v>
      </c>
      <c r="D3016">
        <v>32752661</v>
      </c>
      <c r="E3016">
        <v>58881</v>
      </c>
      <c r="F3016">
        <v>37493</v>
      </c>
    </row>
    <row r="3017" spans="1:6">
      <c r="A3017" t="s">
        <v>4061</v>
      </c>
      <c r="B3017">
        <v>336</v>
      </c>
      <c r="C3017" t="s">
        <v>154</v>
      </c>
      <c r="D3017">
        <v>664464</v>
      </c>
      <c r="E3017">
        <v>54673</v>
      </c>
      <c r="F3017">
        <v>37643</v>
      </c>
    </row>
    <row r="3018" spans="1:6">
      <c r="A3018" t="s">
        <v>4062</v>
      </c>
      <c r="B3018">
        <v>336</v>
      </c>
      <c r="C3018" t="s">
        <v>1043</v>
      </c>
      <c r="D3018">
        <v>1993392</v>
      </c>
      <c r="E3018">
        <v>54673</v>
      </c>
      <c r="F3018">
        <v>37643</v>
      </c>
    </row>
    <row r="3019" spans="1:6">
      <c r="A3019" t="s">
        <v>4063</v>
      </c>
      <c r="B3019">
        <v>336</v>
      </c>
      <c r="C3019" t="s">
        <v>1045</v>
      </c>
      <c r="D3019">
        <v>1196036</v>
      </c>
      <c r="E3019">
        <v>54673</v>
      </c>
      <c r="F3019">
        <v>37643</v>
      </c>
    </row>
    <row r="3020" spans="1:6">
      <c r="A3020" t="s">
        <v>4064</v>
      </c>
      <c r="B3020">
        <v>336</v>
      </c>
      <c r="C3020" t="s">
        <v>1047</v>
      </c>
      <c r="D3020">
        <v>332232</v>
      </c>
      <c r="E3020">
        <v>54673</v>
      </c>
      <c r="F3020">
        <v>37643</v>
      </c>
    </row>
    <row r="3021" spans="1:6">
      <c r="A3021" t="s">
        <v>4065</v>
      </c>
      <c r="B3021">
        <v>336</v>
      </c>
      <c r="C3021" t="s">
        <v>1049</v>
      </c>
      <c r="D3021">
        <v>99670</v>
      </c>
      <c r="E3021">
        <v>54673</v>
      </c>
      <c r="F3021">
        <v>37643</v>
      </c>
    </row>
    <row r="3022" spans="1:6">
      <c r="A3022" t="s">
        <v>4066</v>
      </c>
      <c r="B3022">
        <v>336</v>
      </c>
      <c r="C3022" t="s">
        <v>745</v>
      </c>
      <c r="D3022">
        <v>2657856</v>
      </c>
      <c r="E3022">
        <v>54673</v>
      </c>
      <c r="F3022">
        <v>37643</v>
      </c>
    </row>
    <row r="3023" spans="1:6">
      <c r="A3023" t="s">
        <v>4067</v>
      </c>
      <c r="B3023">
        <v>336</v>
      </c>
      <c r="C3023" t="s">
        <v>1052</v>
      </c>
      <c r="D3023">
        <v>5980176</v>
      </c>
      <c r="E3023">
        <v>54673</v>
      </c>
      <c r="F3023">
        <v>37643</v>
      </c>
    </row>
    <row r="3024" spans="1:6">
      <c r="A3024" t="s">
        <v>4068</v>
      </c>
      <c r="B3024">
        <v>336</v>
      </c>
      <c r="C3024" t="s">
        <v>164</v>
      </c>
      <c r="D3024">
        <v>66118902</v>
      </c>
      <c r="E3024">
        <v>59264</v>
      </c>
      <c r="F3024">
        <v>37643</v>
      </c>
    </row>
    <row r="3025" spans="1:6">
      <c r="A3025" t="s">
        <v>4069</v>
      </c>
      <c r="B3025">
        <v>336</v>
      </c>
      <c r="C3025" t="s">
        <v>651</v>
      </c>
      <c r="D3025">
        <v>33059451</v>
      </c>
      <c r="E3025">
        <v>59264</v>
      </c>
      <c r="F3025">
        <v>37643</v>
      </c>
    </row>
    <row r="3026" spans="1:6">
      <c r="A3026" t="s">
        <v>4070</v>
      </c>
      <c r="B3026">
        <v>337</v>
      </c>
      <c r="C3026" t="s">
        <v>154</v>
      </c>
      <c r="D3026">
        <v>670242</v>
      </c>
      <c r="E3026">
        <v>55040</v>
      </c>
      <c r="F3026">
        <v>37793</v>
      </c>
    </row>
    <row r="3027" spans="1:6">
      <c r="A3027" t="s">
        <v>4071</v>
      </c>
      <c r="B3027">
        <v>337</v>
      </c>
      <c r="C3027" t="s">
        <v>1043</v>
      </c>
      <c r="D3027">
        <v>2010726</v>
      </c>
      <c r="E3027">
        <v>55040</v>
      </c>
      <c r="F3027">
        <v>37793</v>
      </c>
    </row>
    <row r="3028" spans="1:6">
      <c r="A3028" t="s">
        <v>4072</v>
      </c>
      <c r="B3028">
        <v>337</v>
      </c>
      <c r="C3028" t="s">
        <v>1045</v>
      </c>
      <c r="D3028">
        <v>1206436</v>
      </c>
      <c r="E3028">
        <v>55040</v>
      </c>
      <c r="F3028">
        <v>37793</v>
      </c>
    </row>
    <row r="3029" spans="1:6">
      <c r="A3029" t="s">
        <v>4073</v>
      </c>
      <c r="B3029">
        <v>337</v>
      </c>
      <c r="C3029" t="s">
        <v>1047</v>
      </c>
      <c r="D3029">
        <v>335121</v>
      </c>
      <c r="E3029">
        <v>55040</v>
      </c>
      <c r="F3029">
        <v>37793</v>
      </c>
    </row>
    <row r="3030" spans="1:6">
      <c r="A3030" t="s">
        <v>4074</v>
      </c>
      <c r="B3030">
        <v>337</v>
      </c>
      <c r="C3030" t="s">
        <v>1049</v>
      </c>
      <c r="D3030">
        <v>100537</v>
      </c>
      <c r="E3030">
        <v>55040</v>
      </c>
      <c r="F3030">
        <v>37793</v>
      </c>
    </row>
    <row r="3031" spans="1:6">
      <c r="A3031" t="s">
        <v>4075</v>
      </c>
      <c r="B3031">
        <v>337</v>
      </c>
      <c r="C3031" t="s">
        <v>745</v>
      </c>
      <c r="D3031">
        <v>2680968</v>
      </c>
      <c r="E3031">
        <v>55040</v>
      </c>
      <c r="F3031">
        <v>37793</v>
      </c>
    </row>
    <row r="3032" spans="1:6">
      <c r="A3032" t="s">
        <v>4076</v>
      </c>
      <c r="B3032">
        <v>337</v>
      </c>
      <c r="C3032" t="s">
        <v>1052</v>
      </c>
      <c r="D3032">
        <v>6032178</v>
      </c>
      <c r="E3032">
        <v>55040</v>
      </c>
      <c r="F3032">
        <v>37793</v>
      </c>
    </row>
    <row r="3033" spans="1:6">
      <c r="A3033" t="s">
        <v>4077</v>
      </c>
      <c r="B3033">
        <v>337</v>
      </c>
      <c r="C3033" t="s">
        <v>164</v>
      </c>
      <c r="D3033">
        <v>66737022</v>
      </c>
      <c r="E3033">
        <v>59648</v>
      </c>
      <c r="F3033">
        <v>37793</v>
      </c>
    </row>
    <row r="3034" spans="1:6">
      <c r="A3034" t="s">
        <v>4078</v>
      </c>
      <c r="B3034">
        <v>337</v>
      </c>
      <c r="C3034" t="s">
        <v>651</v>
      </c>
      <c r="D3034">
        <v>33368511</v>
      </c>
      <c r="E3034">
        <v>59648</v>
      </c>
      <c r="F3034">
        <v>37793</v>
      </c>
    </row>
    <row r="3035" spans="1:6">
      <c r="A3035" t="s">
        <v>4079</v>
      </c>
      <c r="B3035">
        <v>338</v>
      </c>
      <c r="C3035" t="s">
        <v>154</v>
      </c>
      <c r="D3035">
        <v>676060</v>
      </c>
      <c r="E3035">
        <v>55409</v>
      </c>
      <c r="F3035">
        <v>37944</v>
      </c>
    </row>
    <row r="3036" spans="1:6">
      <c r="A3036" t="s">
        <v>4080</v>
      </c>
      <c r="B3036">
        <v>338</v>
      </c>
      <c r="C3036" t="s">
        <v>1043</v>
      </c>
      <c r="D3036">
        <v>2028180</v>
      </c>
      <c r="E3036">
        <v>55409</v>
      </c>
      <c r="F3036">
        <v>37944</v>
      </c>
    </row>
    <row r="3037" spans="1:6">
      <c r="A3037" t="s">
        <v>4081</v>
      </c>
      <c r="B3037">
        <v>338</v>
      </c>
      <c r="C3037" t="s">
        <v>1045</v>
      </c>
      <c r="D3037">
        <v>1216908</v>
      </c>
      <c r="E3037">
        <v>55409</v>
      </c>
      <c r="F3037">
        <v>37944</v>
      </c>
    </row>
    <row r="3038" spans="1:6">
      <c r="A3038" t="s">
        <v>4082</v>
      </c>
      <c r="B3038">
        <v>338</v>
      </c>
      <c r="C3038" t="s">
        <v>1047</v>
      </c>
      <c r="D3038">
        <v>338030</v>
      </c>
      <c r="E3038">
        <v>55409</v>
      </c>
      <c r="F3038">
        <v>37944</v>
      </c>
    </row>
    <row r="3039" spans="1:6">
      <c r="A3039" t="s">
        <v>4083</v>
      </c>
      <c r="B3039">
        <v>338</v>
      </c>
      <c r="C3039" t="s">
        <v>1049</v>
      </c>
      <c r="D3039">
        <v>101409</v>
      </c>
      <c r="E3039">
        <v>55409</v>
      </c>
      <c r="F3039">
        <v>37944</v>
      </c>
    </row>
    <row r="3040" spans="1:6">
      <c r="A3040" t="s">
        <v>4084</v>
      </c>
      <c r="B3040">
        <v>338</v>
      </c>
      <c r="C3040" t="s">
        <v>745</v>
      </c>
      <c r="D3040">
        <v>2704240</v>
      </c>
      <c r="E3040">
        <v>55409</v>
      </c>
      <c r="F3040">
        <v>37944</v>
      </c>
    </row>
    <row r="3041" spans="1:6">
      <c r="A3041" t="s">
        <v>4085</v>
      </c>
      <c r="B3041">
        <v>338</v>
      </c>
      <c r="C3041" t="s">
        <v>1052</v>
      </c>
      <c r="D3041">
        <v>6084540</v>
      </c>
      <c r="E3041">
        <v>55409</v>
      </c>
      <c r="F3041">
        <v>37944</v>
      </c>
    </row>
    <row r="3042" spans="1:6">
      <c r="A3042" t="s">
        <v>4086</v>
      </c>
      <c r="B3042">
        <v>338</v>
      </c>
      <c r="C3042" t="s">
        <v>164</v>
      </c>
      <c r="D3042">
        <v>67359783</v>
      </c>
      <c r="E3042">
        <v>60034</v>
      </c>
      <c r="F3042">
        <v>37944</v>
      </c>
    </row>
    <row r="3043" spans="1:6">
      <c r="A3043" t="s">
        <v>4087</v>
      </c>
      <c r="B3043">
        <v>338</v>
      </c>
      <c r="C3043" t="s">
        <v>651</v>
      </c>
      <c r="D3043">
        <v>33679892</v>
      </c>
      <c r="E3043">
        <v>60034</v>
      </c>
      <c r="F3043">
        <v>37944</v>
      </c>
    </row>
    <row r="3044" spans="1:6">
      <c r="A3044" t="s">
        <v>4088</v>
      </c>
      <c r="B3044">
        <v>339</v>
      </c>
      <c r="C3044" t="s">
        <v>154</v>
      </c>
      <c r="D3044">
        <v>681916</v>
      </c>
      <c r="E3044">
        <v>55780</v>
      </c>
      <c r="F3044">
        <v>38095</v>
      </c>
    </row>
    <row r="3045" spans="1:6">
      <c r="A3045" t="s">
        <v>4089</v>
      </c>
      <c r="B3045">
        <v>339</v>
      </c>
      <c r="C3045" t="s">
        <v>1043</v>
      </c>
      <c r="D3045">
        <v>2045748</v>
      </c>
      <c r="E3045">
        <v>55780</v>
      </c>
      <c r="F3045">
        <v>38095</v>
      </c>
    </row>
    <row r="3046" spans="1:6">
      <c r="A3046" t="s">
        <v>4090</v>
      </c>
      <c r="B3046">
        <v>339</v>
      </c>
      <c r="C3046" t="s">
        <v>1045</v>
      </c>
      <c r="D3046">
        <v>1227449</v>
      </c>
      <c r="E3046">
        <v>55780</v>
      </c>
      <c r="F3046">
        <v>38095</v>
      </c>
    </row>
    <row r="3047" spans="1:6">
      <c r="A3047" t="s">
        <v>4091</v>
      </c>
      <c r="B3047">
        <v>339</v>
      </c>
      <c r="C3047" t="s">
        <v>1047</v>
      </c>
      <c r="D3047">
        <v>340958</v>
      </c>
      <c r="E3047">
        <v>55780</v>
      </c>
      <c r="F3047">
        <v>38095</v>
      </c>
    </row>
    <row r="3048" spans="1:6">
      <c r="A3048" t="s">
        <v>4092</v>
      </c>
      <c r="B3048">
        <v>339</v>
      </c>
      <c r="C3048" t="s">
        <v>1049</v>
      </c>
      <c r="D3048">
        <v>102288</v>
      </c>
      <c r="E3048">
        <v>55780</v>
      </c>
      <c r="F3048">
        <v>38095</v>
      </c>
    </row>
    <row r="3049" spans="1:6">
      <c r="A3049" t="s">
        <v>4093</v>
      </c>
      <c r="B3049">
        <v>339</v>
      </c>
      <c r="C3049" t="s">
        <v>745</v>
      </c>
      <c r="D3049">
        <v>2727664</v>
      </c>
      <c r="E3049">
        <v>55780</v>
      </c>
      <c r="F3049">
        <v>38095</v>
      </c>
    </row>
    <row r="3050" spans="1:6">
      <c r="A3050" t="s">
        <v>4094</v>
      </c>
      <c r="B3050">
        <v>339</v>
      </c>
      <c r="C3050" t="s">
        <v>1052</v>
      </c>
      <c r="D3050">
        <v>6137244</v>
      </c>
      <c r="E3050">
        <v>55780</v>
      </c>
      <c r="F3050">
        <v>38095</v>
      </c>
    </row>
    <row r="3051" spans="1:6">
      <c r="A3051" t="s">
        <v>4095</v>
      </c>
      <c r="B3051">
        <v>339</v>
      </c>
      <c r="C3051" t="s">
        <v>164</v>
      </c>
      <c r="D3051">
        <v>67987134</v>
      </c>
      <c r="E3051">
        <v>60422</v>
      </c>
      <c r="F3051">
        <v>38095</v>
      </c>
    </row>
    <row r="3052" spans="1:6">
      <c r="A3052" t="s">
        <v>4096</v>
      </c>
      <c r="B3052">
        <v>339</v>
      </c>
      <c r="C3052" t="s">
        <v>651</v>
      </c>
      <c r="D3052">
        <v>33993567</v>
      </c>
      <c r="E3052">
        <v>60422</v>
      </c>
      <c r="F3052">
        <v>38095</v>
      </c>
    </row>
    <row r="3053" spans="1:6">
      <c r="A3053" t="s">
        <v>4097</v>
      </c>
      <c r="B3053">
        <v>340</v>
      </c>
      <c r="C3053" t="s">
        <v>154</v>
      </c>
      <c r="D3053">
        <v>687812</v>
      </c>
      <c r="E3053">
        <v>56154</v>
      </c>
      <c r="F3053">
        <v>38246</v>
      </c>
    </row>
    <row r="3054" spans="1:6">
      <c r="A3054" t="s">
        <v>4098</v>
      </c>
      <c r="B3054">
        <v>340</v>
      </c>
      <c r="C3054" t="s">
        <v>1043</v>
      </c>
      <c r="D3054">
        <v>2063436</v>
      </c>
      <c r="E3054">
        <v>56154</v>
      </c>
      <c r="F3054">
        <v>38246</v>
      </c>
    </row>
    <row r="3055" spans="1:6">
      <c r="A3055" t="s">
        <v>4099</v>
      </c>
      <c r="B3055">
        <v>340</v>
      </c>
      <c r="C3055" t="s">
        <v>1045</v>
      </c>
      <c r="D3055">
        <v>1238062</v>
      </c>
      <c r="E3055">
        <v>56154</v>
      </c>
      <c r="F3055">
        <v>38246</v>
      </c>
    </row>
    <row r="3056" spans="1:6">
      <c r="A3056" t="s">
        <v>4100</v>
      </c>
      <c r="B3056">
        <v>340</v>
      </c>
      <c r="C3056" t="s">
        <v>1047</v>
      </c>
      <c r="D3056">
        <v>343906</v>
      </c>
      <c r="E3056">
        <v>56154</v>
      </c>
      <c r="F3056">
        <v>38246</v>
      </c>
    </row>
    <row r="3057" spans="1:6">
      <c r="A3057" t="s">
        <v>4101</v>
      </c>
      <c r="B3057">
        <v>340</v>
      </c>
      <c r="C3057" t="s">
        <v>1049</v>
      </c>
      <c r="D3057">
        <v>103172</v>
      </c>
      <c r="E3057">
        <v>56154</v>
      </c>
      <c r="F3057">
        <v>38246</v>
      </c>
    </row>
    <row r="3058" spans="1:6">
      <c r="A3058" t="s">
        <v>4102</v>
      </c>
      <c r="B3058">
        <v>340</v>
      </c>
      <c r="C3058" t="s">
        <v>745</v>
      </c>
      <c r="D3058">
        <v>2751248</v>
      </c>
      <c r="E3058">
        <v>56154</v>
      </c>
      <c r="F3058">
        <v>38246</v>
      </c>
    </row>
    <row r="3059" spans="1:6">
      <c r="A3059" t="s">
        <v>4103</v>
      </c>
      <c r="B3059">
        <v>340</v>
      </c>
      <c r="C3059" t="s">
        <v>1052</v>
      </c>
      <c r="D3059">
        <v>6190308</v>
      </c>
      <c r="E3059">
        <v>56154</v>
      </c>
      <c r="F3059">
        <v>38246</v>
      </c>
    </row>
    <row r="3060" spans="1:6">
      <c r="A3060" t="s">
        <v>4104</v>
      </c>
      <c r="B3060">
        <v>340</v>
      </c>
      <c r="C3060" t="s">
        <v>164</v>
      </c>
      <c r="D3060">
        <v>68619177</v>
      </c>
      <c r="E3060">
        <v>60813</v>
      </c>
      <c r="F3060">
        <v>38246</v>
      </c>
    </row>
    <row r="3061" spans="1:6">
      <c r="A3061" t="s">
        <v>4105</v>
      </c>
      <c r="B3061">
        <v>340</v>
      </c>
      <c r="C3061" t="s">
        <v>651</v>
      </c>
      <c r="D3061">
        <v>34309588</v>
      </c>
      <c r="E3061">
        <v>60813</v>
      </c>
      <c r="F3061">
        <v>38246</v>
      </c>
    </row>
    <row r="3062" spans="1:6">
      <c r="A3062" t="s">
        <v>4106</v>
      </c>
      <c r="B3062">
        <v>341</v>
      </c>
      <c r="C3062" t="s">
        <v>154</v>
      </c>
      <c r="D3062">
        <v>693747</v>
      </c>
      <c r="E3062">
        <v>56528</v>
      </c>
      <c r="F3062">
        <v>38397</v>
      </c>
    </row>
    <row r="3063" spans="1:6">
      <c r="A3063" t="s">
        <v>4107</v>
      </c>
      <c r="B3063">
        <v>341</v>
      </c>
      <c r="C3063" t="s">
        <v>1043</v>
      </c>
      <c r="D3063">
        <v>2081241</v>
      </c>
      <c r="E3063">
        <v>56528</v>
      </c>
      <c r="F3063">
        <v>38397</v>
      </c>
    </row>
    <row r="3064" spans="1:6">
      <c r="A3064" t="s">
        <v>4108</v>
      </c>
      <c r="B3064">
        <v>341</v>
      </c>
      <c r="C3064" t="s">
        <v>1045</v>
      </c>
      <c r="D3064">
        <v>1248745</v>
      </c>
      <c r="E3064">
        <v>56528</v>
      </c>
      <c r="F3064">
        <v>38397</v>
      </c>
    </row>
    <row r="3065" spans="1:6">
      <c r="A3065" t="s">
        <v>4109</v>
      </c>
      <c r="B3065">
        <v>341</v>
      </c>
      <c r="C3065" t="s">
        <v>1047</v>
      </c>
      <c r="D3065">
        <v>346874</v>
      </c>
      <c r="E3065">
        <v>56528</v>
      </c>
      <c r="F3065">
        <v>38397</v>
      </c>
    </row>
    <row r="3066" spans="1:6">
      <c r="A3066" t="s">
        <v>4110</v>
      </c>
      <c r="B3066">
        <v>341</v>
      </c>
      <c r="C3066" t="s">
        <v>1049</v>
      </c>
      <c r="D3066">
        <v>104063</v>
      </c>
      <c r="E3066">
        <v>56528</v>
      </c>
      <c r="F3066">
        <v>38397</v>
      </c>
    </row>
    <row r="3067" spans="1:6">
      <c r="A3067" t="s">
        <v>4111</v>
      </c>
      <c r="B3067">
        <v>341</v>
      </c>
      <c r="C3067" t="s">
        <v>745</v>
      </c>
      <c r="D3067">
        <v>2774988</v>
      </c>
      <c r="E3067">
        <v>56528</v>
      </c>
      <c r="F3067">
        <v>38397</v>
      </c>
    </row>
    <row r="3068" spans="1:6">
      <c r="A3068" t="s">
        <v>4112</v>
      </c>
      <c r="B3068">
        <v>341</v>
      </c>
      <c r="C3068" t="s">
        <v>1052</v>
      </c>
      <c r="D3068">
        <v>6243723</v>
      </c>
      <c r="E3068">
        <v>56528</v>
      </c>
      <c r="F3068">
        <v>38397</v>
      </c>
    </row>
    <row r="3069" spans="1:6">
      <c r="A3069" t="s">
        <v>4113</v>
      </c>
      <c r="B3069">
        <v>341</v>
      </c>
      <c r="C3069" t="s">
        <v>164</v>
      </c>
      <c r="D3069">
        <v>69255912</v>
      </c>
      <c r="E3069">
        <v>61205</v>
      </c>
      <c r="F3069">
        <v>38397</v>
      </c>
    </row>
    <row r="3070" spans="1:6">
      <c r="A3070" t="s">
        <v>4114</v>
      </c>
      <c r="B3070">
        <v>341</v>
      </c>
      <c r="C3070" t="s">
        <v>651</v>
      </c>
      <c r="D3070">
        <v>34627956</v>
      </c>
      <c r="E3070">
        <v>61205</v>
      </c>
      <c r="F3070">
        <v>38397</v>
      </c>
    </row>
    <row r="3071" spans="1:6">
      <c r="A3071" t="s">
        <v>4115</v>
      </c>
      <c r="B3071">
        <v>342</v>
      </c>
      <c r="C3071" t="s">
        <v>154</v>
      </c>
      <c r="D3071">
        <v>699722</v>
      </c>
      <c r="E3071">
        <v>56905</v>
      </c>
      <c r="F3071">
        <v>38548</v>
      </c>
    </row>
    <row r="3072" spans="1:6">
      <c r="A3072" t="s">
        <v>4116</v>
      </c>
      <c r="B3072">
        <v>342</v>
      </c>
      <c r="C3072" t="s">
        <v>1043</v>
      </c>
      <c r="D3072">
        <v>2099166</v>
      </c>
      <c r="E3072">
        <v>56905</v>
      </c>
      <c r="F3072">
        <v>38548</v>
      </c>
    </row>
    <row r="3073" spans="1:6">
      <c r="A3073" t="s">
        <v>4117</v>
      </c>
      <c r="B3073">
        <v>342</v>
      </c>
      <c r="C3073" t="s">
        <v>1045</v>
      </c>
      <c r="D3073">
        <v>1259500</v>
      </c>
      <c r="E3073">
        <v>56905</v>
      </c>
      <c r="F3073">
        <v>38548</v>
      </c>
    </row>
    <row r="3074" spans="1:6">
      <c r="A3074" t="s">
        <v>4118</v>
      </c>
      <c r="B3074">
        <v>342</v>
      </c>
      <c r="C3074" t="s">
        <v>1047</v>
      </c>
      <c r="D3074">
        <v>349861</v>
      </c>
      <c r="E3074">
        <v>56905</v>
      </c>
      <c r="F3074">
        <v>38548</v>
      </c>
    </row>
    <row r="3075" spans="1:6">
      <c r="A3075" t="s">
        <v>4119</v>
      </c>
      <c r="B3075">
        <v>342</v>
      </c>
      <c r="C3075" t="s">
        <v>1049</v>
      </c>
      <c r="D3075">
        <v>104959</v>
      </c>
      <c r="E3075">
        <v>56905</v>
      </c>
      <c r="F3075">
        <v>38548</v>
      </c>
    </row>
    <row r="3076" spans="1:6">
      <c r="A3076" t="s">
        <v>4120</v>
      </c>
      <c r="B3076">
        <v>342</v>
      </c>
      <c r="C3076" t="s">
        <v>745</v>
      </c>
      <c r="D3076">
        <v>2798888</v>
      </c>
      <c r="E3076">
        <v>56905</v>
      </c>
      <c r="F3076">
        <v>38548</v>
      </c>
    </row>
    <row r="3077" spans="1:6">
      <c r="A3077" t="s">
        <v>4121</v>
      </c>
      <c r="B3077">
        <v>342</v>
      </c>
      <c r="C3077" t="s">
        <v>1052</v>
      </c>
      <c r="D3077">
        <v>6297498</v>
      </c>
      <c r="E3077">
        <v>56905</v>
      </c>
      <c r="F3077">
        <v>38548</v>
      </c>
    </row>
    <row r="3078" spans="1:6">
      <c r="A3078" t="s">
        <v>4122</v>
      </c>
      <c r="B3078">
        <v>342</v>
      </c>
      <c r="C3078" t="s">
        <v>164</v>
      </c>
      <c r="D3078">
        <v>69897339</v>
      </c>
      <c r="E3078">
        <v>61599</v>
      </c>
      <c r="F3078">
        <v>38548</v>
      </c>
    </row>
    <row r="3079" spans="1:6">
      <c r="A3079" t="s">
        <v>4123</v>
      </c>
      <c r="B3079">
        <v>342</v>
      </c>
      <c r="C3079" t="s">
        <v>651</v>
      </c>
      <c r="D3079">
        <v>34948669</v>
      </c>
      <c r="E3079">
        <v>61599</v>
      </c>
      <c r="F3079">
        <v>38548</v>
      </c>
    </row>
    <row r="3080" spans="1:6">
      <c r="A3080" t="s">
        <v>4124</v>
      </c>
      <c r="B3080">
        <v>343</v>
      </c>
      <c r="C3080" t="s">
        <v>154</v>
      </c>
      <c r="D3080">
        <v>705737</v>
      </c>
      <c r="E3080">
        <v>57284</v>
      </c>
      <c r="F3080">
        <v>38700</v>
      </c>
    </row>
    <row r="3081" spans="1:6">
      <c r="A3081" t="s">
        <v>4125</v>
      </c>
      <c r="B3081">
        <v>343</v>
      </c>
      <c r="C3081" t="s">
        <v>1043</v>
      </c>
      <c r="D3081">
        <v>2117211</v>
      </c>
      <c r="E3081">
        <v>57284</v>
      </c>
      <c r="F3081">
        <v>38700</v>
      </c>
    </row>
    <row r="3082" spans="1:6">
      <c r="A3082" t="s">
        <v>4126</v>
      </c>
      <c r="B3082">
        <v>343</v>
      </c>
      <c r="C3082" t="s">
        <v>1045</v>
      </c>
      <c r="D3082">
        <v>1270327</v>
      </c>
      <c r="E3082">
        <v>57284</v>
      </c>
      <c r="F3082">
        <v>38700</v>
      </c>
    </row>
    <row r="3083" spans="1:6">
      <c r="A3083" t="s">
        <v>4127</v>
      </c>
      <c r="B3083">
        <v>343</v>
      </c>
      <c r="C3083" t="s">
        <v>1047</v>
      </c>
      <c r="D3083">
        <v>352869</v>
      </c>
      <c r="E3083">
        <v>57284</v>
      </c>
      <c r="F3083">
        <v>38700</v>
      </c>
    </row>
    <row r="3084" spans="1:6">
      <c r="A3084" t="s">
        <v>4128</v>
      </c>
      <c r="B3084">
        <v>343</v>
      </c>
      <c r="C3084" t="s">
        <v>1049</v>
      </c>
      <c r="D3084">
        <v>105861</v>
      </c>
      <c r="E3084">
        <v>57284</v>
      </c>
      <c r="F3084">
        <v>38700</v>
      </c>
    </row>
    <row r="3085" spans="1:6">
      <c r="A3085" t="s">
        <v>4129</v>
      </c>
      <c r="B3085">
        <v>343</v>
      </c>
      <c r="C3085" t="s">
        <v>745</v>
      </c>
      <c r="D3085">
        <v>2822948</v>
      </c>
      <c r="E3085">
        <v>57284</v>
      </c>
      <c r="F3085">
        <v>38700</v>
      </c>
    </row>
    <row r="3086" spans="1:6">
      <c r="A3086" t="s">
        <v>4130</v>
      </c>
      <c r="B3086">
        <v>343</v>
      </c>
      <c r="C3086" t="s">
        <v>1052</v>
      </c>
      <c r="D3086">
        <v>6351633</v>
      </c>
      <c r="E3086">
        <v>57284</v>
      </c>
      <c r="F3086">
        <v>38700</v>
      </c>
    </row>
    <row r="3087" spans="1:6">
      <c r="A3087" t="s">
        <v>4131</v>
      </c>
      <c r="B3087">
        <v>343</v>
      </c>
      <c r="C3087" t="s">
        <v>164</v>
      </c>
      <c r="D3087">
        <v>70543458</v>
      </c>
      <c r="E3087">
        <v>61995</v>
      </c>
      <c r="F3087">
        <v>38700</v>
      </c>
    </row>
    <row r="3088" spans="1:6">
      <c r="A3088" t="s">
        <v>4132</v>
      </c>
      <c r="B3088">
        <v>343</v>
      </c>
      <c r="C3088" t="s">
        <v>651</v>
      </c>
      <c r="D3088">
        <v>35271729</v>
      </c>
      <c r="E3088">
        <v>61995</v>
      </c>
      <c r="F3088">
        <v>38700</v>
      </c>
    </row>
    <row r="3089" spans="1:6">
      <c r="A3089" t="s">
        <v>4133</v>
      </c>
      <c r="B3089">
        <v>344</v>
      </c>
      <c r="C3089" t="s">
        <v>154</v>
      </c>
      <c r="D3089">
        <v>711793</v>
      </c>
      <c r="E3089">
        <v>57665</v>
      </c>
      <c r="F3089">
        <v>38852</v>
      </c>
    </row>
    <row r="3090" spans="1:6">
      <c r="A3090" t="s">
        <v>4134</v>
      </c>
      <c r="B3090">
        <v>344</v>
      </c>
      <c r="C3090" t="s">
        <v>1043</v>
      </c>
      <c r="D3090">
        <v>2135379</v>
      </c>
      <c r="E3090">
        <v>57665</v>
      </c>
      <c r="F3090">
        <v>38852</v>
      </c>
    </row>
    <row r="3091" spans="1:6">
      <c r="A3091" t="s">
        <v>4135</v>
      </c>
      <c r="B3091">
        <v>344</v>
      </c>
      <c r="C3091" t="s">
        <v>1045</v>
      </c>
      <c r="D3091">
        <v>1281228</v>
      </c>
      <c r="E3091">
        <v>57665</v>
      </c>
      <c r="F3091">
        <v>38852</v>
      </c>
    </row>
    <row r="3092" spans="1:6">
      <c r="A3092" t="s">
        <v>4136</v>
      </c>
      <c r="B3092">
        <v>344</v>
      </c>
      <c r="C3092" t="s">
        <v>1047</v>
      </c>
      <c r="D3092">
        <v>355897</v>
      </c>
      <c r="E3092">
        <v>57665</v>
      </c>
      <c r="F3092">
        <v>38852</v>
      </c>
    </row>
    <row r="3093" spans="1:6">
      <c r="A3093" t="s">
        <v>4137</v>
      </c>
      <c r="B3093">
        <v>344</v>
      </c>
      <c r="C3093" t="s">
        <v>1049</v>
      </c>
      <c r="D3093">
        <v>106769</v>
      </c>
      <c r="E3093">
        <v>57665</v>
      </c>
      <c r="F3093">
        <v>38852</v>
      </c>
    </row>
    <row r="3094" spans="1:6">
      <c r="A3094" t="s">
        <v>4138</v>
      </c>
      <c r="B3094">
        <v>344</v>
      </c>
      <c r="C3094" t="s">
        <v>745</v>
      </c>
      <c r="D3094">
        <v>2847172</v>
      </c>
      <c r="E3094">
        <v>57665</v>
      </c>
      <c r="F3094">
        <v>38852</v>
      </c>
    </row>
    <row r="3095" spans="1:6">
      <c r="A3095" t="s">
        <v>4139</v>
      </c>
      <c r="B3095">
        <v>344</v>
      </c>
      <c r="C3095" t="s">
        <v>1052</v>
      </c>
      <c r="D3095">
        <v>6406137</v>
      </c>
      <c r="E3095">
        <v>57665</v>
      </c>
      <c r="F3095">
        <v>38852</v>
      </c>
    </row>
    <row r="3096" spans="1:6">
      <c r="A3096" t="s">
        <v>4140</v>
      </c>
      <c r="B3096">
        <v>344</v>
      </c>
      <c r="C3096" t="s">
        <v>164</v>
      </c>
      <c r="D3096">
        <v>71194421</v>
      </c>
      <c r="E3096">
        <v>62394</v>
      </c>
      <c r="F3096">
        <v>38852</v>
      </c>
    </row>
    <row r="3097" spans="1:6">
      <c r="A3097" t="s">
        <v>4141</v>
      </c>
      <c r="B3097">
        <v>344</v>
      </c>
      <c r="C3097" t="s">
        <v>651</v>
      </c>
      <c r="D3097">
        <v>35597211</v>
      </c>
      <c r="E3097">
        <v>62394</v>
      </c>
      <c r="F3097">
        <v>38852</v>
      </c>
    </row>
    <row r="3098" spans="1:6">
      <c r="A3098" t="s">
        <v>4142</v>
      </c>
      <c r="B3098">
        <v>345</v>
      </c>
      <c r="C3098" t="s">
        <v>154</v>
      </c>
      <c r="D3098">
        <v>717888</v>
      </c>
      <c r="E3098">
        <v>58048</v>
      </c>
      <c r="F3098">
        <v>39004</v>
      </c>
    </row>
    <row r="3099" spans="1:6">
      <c r="A3099" t="s">
        <v>4143</v>
      </c>
      <c r="B3099">
        <v>345</v>
      </c>
      <c r="C3099" t="s">
        <v>1043</v>
      </c>
      <c r="D3099">
        <v>2153664</v>
      </c>
      <c r="E3099">
        <v>58048</v>
      </c>
      <c r="F3099">
        <v>39004</v>
      </c>
    </row>
    <row r="3100" spans="1:6">
      <c r="A3100" t="s">
        <v>4144</v>
      </c>
      <c r="B3100">
        <v>345</v>
      </c>
      <c r="C3100" t="s">
        <v>1045</v>
      </c>
      <c r="D3100">
        <v>1292199</v>
      </c>
      <c r="E3100">
        <v>58048</v>
      </c>
      <c r="F3100">
        <v>39004</v>
      </c>
    </row>
    <row r="3101" spans="1:6">
      <c r="A3101" t="s">
        <v>4145</v>
      </c>
      <c r="B3101">
        <v>345</v>
      </c>
      <c r="C3101" t="s">
        <v>1047</v>
      </c>
      <c r="D3101">
        <v>358944</v>
      </c>
      <c r="E3101">
        <v>58048</v>
      </c>
      <c r="F3101">
        <v>39004</v>
      </c>
    </row>
    <row r="3102" spans="1:6">
      <c r="A3102" t="s">
        <v>4146</v>
      </c>
      <c r="B3102">
        <v>345</v>
      </c>
      <c r="C3102" t="s">
        <v>1049</v>
      </c>
      <c r="D3102">
        <v>107684</v>
      </c>
      <c r="E3102">
        <v>58048</v>
      </c>
      <c r="F3102">
        <v>39004</v>
      </c>
    </row>
    <row r="3103" spans="1:6">
      <c r="A3103" t="s">
        <v>4147</v>
      </c>
      <c r="B3103">
        <v>345</v>
      </c>
      <c r="C3103" t="s">
        <v>745</v>
      </c>
      <c r="D3103">
        <v>2871552</v>
      </c>
      <c r="E3103">
        <v>58048</v>
      </c>
      <c r="F3103">
        <v>39004</v>
      </c>
    </row>
    <row r="3104" spans="1:6">
      <c r="A3104" t="s">
        <v>4148</v>
      </c>
      <c r="B3104">
        <v>345</v>
      </c>
      <c r="C3104" t="s">
        <v>1052</v>
      </c>
      <c r="D3104">
        <v>6460992</v>
      </c>
      <c r="E3104">
        <v>58048</v>
      </c>
      <c r="F3104">
        <v>39004</v>
      </c>
    </row>
    <row r="3105" spans="1:6">
      <c r="A3105" t="s">
        <v>4149</v>
      </c>
      <c r="B3105">
        <v>345</v>
      </c>
      <c r="C3105" t="s">
        <v>164</v>
      </c>
      <c r="D3105">
        <v>71850128</v>
      </c>
      <c r="E3105">
        <v>62794</v>
      </c>
      <c r="F3105">
        <v>39004</v>
      </c>
    </row>
    <row r="3106" spans="1:6">
      <c r="A3106" t="s">
        <v>4150</v>
      </c>
      <c r="B3106">
        <v>345</v>
      </c>
      <c r="C3106" t="s">
        <v>651</v>
      </c>
      <c r="D3106">
        <v>35925064</v>
      </c>
      <c r="E3106">
        <v>62794</v>
      </c>
      <c r="F3106">
        <v>39004</v>
      </c>
    </row>
    <row r="3107" spans="1:6">
      <c r="A3107" t="s">
        <v>4151</v>
      </c>
      <c r="B3107">
        <v>346</v>
      </c>
      <c r="C3107" t="s">
        <v>154</v>
      </c>
      <c r="D3107">
        <v>724025</v>
      </c>
      <c r="E3107">
        <v>58434</v>
      </c>
      <c r="F3107">
        <v>39157</v>
      </c>
    </row>
    <row r="3108" spans="1:6">
      <c r="A3108" t="s">
        <v>4152</v>
      </c>
      <c r="B3108">
        <v>346</v>
      </c>
      <c r="C3108" t="s">
        <v>1043</v>
      </c>
      <c r="D3108">
        <v>2172075</v>
      </c>
      <c r="E3108">
        <v>58434</v>
      </c>
      <c r="F3108">
        <v>39157</v>
      </c>
    </row>
    <row r="3109" spans="1:6">
      <c r="A3109" t="s">
        <v>4153</v>
      </c>
      <c r="B3109">
        <v>346</v>
      </c>
      <c r="C3109" t="s">
        <v>1045</v>
      </c>
      <c r="D3109">
        <v>1303245</v>
      </c>
      <c r="E3109">
        <v>58434</v>
      </c>
      <c r="F3109">
        <v>39157</v>
      </c>
    </row>
    <row r="3110" spans="1:6">
      <c r="A3110" t="s">
        <v>4154</v>
      </c>
      <c r="B3110">
        <v>346</v>
      </c>
      <c r="C3110" t="s">
        <v>1047</v>
      </c>
      <c r="D3110">
        <v>362013</v>
      </c>
      <c r="E3110">
        <v>58434</v>
      </c>
      <c r="F3110">
        <v>39157</v>
      </c>
    </row>
    <row r="3111" spans="1:6">
      <c r="A3111" t="s">
        <v>4155</v>
      </c>
      <c r="B3111">
        <v>346</v>
      </c>
      <c r="C3111" t="s">
        <v>1049</v>
      </c>
      <c r="D3111">
        <v>108604</v>
      </c>
      <c r="E3111">
        <v>58434</v>
      </c>
      <c r="F3111">
        <v>39157</v>
      </c>
    </row>
    <row r="3112" spans="1:6">
      <c r="A3112" t="s">
        <v>4156</v>
      </c>
      <c r="B3112">
        <v>346</v>
      </c>
      <c r="C3112" t="s">
        <v>745</v>
      </c>
      <c r="D3112">
        <v>2896100</v>
      </c>
      <c r="E3112">
        <v>58434</v>
      </c>
      <c r="F3112">
        <v>39157</v>
      </c>
    </row>
    <row r="3113" spans="1:6">
      <c r="A3113" t="s">
        <v>4157</v>
      </c>
      <c r="B3113">
        <v>346</v>
      </c>
      <c r="C3113" t="s">
        <v>1052</v>
      </c>
      <c r="D3113">
        <v>6516225</v>
      </c>
      <c r="E3113">
        <v>58434</v>
      </c>
      <c r="F3113">
        <v>39157</v>
      </c>
    </row>
    <row r="3114" spans="1:6">
      <c r="A3114" t="s">
        <v>4158</v>
      </c>
      <c r="B3114">
        <v>346</v>
      </c>
      <c r="C3114" t="s">
        <v>164</v>
      </c>
      <c r="D3114">
        <v>72510680</v>
      </c>
      <c r="E3114">
        <v>63197</v>
      </c>
      <c r="F3114">
        <v>39157</v>
      </c>
    </row>
    <row r="3115" spans="1:6">
      <c r="A3115" t="s">
        <v>4159</v>
      </c>
      <c r="B3115">
        <v>346</v>
      </c>
      <c r="C3115" t="s">
        <v>651</v>
      </c>
      <c r="D3115">
        <v>36255340</v>
      </c>
      <c r="E3115">
        <v>63197</v>
      </c>
      <c r="F3115">
        <v>39157</v>
      </c>
    </row>
    <row r="3116" spans="1:6">
      <c r="A3116" t="s">
        <v>4160</v>
      </c>
      <c r="B3116">
        <v>347</v>
      </c>
      <c r="C3116" t="s">
        <v>154</v>
      </c>
      <c r="D3116">
        <v>730202</v>
      </c>
      <c r="E3116">
        <v>58820</v>
      </c>
      <c r="F3116">
        <v>39309</v>
      </c>
    </row>
    <row r="3117" spans="1:6">
      <c r="A3117" t="s">
        <v>4161</v>
      </c>
      <c r="B3117">
        <v>347</v>
      </c>
      <c r="C3117" t="s">
        <v>1043</v>
      </c>
      <c r="D3117">
        <v>2190606</v>
      </c>
      <c r="E3117">
        <v>58820</v>
      </c>
      <c r="F3117">
        <v>39309</v>
      </c>
    </row>
    <row r="3118" spans="1:6">
      <c r="A3118" t="s">
        <v>4162</v>
      </c>
      <c r="B3118">
        <v>347</v>
      </c>
      <c r="C3118" t="s">
        <v>1045</v>
      </c>
      <c r="D3118">
        <v>1314364</v>
      </c>
      <c r="E3118">
        <v>58820</v>
      </c>
      <c r="F3118">
        <v>39309</v>
      </c>
    </row>
    <row r="3119" spans="1:6">
      <c r="A3119" t="s">
        <v>4163</v>
      </c>
      <c r="B3119">
        <v>347</v>
      </c>
      <c r="C3119" t="s">
        <v>1047</v>
      </c>
      <c r="D3119">
        <v>365101</v>
      </c>
      <c r="E3119">
        <v>58820</v>
      </c>
      <c r="F3119">
        <v>39309</v>
      </c>
    </row>
    <row r="3120" spans="1:6">
      <c r="A3120" t="s">
        <v>4164</v>
      </c>
      <c r="B3120">
        <v>347</v>
      </c>
      <c r="C3120" t="s">
        <v>1049</v>
      </c>
      <c r="D3120">
        <v>109531</v>
      </c>
      <c r="E3120">
        <v>58820</v>
      </c>
      <c r="F3120">
        <v>39309</v>
      </c>
    </row>
    <row r="3121" spans="1:6">
      <c r="A3121" t="s">
        <v>4165</v>
      </c>
      <c r="B3121">
        <v>347</v>
      </c>
      <c r="C3121" t="s">
        <v>745</v>
      </c>
      <c r="D3121">
        <v>2920808</v>
      </c>
      <c r="E3121">
        <v>58820</v>
      </c>
      <c r="F3121">
        <v>39309</v>
      </c>
    </row>
    <row r="3122" spans="1:6">
      <c r="A3122" t="s">
        <v>4166</v>
      </c>
      <c r="B3122">
        <v>347</v>
      </c>
      <c r="C3122" t="s">
        <v>1052</v>
      </c>
      <c r="D3122">
        <v>6571818</v>
      </c>
      <c r="E3122">
        <v>58820</v>
      </c>
      <c r="F3122">
        <v>39309</v>
      </c>
    </row>
    <row r="3123" spans="1:6">
      <c r="A3123" t="s">
        <v>4167</v>
      </c>
      <c r="B3123">
        <v>347</v>
      </c>
      <c r="C3123" t="s">
        <v>164</v>
      </c>
      <c r="D3123">
        <v>73176077</v>
      </c>
      <c r="E3123">
        <v>63601</v>
      </c>
      <c r="F3123">
        <v>39309</v>
      </c>
    </row>
    <row r="3124" spans="1:6">
      <c r="A3124" t="s">
        <v>4168</v>
      </c>
      <c r="B3124">
        <v>347</v>
      </c>
      <c r="C3124" t="s">
        <v>651</v>
      </c>
      <c r="D3124">
        <v>36588039</v>
      </c>
      <c r="E3124">
        <v>63601</v>
      </c>
      <c r="F3124">
        <v>39309</v>
      </c>
    </row>
    <row r="3125" spans="1:6">
      <c r="A3125" t="s">
        <v>4169</v>
      </c>
      <c r="B3125">
        <v>348</v>
      </c>
      <c r="C3125" t="s">
        <v>154</v>
      </c>
      <c r="D3125">
        <v>736420</v>
      </c>
      <c r="E3125">
        <v>59210</v>
      </c>
      <c r="F3125">
        <v>39462</v>
      </c>
    </row>
    <row r="3126" spans="1:6">
      <c r="A3126" t="s">
        <v>4170</v>
      </c>
      <c r="B3126">
        <v>348</v>
      </c>
      <c r="C3126" t="s">
        <v>1043</v>
      </c>
      <c r="D3126">
        <v>2209260</v>
      </c>
      <c r="E3126">
        <v>59210</v>
      </c>
      <c r="F3126">
        <v>39462</v>
      </c>
    </row>
    <row r="3127" spans="1:6">
      <c r="A3127" t="s">
        <v>4171</v>
      </c>
      <c r="B3127">
        <v>348</v>
      </c>
      <c r="C3127" t="s">
        <v>1045</v>
      </c>
      <c r="D3127">
        <v>1325556</v>
      </c>
      <c r="E3127">
        <v>59210</v>
      </c>
      <c r="F3127">
        <v>39462</v>
      </c>
    </row>
    <row r="3128" spans="1:6">
      <c r="A3128" t="s">
        <v>4172</v>
      </c>
      <c r="B3128">
        <v>348</v>
      </c>
      <c r="C3128" t="s">
        <v>1047</v>
      </c>
      <c r="D3128">
        <v>368210</v>
      </c>
      <c r="E3128">
        <v>59210</v>
      </c>
      <c r="F3128">
        <v>39462</v>
      </c>
    </row>
    <row r="3129" spans="1:6">
      <c r="A3129" t="s">
        <v>4173</v>
      </c>
      <c r="B3129">
        <v>348</v>
      </c>
      <c r="C3129" t="s">
        <v>1049</v>
      </c>
      <c r="D3129">
        <v>110463</v>
      </c>
      <c r="E3129">
        <v>59210</v>
      </c>
      <c r="F3129">
        <v>39462</v>
      </c>
    </row>
    <row r="3130" spans="1:6">
      <c r="A3130" t="s">
        <v>4174</v>
      </c>
      <c r="B3130">
        <v>348</v>
      </c>
      <c r="C3130" t="s">
        <v>745</v>
      </c>
      <c r="D3130">
        <v>2945680</v>
      </c>
      <c r="E3130">
        <v>59210</v>
      </c>
      <c r="F3130">
        <v>39462</v>
      </c>
    </row>
    <row r="3131" spans="1:6">
      <c r="A3131" t="s">
        <v>4175</v>
      </c>
      <c r="B3131">
        <v>348</v>
      </c>
      <c r="C3131" t="s">
        <v>1052</v>
      </c>
      <c r="D3131">
        <v>6627780</v>
      </c>
      <c r="E3131">
        <v>59210</v>
      </c>
      <c r="F3131">
        <v>39462</v>
      </c>
    </row>
    <row r="3132" spans="1:6">
      <c r="A3132" t="s">
        <v>4176</v>
      </c>
      <c r="B3132">
        <v>348</v>
      </c>
      <c r="C3132" t="s">
        <v>164</v>
      </c>
      <c r="D3132">
        <v>73846319</v>
      </c>
      <c r="E3132">
        <v>64008</v>
      </c>
      <c r="F3132">
        <v>39462</v>
      </c>
    </row>
    <row r="3133" spans="1:6">
      <c r="A3133" t="s">
        <v>4177</v>
      </c>
      <c r="B3133">
        <v>348</v>
      </c>
      <c r="C3133" t="s">
        <v>651</v>
      </c>
      <c r="D3133">
        <v>36923160</v>
      </c>
      <c r="E3133">
        <v>64008</v>
      </c>
      <c r="F3133">
        <v>39462</v>
      </c>
    </row>
    <row r="3134" spans="1:6">
      <c r="A3134" t="s">
        <v>4178</v>
      </c>
      <c r="B3134">
        <v>349</v>
      </c>
      <c r="C3134" t="s">
        <v>154</v>
      </c>
      <c r="D3134">
        <v>742679</v>
      </c>
      <c r="E3134">
        <v>59600</v>
      </c>
      <c r="F3134">
        <v>39615</v>
      </c>
    </row>
    <row r="3135" spans="1:6">
      <c r="A3135" t="s">
        <v>4179</v>
      </c>
      <c r="B3135">
        <v>349</v>
      </c>
      <c r="C3135" t="s">
        <v>1043</v>
      </c>
      <c r="D3135">
        <v>2228037</v>
      </c>
      <c r="E3135">
        <v>59600</v>
      </c>
      <c r="F3135">
        <v>39615</v>
      </c>
    </row>
    <row r="3136" spans="1:6">
      <c r="A3136" t="s">
        <v>4180</v>
      </c>
      <c r="B3136">
        <v>349</v>
      </c>
      <c r="C3136" t="s">
        <v>1045</v>
      </c>
      <c r="D3136">
        <v>1336823</v>
      </c>
      <c r="E3136">
        <v>59600</v>
      </c>
      <c r="F3136">
        <v>39615</v>
      </c>
    </row>
    <row r="3137" spans="1:6">
      <c r="A3137" t="s">
        <v>4181</v>
      </c>
      <c r="B3137">
        <v>349</v>
      </c>
      <c r="C3137" t="s">
        <v>1047</v>
      </c>
      <c r="D3137">
        <v>371340</v>
      </c>
      <c r="E3137">
        <v>59600</v>
      </c>
      <c r="F3137">
        <v>39615</v>
      </c>
    </row>
    <row r="3138" spans="1:6">
      <c r="A3138" t="s">
        <v>4182</v>
      </c>
      <c r="B3138">
        <v>349</v>
      </c>
      <c r="C3138" t="s">
        <v>1049</v>
      </c>
      <c r="D3138">
        <v>111402</v>
      </c>
      <c r="E3138">
        <v>59600</v>
      </c>
      <c r="F3138">
        <v>39615</v>
      </c>
    </row>
    <row r="3139" spans="1:6">
      <c r="A3139" t="s">
        <v>4183</v>
      </c>
      <c r="B3139">
        <v>349</v>
      </c>
      <c r="C3139" t="s">
        <v>745</v>
      </c>
      <c r="D3139">
        <v>2970716</v>
      </c>
      <c r="E3139">
        <v>59600</v>
      </c>
      <c r="F3139">
        <v>39615</v>
      </c>
    </row>
    <row r="3140" spans="1:6">
      <c r="A3140" t="s">
        <v>4184</v>
      </c>
      <c r="B3140">
        <v>349</v>
      </c>
      <c r="C3140" t="s">
        <v>1052</v>
      </c>
      <c r="D3140">
        <v>6684111</v>
      </c>
      <c r="E3140">
        <v>59600</v>
      </c>
      <c r="F3140">
        <v>39615</v>
      </c>
    </row>
    <row r="3141" spans="1:6">
      <c r="A3141" t="s">
        <v>4185</v>
      </c>
      <c r="B3141">
        <v>349</v>
      </c>
      <c r="C3141" t="s">
        <v>164</v>
      </c>
      <c r="D3141">
        <v>74521508</v>
      </c>
      <c r="E3141">
        <v>64416</v>
      </c>
      <c r="F3141">
        <v>39615</v>
      </c>
    </row>
    <row r="3142" spans="1:6">
      <c r="A3142" t="s">
        <v>4186</v>
      </c>
      <c r="B3142">
        <v>349</v>
      </c>
      <c r="C3142" t="s">
        <v>651</v>
      </c>
      <c r="D3142">
        <v>37260754</v>
      </c>
      <c r="E3142">
        <v>64416</v>
      </c>
      <c r="F3142">
        <v>39615</v>
      </c>
    </row>
    <row r="3143" spans="1:6">
      <c r="A3143" t="s">
        <v>4187</v>
      </c>
      <c r="B3143">
        <v>350</v>
      </c>
      <c r="C3143" t="s">
        <v>154</v>
      </c>
      <c r="D3143">
        <v>748980</v>
      </c>
      <c r="E3143">
        <v>59994</v>
      </c>
      <c r="F3143">
        <v>39769</v>
      </c>
    </row>
    <row r="3144" spans="1:6">
      <c r="A3144" t="s">
        <v>4188</v>
      </c>
      <c r="B3144">
        <v>350</v>
      </c>
      <c r="C3144" t="s">
        <v>1043</v>
      </c>
      <c r="D3144">
        <v>2246940</v>
      </c>
      <c r="E3144">
        <v>59994</v>
      </c>
      <c r="F3144">
        <v>39769</v>
      </c>
    </row>
    <row r="3145" spans="1:6">
      <c r="A3145" t="s">
        <v>4189</v>
      </c>
      <c r="B3145">
        <v>350</v>
      </c>
      <c r="C3145" t="s">
        <v>1045</v>
      </c>
      <c r="D3145">
        <v>1348164</v>
      </c>
      <c r="E3145">
        <v>59994</v>
      </c>
      <c r="F3145">
        <v>39769</v>
      </c>
    </row>
    <row r="3146" spans="1:6">
      <c r="A3146" t="s">
        <v>4190</v>
      </c>
      <c r="B3146">
        <v>350</v>
      </c>
      <c r="C3146" t="s">
        <v>1047</v>
      </c>
      <c r="D3146">
        <v>374490</v>
      </c>
      <c r="E3146">
        <v>59994</v>
      </c>
      <c r="F3146">
        <v>39769</v>
      </c>
    </row>
    <row r="3147" spans="1:6">
      <c r="A3147" t="s">
        <v>4191</v>
      </c>
      <c r="B3147">
        <v>350</v>
      </c>
      <c r="C3147" t="s">
        <v>1049</v>
      </c>
      <c r="D3147">
        <v>112347</v>
      </c>
      <c r="E3147">
        <v>59994</v>
      </c>
      <c r="F3147">
        <v>39769</v>
      </c>
    </row>
    <row r="3148" spans="1:6">
      <c r="A3148" t="s">
        <v>4192</v>
      </c>
      <c r="B3148">
        <v>350</v>
      </c>
      <c r="C3148" t="s">
        <v>745</v>
      </c>
      <c r="D3148">
        <v>2995920</v>
      </c>
      <c r="E3148">
        <v>59994</v>
      </c>
      <c r="F3148">
        <v>39769</v>
      </c>
    </row>
    <row r="3149" spans="1:6">
      <c r="A3149" t="s">
        <v>4193</v>
      </c>
      <c r="B3149">
        <v>350</v>
      </c>
      <c r="C3149" t="s">
        <v>1052</v>
      </c>
      <c r="D3149">
        <v>6740820</v>
      </c>
      <c r="E3149">
        <v>59994</v>
      </c>
      <c r="F3149">
        <v>39769</v>
      </c>
    </row>
    <row r="3150" spans="1:6">
      <c r="A3150" t="s">
        <v>4194</v>
      </c>
      <c r="B3150">
        <v>350</v>
      </c>
      <c r="C3150" t="s">
        <v>164</v>
      </c>
      <c r="D3150">
        <v>75201644</v>
      </c>
      <c r="E3150">
        <v>64827</v>
      </c>
      <c r="F3150">
        <v>39769</v>
      </c>
    </row>
    <row r="3151" spans="1:6">
      <c r="A3151" t="s">
        <v>4195</v>
      </c>
      <c r="B3151">
        <v>350</v>
      </c>
      <c r="C3151" t="s">
        <v>651</v>
      </c>
      <c r="D3151">
        <v>37600822</v>
      </c>
      <c r="E3151">
        <v>64827</v>
      </c>
      <c r="F3151">
        <v>39769</v>
      </c>
    </row>
    <row r="3152" spans="1:6">
      <c r="A3152" t="s">
        <v>4196</v>
      </c>
      <c r="B3152">
        <v>351</v>
      </c>
      <c r="C3152" t="s">
        <v>154</v>
      </c>
      <c r="D3152">
        <v>755322</v>
      </c>
      <c r="E3152">
        <v>60389</v>
      </c>
      <c r="F3152">
        <v>39922</v>
      </c>
    </row>
    <row r="3153" spans="1:6">
      <c r="A3153" t="s">
        <v>4197</v>
      </c>
      <c r="B3153">
        <v>351</v>
      </c>
      <c r="C3153" t="s">
        <v>1043</v>
      </c>
      <c r="D3153">
        <v>2265966</v>
      </c>
      <c r="E3153">
        <v>60389</v>
      </c>
      <c r="F3153">
        <v>39922</v>
      </c>
    </row>
    <row r="3154" spans="1:6">
      <c r="A3154" t="s">
        <v>4198</v>
      </c>
      <c r="B3154">
        <v>351</v>
      </c>
      <c r="C3154" t="s">
        <v>1045</v>
      </c>
      <c r="D3154">
        <v>1359580</v>
      </c>
      <c r="E3154">
        <v>60389</v>
      </c>
      <c r="F3154">
        <v>39922</v>
      </c>
    </row>
    <row r="3155" spans="1:6">
      <c r="A3155" t="s">
        <v>4199</v>
      </c>
      <c r="B3155">
        <v>351</v>
      </c>
      <c r="C3155" t="s">
        <v>1047</v>
      </c>
      <c r="D3155">
        <v>377661</v>
      </c>
      <c r="E3155">
        <v>60389</v>
      </c>
      <c r="F3155">
        <v>39922</v>
      </c>
    </row>
    <row r="3156" spans="1:6">
      <c r="A3156" t="s">
        <v>4200</v>
      </c>
      <c r="B3156">
        <v>351</v>
      </c>
      <c r="C3156" t="s">
        <v>1049</v>
      </c>
      <c r="D3156">
        <v>113299</v>
      </c>
      <c r="E3156">
        <v>60389</v>
      </c>
      <c r="F3156">
        <v>39922</v>
      </c>
    </row>
    <row r="3157" spans="1:6">
      <c r="A3157" t="s">
        <v>4201</v>
      </c>
      <c r="B3157">
        <v>351</v>
      </c>
      <c r="C3157" t="s">
        <v>745</v>
      </c>
      <c r="D3157">
        <v>3021288</v>
      </c>
      <c r="E3157">
        <v>60389</v>
      </c>
      <c r="F3157">
        <v>39922</v>
      </c>
    </row>
    <row r="3158" spans="1:6">
      <c r="A3158" t="s">
        <v>4202</v>
      </c>
      <c r="B3158">
        <v>351</v>
      </c>
      <c r="C3158" t="s">
        <v>1052</v>
      </c>
      <c r="D3158">
        <v>6797898</v>
      </c>
      <c r="E3158">
        <v>60389</v>
      </c>
      <c r="F3158">
        <v>39922</v>
      </c>
    </row>
    <row r="3159" spans="1:6">
      <c r="A3159" t="s">
        <v>4203</v>
      </c>
      <c r="B3159">
        <v>351</v>
      </c>
      <c r="C3159" t="s">
        <v>164</v>
      </c>
      <c r="D3159">
        <v>75886727</v>
      </c>
      <c r="E3159">
        <v>65240</v>
      </c>
      <c r="F3159">
        <v>39922</v>
      </c>
    </row>
    <row r="3160" spans="1:6">
      <c r="A3160" t="s">
        <v>4204</v>
      </c>
      <c r="B3160">
        <v>351</v>
      </c>
      <c r="C3160" t="s">
        <v>651</v>
      </c>
      <c r="D3160">
        <v>37943363</v>
      </c>
      <c r="E3160">
        <v>65240</v>
      </c>
      <c r="F3160">
        <v>39922</v>
      </c>
    </row>
    <row r="3161" spans="1:6">
      <c r="A3161" t="s">
        <v>4205</v>
      </c>
      <c r="B3161">
        <v>352</v>
      </c>
      <c r="C3161" t="s">
        <v>154</v>
      </c>
      <c r="D3161">
        <v>761707</v>
      </c>
      <c r="E3161">
        <v>60787</v>
      </c>
      <c r="F3161">
        <v>40076</v>
      </c>
    </row>
    <row r="3162" spans="1:6">
      <c r="A3162" t="s">
        <v>4206</v>
      </c>
      <c r="B3162">
        <v>352</v>
      </c>
      <c r="C3162" t="s">
        <v>1043</v>
      </c>
      <c r="D3162">
        <v>2285121</v>
      </c>
      <c r="E3162">
        <v>60787</v>
      </c>
      <c r="F3162">
        <v>40076</v>
      </c>
    </row>
    <row r="3163" spans="1:6">
      <c r="A3163" t="s">
        <v>4207</v>
      </c>
      <c r="B3163">
        <v>352</v>
      </c>
      <c r="C3163" t="s">
        <v>1045</v>
      </c>
      <c r="D3163">
        <v>1371073</v>
      </c>
      <c r="E3163">
        <v>60787</v>
      </c>
      <c r="F3163">
        <v>40076</v>
      </c>
    </row>
    <row r="3164" spans="1:6">
      <c r="A3164" t="s">
        <v>4208</v>
      </c>
      <c r="B3164">
        <v>352</v>
      </c>
      <c r="C3164" t="s">
        <v>1047</v>
      </c>
      <c r="D3164">
        <v>380854</v>
      </c>
      <c r="E3164">
        <v>60787</v>
      </c>
      <c r="F3164">
        <v>40076</v>
      </c>
    </row>
    <row r="3165" spans="1:6">
      <c r="A3165" t="s">
        <v>4209</v>
      </c>
      <c r="B3165">
        <v>352</v>
      </c>
      <c r="C3165" t="s">
        <v>1049</v>
      </c>
      <c r="D3165">
        <v>114257</v>
      </c>
      <c r="E3165">
        <v>60787</v>
      </c>
      <c r="F3165">
        <v>40076</v>
      </c>
    </row>
    <row r="3166" spans="1:6">
      <c r="A3166" t="s">
        <v>4210</v>
      </c>
      <c r="B3166">
        <v>352</v>
      </c>
      <c r="C3166" t="s">
        <v>745</v>
      </c>
      <c r="D3166">
        <v>3046828</v>
      </c>
      <c r="E3166">
        <v>60787</v>
      </c>
      <c r="F3166">
        <v>40076</v>
      </c>
    </row>
    <row r="3167" spans="1:6">
      <c r="A3167" t="s">
        <v>4211</v>
      </c>
      <c r="B3167">
        <v>352</v>
      </c>
      <c r="C3167" t="s">
        <v>1052</v>
      </c>
      <c r="D3167">
        <v>6855363</v>
      </c>
      <c r="E3167">
        <v>60787</v>
      </c>
      <c r="F3167">
        <v>40076</v>
      </c>
    </row>
    <row r="3168" spans="1:6">
      <c r="A3168" t="s">
        <v>4212</v>
      </c>
      <c r="B3168">
        <v>352</v>
      </c>
      <c r="C3168" t="s">
        <v>164</v>
      </c>
      <c r="D3168">
        <v>76576808</v>
      </c>
      <c r="E3168">
        <v>65655</v>
      </c>
      <c r="F3168">
        <v>40076</v>
      </c>
    </row>
    <row r="3169" spans="1:6">
      <c r="A3169" t="s">
        <v>4213</v>
      </c>
      <c r="B3169">
        <v>352</v>
      </c>
      <c r="C3169" t="s">
        <v>651</v>
      </c>
      <c r="D3169">
        <v>38288404</v>
      </c>
      <c r="E3169">
        <v>65655</v>
      </c>
      <c r="F3169">
        <v>40076</v>
      </c>
    </row>
    <row r="3170" spans="1:6">
      <c r="A3170" t="s">
        <v>4214</v>
      </c>
      <c r="B3170">
        <v>353</v>
      </c>
      <c r="C3170" t="s">
        <v>154</v>
      </c>
      <c r="D3170">
        <v>768133</v>
      </c>
      <c r="E3170">
        <v>61186</v>
      </c>
      <c r="F3170">
        <v>40230</v>
      </c>
    </row>
    <row r="3171" spans="1:6">
      <c r="A3171" t="s">
        <v>4215</v>
      </c>
      <c r="B3171">
        <v>353</v>
      </c>
      <c r="C3171" t="s">
        <v>1043</v>
      </c>
      <c r="D3171">
        <v>2304399</v>
      </c>
      <c r="E3171">
        <v>61186</v>
      </c>
      <c r="F3171">
        <v>40230</v>
      </c>
    </row>
    <row r="3172" spans="1:6">
      <c r="A3172" t="s">
        <v>4216</v>
      </c>
      <c r="B3172">
        <v>353</v>
      </c>
      <c r="C3172" t="s">
        <v>1045</v>
      </c>
      <c r="D3172">
        <v>1382640</v>
      </c>
      <c r="E3172">
        <v>61186</v>
      </c>
      <c r="F3172">
        <v>40230</v>
      </c>
    </row>
    <row r="3173" spans="1:6">
      <c r="A3173" t="s">
        <v>4217</v>
      </c>
      <c r="B3173">
        <v>353</v>
      </c>
      <c r="C3173" t="s">
        <v>1047</v>
      </c>
      <c r="D3173">
        <v>384067</v>
      </c>
      <c r="E3173">
        <v>61186</v>
      </c>
      <c r="F3173">
        <v>40230</v>
      </c>
    </row>
    <row r="3174" spans="1:6">
      <c r="A3174" t="s">
        <v>4218</v>
      </c>
      <c r="B3174">
        <v>353</v>
      </c>
      <c r="C3174" t="s">
        <v>1049</v>
      </c>
      <c r="D3174">
        <v>115220</v>
      </c>
      <c r="E3174">
        <v>61186</v>
      </c>
      <c r="F3174">
        <v>40230</v>
      </c>
    </row>
    <row r="3175" spans="1:6">
      <c r="A3175" t="s">
        <v>4219</v>
      </c>
      <c r="B3175">
        <v>353</v>
      </c>
      <c r="C3175" t="s">
        <v>745</v>
      </c>
      <c r="D3175">
        <v>3072532</v>
      </c>
      <c r="E3175">
        <v>61186</v>
      </c>
      <c r="F3175">
        <v>40230</v>
      </c>
    </row>
    <row r="3176" spans="1:6">
      <c r="A3176" t="s">
        <v>4220</v>
      </c>
      <c r="B3176">
        <v>353</v>
      </c>
      <c r="C3176" t="s">
        <v>1052</v>
      </c>
      <c r="D3176">
        <v>6913197</v>
      </c>
      <c r="E3176">
        <v>61186</v>
      </c>
      <c r="F3176">
        <v>40230</v>
      </c>
    </row>
    <row r="3177" spans="1:6">
      <c r="A3177" t="s">
        <v>4221</v>
      </c>
      <c r="B3177">
        <v>353</v>
      </c>
      <c r="C3177" t="s">
        <v>164</v>
      </c>
      <c r="D3177">
        <v>77271887</v>
      </c>
      <c r="E3177">
        <v>66072</v>
      </c>
      <c r="F3177">
        <v>40230</v>
      </c>
    </row>
    <row r="3178" spans="1:6">
      <c r="A3178" t="s">
        <v>4222</v>
      </c>
      <c r="B3178">
        <v>353</v>
      </c>
      <c r="C3178" t="s">
        <v>651</v>
      </c>
      <c r="D3178">
        <v>38635943</v>
      </c>
      <c r="E3178">
        <v>66072</v>
      </c>
      <c r="F3178">
        <v>40230</v>
      </c>
    </row>
    <row r="3179" spans="1:6">
      <c r="A3179" t="s">
        <v>4223</v>
      </c>
      <c r="B3179">
        <v>354</v>
      </c>
      <c r="C3179" t="s">
        <v>154</v>
      </c>
      <c r="D3179">
        <v>774602</v>
      </c>
      <c r="E3179">
        <v>61588</v>
      </c>
      <c r="F3179">
        <v>40384</v>
      </c>
    </row>
    <row r="3180" spans="1:6">
      <c r="A3180" t="s">
        <v>4224</v>
      </c>
      <c r="B3180">
        <v>354</v>
      </c>
      <c r="C3180" t="s">
        <v>1043</v>
      </c>
      <c r="D3180">
        <v>2323806</v>
      </c>
      <c r="E3180">
        <v>61588</v>
      </c>
      <c r="F3180">
        <v>40384</v>
      </c>
    </row>
    <row r="3181" spans="1:6">
      <c r="A3181" t="s">
        <v>4225</v>
      </c>
      <c r="B3181">
        <v>354</v>
      </c>
      <c r="C3181" t="s">
        <v>1045</v>
      </c>
      <c r="D3181">
        <v>1394284</v>
      </c>
      <c r="E3181">
        <v>61588</v>
      </c>
      <c r="F3181">
        <v>40384</v>
      </c>
    </row>
    <row r="3182" spans="1:6">
      <c r="A3182" t="s">
        <v>4226</v>
      </c>
      <c r="B3182">
        <v>354</v>
      </c>
      <c r="C3182" t="s">
        <v>1047</v>
      </c>
      <c r="D3182">
        <v>387301</v>
      </c>
      <c r="E3182">
        <v>61588</v>
      </c>
      <c r="F3182">
        <v>40384</v>
      </c>
    </row>
    <row r="3183" spans="1:6">
      <c r="A3183" t="s">
        <v>4227</v>
      </c>
      <c r="B3183">
        <v>354</v>
      </c>
      <c r="C3183" t="s">
        <v>1049</v>
      </c>
      <c r="D3183">
        <v>116191</v>
      </c>
      <c r="E3183">
        <v>61588</v>
      </c>
      <c r="F3183">
        <v>40384</v>
      </c>
    </row>
    <row r="3184" spans="1:6">
      <c r="A3184" t="s">
        <v>4228</v>
      </c>
      <c r="B3184">
        <v>354</v>
      </c>
      <c r="C3184" t="s">
        <v>745</v>
      </c>
      <c r="D3184">
        <v>3098408</v>
      </c>
      <c r="E3184">
        <v>61588</v>
      </c>
      <c r="F3184">
        <v>40384</v>
      </c>
    </row>
    <row r="3185" spans="1:6">
      <c r="A3185" t="s">
        <v>4229</v>
      </c>
      <c r="B3185">
        <v>354</v>
      </c>
      <c r="C3185" t="s">
        <v>1052</v>
      </c>
      <c r="D3185">
        <v>6971418</v>
      </c>
      <c r="E3185">
        <v>61588</v>
      </c>
      <c r="F3185">
        <v>40384</v>
      </c>
    </row>
    <row r="3186" spans="1:6">
      <c r="A3186" t="s">
        <v>4230</v>
      </c>
      <c r="B3186">
        <v>354</v>
      </c>
      <c r="C3186" t="s">
        <v>164</v>
      </c>
      <c r="D3186">
        <v>77972066</v>
      </c>
      <c r="E3186">
        <v>66491</v>
      </c>
      <c r="F3186">
        <v>40384</v>
      </c>
    </row>
    <row r="3187" spans="1:6">
      <c r="A3187" t="s">
        <v>4231</v>
      </c>
      <c r="B3187">
        <v>354</v>
      </c>
      <c r="C3187" t="s">
        <v>651</v>
      </c>
      <c r="D3187">
        <v>38986033</v>
      </c>
      <c r="E3187">
        <v>66491</v>
      </c>
      <c r="F3187">
        <v>40384</v>
      </c>
    </row>
    <row r="3188" spans="1:6">
      <c r="A3188" t="s">
        <v>4232</v>
      </c>
      <c r="B3188">
        <v>355</v>
      </c>
      <c r="C3188" t="s">
        <v>154</v>
      </c>
      <c r="D3188">
        <v>781113</v>
      </c>
      <c r="E3188">
        <v>61991</v>
      </c>
      <c r="F3188">
        <v>40539</v>
      </c>
    </row>
    <row r="3189" spans="1:6">
      <c r="A3189" t="s">
        <v>4233</v>
      </c>
      <c r="B3189">
        <v>355</v>
      </c>
      <c r="C3189" t="s">
        <v>1043</v>
      </c>
      <c r="D3189">
        <v>2343339</v>
      </c>
      <c r="E3189">
        <v>61991</v>
      </c>
      <c r="F3189">
        <v>40539</v>
      </c>
    </row>
    <row r="3190" spans="1:6">
      <c r="A3190" t="s">
        <v>4234</v>
      </c>
      <c r="B3190">
        <v>355</v>
      </c>
      <c r="C3190" t="s">
        <v>1045</v>
      </c>
      <c r="D3190">
        <v>1406004</v>
      </c>
      <c r="E3190">
        <v>61991</v>
      </c>
      <c r="F3190">
        <v>40539</v>
      </c>
    </row>
    <row r="3191" spans="1:6">
      <c r="A3191" t="s">
        <v>4235</v>
      </c>
      <c r="B3191">
        <v>355</v>
      </c>
      <c r="C3191" t="s">
        <v>1047</v>
      </c>
      <c r="D3191">
        <v>390557</v>
      </c>
      <c r="E3191">
        <v>61991</v>
      </c>
      <c r="F3191">
        <v>40539</v>
      </c>
    </row>
    <row r="3192" spans="1:6">
      <c r="A3192" t="s">
        <v>4236</v>
      </c>
      <c r="B3192">
        <v>355</v>
      </c>
      <c r="C3192" t="s">
        <v>1049</v>
      </c>
      <c r="D3192">
        <v>117167</v>
      </c>
      <c r="E3192">
        <v>61991</v>
      </c>
      <c r="F3192">
        <v>40539</v>
      </c>
    </row>
    <row r="3193" spans="1:6">
      <c r="A3193" t="s">
        <v>4237</v>
      </c>
      <c r="B3193">
        <v>355</v>
      </c>
      <c r="C3193" t="s">
        <v>745</v>
      </c>
      <c r="D3193">
        <v>3124452</v>
      </c>
      <c r="E3193">
        <v>61991</v>
      </c>
      <c r="F3193">
        <v>40539</v>
      </c>
    </row>
    <row r="3194" spans="1:6">
      <c r="A3194" t="s">
        <v>4238</v>
      </c>
      <c r="B3194">
        <v>355</v>
      </c>
      <c r="C3194" t="s">
        <v>1052</v>
      </c>
      <c r="D3194">
        <v>7030017</v>
      </c>
      <c r="E3194">
        <v>61991</v>
      </c>
      <c r="F3194">
        <v>40539</v>
      </c>
    </row>
    <row r="3195" spans="1:6">
      <c r="A3195" t="s">
        <v>4239</v>
      </c>
      <c r="B3195">
        <v>355</v>
      </c>
      <c r="C3195" t="s">
        <v>164</v>
      </c>
      <c r="D3195">
        <v>78677294</v>
      </c>
      <c r="E3195">
        <v>66912</v>
      </c>
      <c r="F3195">
        <v>40539</v>
      </c>
    </row>
    <row r="3196" spans="1:6">
      <c r="A3196" t="s">
        <v>4240</v>
      </c>
      <c r="B3196">
        <v>355</v>
      </c>
      <c r="C3196" t="s">
        <v>651</v>
      </c>
      <c r="D3196">
        <v>39338647</v>
      </c>
      <c r="E3196">
        <v>66912</v>
      </c>
      <c r="F3196">
        <v>40539</v>
      </c>
    </row>
    <row r="3197" spans="1:6">
      <c r="A3197" t="s">
        <v>4241</v>
      </c>
      <c r="B3197">
        <v>356</v>
      </c>
      <c r="C3197" t="s">
        <v>154</v>
      </c>
      <c r="D3197">
        <v>787667</v>
      </c>
      <c r="E3197">
        <v>62397</v>
      </c>
      <c r="F3197">
        <v>40693</v>
      </c>
    </row>
    <row r="3198" spans="1:6">
      <c r="A3198" t="s">
        <v>4242</v>
      </c>
      <c r="B3198">
        <v>356</v>
      </c>
      <c r="C3198" t="s">
        <v>1043</v>
      </c>
      <c r="D3198">
        <v>2363001</v>
      </c>
      <c r="E3198">
        <v>62397</v>
      </c>
      <c r="F3198">
        <v>40693</v>
      </c>
    </row>
    <row r="3199" spans="1:6">
      <c r="A3199" t="s">
        <v>4243</v>
      </c>
      <c r="B3199">
        <v>356</v>
      </c>
      <c r="C3199" t="s">
        <v>1045</v>
      </c>
      <c r="D3199">
        <v>1417801</v>
      </c>
      <c r="E3199">
        <v>62397</v>
      </c>
      <c r="F3199">
        <v>40693</v>
      </c>
    </row>
    <row r="3200" spans="1:6">
      <c r="A3200" t="s">
        <v>4244</v>
      </c>
      <c r="B3200">
        <v>356</v>
      </c>
      <c r="C3200" t="s">
        <v>1047</v>
      </c>
      <c r="D3200">
        <v>393834</v>
      </c>
      <c r="E3200">
        <v>62397</v>
      </c>
      <c r="F3200">
        <v>40693</v>
      </c>
    </row>
    <row r="3201" spans="1:6">
      <c r="A3201" t="s">
        <v>4245</v>
      </c>
      <c r="B3201">
        <v>356</v>
      </c>
      <c r="C3201" t="s">
        <v>1049</v>
      </c>
      <c r="D3201">
        <v>118151</v>
      </c>
      <c r="E3201">
        <v>62397</v>
      </c>
      <c r="F3201">
        <v>40693</v>
      </c>
    </row>
    <row r="3202" spans="1:6">
      <c r="A3202" t="s">
        <v>4246</v>
      </c>
      <c r="B3202">
        <v>356</v>
      </c>
      <c r="C3202" t="s">
        <v>745</v>
      </c>
      <c r="D3202">
        <v>3150668</v>
      </c>
      <c r="E3202">
        <v>62397</v>
      </c>
      <c r="F3202">
        <v>40693</v>
      </c>
    </row>
    <row r="3203" spans="1:6">
      <c r="A3203" t="s">
        <v>4247</v>
      </c>
      <c r="B3203">
        <v>356</v>
      </c>
      <c r="C3203" t="s">
        <v>1052</v>
      </c>
      <c r="D3203">
        <v>7089003</v>
      </c>
      <c r="E3203">
        <v>62397</v>
      </c>
      <c r="F3203">
        <v>40693</v>
      </c>
    </row>
    <row r="3204" spans="1:6">
      <c r="A3204" t="s">
        <v>4248</v>
      </c>
      <c r="B3204">
        <v>356</v>
      </c>
      <c r="C3204" t="s">
        <v>164</v>
      </c>
      <c r="D3204">
        <v>79387672</v>
      </c>
      <c r="E3204">
        <v>67336</v>
      </c>
      <c r="F3204">
        <v>40693</v>
      </c>
    </row>
    <row r="3205" spans="1:6">
      <c r="A3205" t="s">
        <v>4249</v>
      </c>
      <c r="B3205">
        <v>356</v>
      </c>
      <c r="C3205" t="s">
        <v>651</v>
      </c>
      <c r="D3205">
        <v>39693836</v>
      </c>
      <c r="E3205">
        <v>67336</v>
      </c>
      <c r="F3205">
        <v>40693</v>
      </c>
    </row>
    <row r="3206" spans="1:6">
      <c r="A3206" t="s">
        <v>4250</v>
      </c>
      <c r="B3206">
        <v>357</v>
      </c>
      <c r="C3206" t="s">
        <v>154</v>
      </c>
      <c r="D3206">
        <v>794264</v>
      </c>
      <c r="E3206">
        <v>62806</v>
      </c>
      <c r="F3206">
        <v>40848</v>
      </c>
    </row>
    <row r="3207" spans="1:6">
      <c r="A3207" t="s">
        <v>4251</v>
      </c>
      <c r="B3207">
        <v>357</v>
      </c>
      <c r="C3207" t="s">
        <v>1043</v>
      </c>
      <c r="D3207">
        <v>2382792</v>
      </c>
      <c r="E3207">
        <v>62806</v>
      </c>
      <c r="F3207">
        <v>40848</v>
      </c>
    </row>
    <row r="3208" spans="1:6">
      <c r="A3208" t="s">
        <v>4252</v>
      </c>
      <c r="B3208">
        <v>357</v>
      </c>
      <c r="C3208" t="s">
        <v>1045</v>
      </c>
      <c r="D3208">
        <v>1429676</v>
      </c>
      <c r="E3208">
        <v>62806</v>
      </c>
      <c r="F3208">
        <v>40848</v>
      </c>
    </row>
    <row r="3209" spans="1:6">
      <c r="A3209" t="s">
        <v>4253</v>
      </c>
      <c r="B3209">
        <v>357</v>
      </c>
      <c r="C3209" t="s">
        <v>1047</v>
      </c>
      <c r="D3209">
        <v>397132</v>
      </c>
      <c r="E3209">
        <v>62806</v>
      </c>
      <c r="F3209">
        <v>40848</v>
      </c>
    </row>
    <row r="3210" spans="1:6">
      <c r="A3210" t="s">
        <v>4254</v>
      </c>
      <c r="B3210">
        <v>357</v>
      </c>
      <c r="C3210" t="s">
        <v>1049</v>
      </c>
      <c r="D3210">
        <v>119140</v>
      </c>
      <c r="E3210">
        <v>62806</v>
      </c>
      <c r="F3210">
        <v>40848</v>
      </c>
    </row>
    <row r="3211" spans="1:6">
      <c r="A3211" t="s">
        <v>4255</v>
      </c>
      <c r="B3211">
        <v>357</v>
      </c>
      <c r="C3211" t="s">
        <v>745</v>
      </c>
      <c r="D3211">
        <v>3177056</v>
      </c>
      <c r="E3211">
        <v>62806</v>
      </c>
      <c r="F3211">
        <v>40848</v>
      </c>
    </row>
    <row r="3212" spans="1:6">
      <c r="A3212" t="s">
        <v>4256</v>
      </c>
      <c r="B3212">
        <v>357</v>
      </c>
      <c r="C3212" t="s">
        <v>1052</v>
      </c>
      <c r="D3212">
        <v>7148376</v>
      </c>
      <c r="E3212">
        <v>62806</v>
      </c>
      <c r="F3212">
        <v>40848</v>
      </c>
    </row>
    <row r="3213" spans="1:6">
      <c r="A3213" t="s">
        <v>4257</v>
      </c>
      <c r="B3213">
        <v>357</v>
      </c>
      <c r="C3213" t="s">
        <v>164</v>
      </c>
      <c r="D3213">
        <v>80103151</v>
      </c>
      <c r="E3213">
        <v>67762</v>
      </c>
      <c r="F3213">
        <v>40848</v>
      </c>
    </row>
    <row r="3214" spans="1:6">
      <c r="A3214" t="s">
        <v>4258</v>
      </c>
      <c r="B3214">
        <v>357</v>
      </c>
      <c r="C3214" t="s">
        <v>651</v>
      </c>
      <c r="D3214">
        <v>40051576</v>
      </c>
      <c r="E3214">
        <v>67762</v>
      </c>
      <c r="F3214">
        <v>40848</v>
      </c>
    </row>
    <row r="3215" spans="1:6">
      <c r="A3215" t="s">
        <v>4259</v>
      </c>
      <c r="B3215">
        <v>358</v>
      </c>
      <c r="C3215" t="s">
        <v>154</v>
      </c>
      <c r="D3215">
        <v>800903</v>
      </c>
      <c r="E3215">
        <v>63215</v>
      </c>
      <c r="F3215">
        <v>41003</v>
      </c>
    </row>
    <row r="3216" spans="1:6">
      <c r="A3216" t="s">
        <v>4260</v>
      </c>
      <c r="B3216">
        <v>358</v>
      </c>
      <c r="C3216" t="s">
        <v>1043</v>
      </c>
      <c r="D3216">
        <v>2402709</v>
      </c>
      <c r="E3216">
        <v>63215</v>
      </c>
      <c r="F3216">
        <v>41003</v>
      </c>
    </row>
    <row r="3217" spans="1:6">
      <c r="A3217" t="s">
        <v>4261</v>
      </c>
      <c r="B3217">
        <v>358</v>
      </c>
      <c r="C3217" t="s">
        <v>1045</v>
      </c>
      <c r="D3217">
        <v>1441626</v>
      </c>
      <c r="E3217">
        <v>63215</v>
      </c>
      <c r="F3217">
        <v>41003</v>
      </c>
    </row>
    <row r="3218" spans="1:6">
      <c r="A3218" t="s">
        <v>4262</v>
      </c>
      <c r="B3218">
        <v>358</v>
      </c>
      <c r="C3218" t="s">
        <v>1047</v>
      </c>
      <c r="D3218">
        <v>400452</v>
      </c>
      <c r="E3218">
        <v>63215</v>
      </c>
      <c r="F3218">
        <v>41003</v>
      </c>
    </row>
    <row r="3219" spans="1:6">
      <c r="A3219" t="s">
        <v>4263</v>
      </c>
      <c r="B3219">
        <v>358</v>
      </c>
      <c r="C3219" t="s">
        <v>1049</v>
      </c>
      <c r="D3219">
        <v>120136</v>
      </c>
      <c r="E3219">
        <v>63215</v>
      </c>
      <c r="F3219">
        <v>41003</v>
      </c>
    </row>
    <row r="3220" spans="1:6">
      <c r="A3220" t="s">
        <v>4264</v>
      </c>
      <c r="B3220">
        <v>358</v>
      </c>
      <c r="C3220" t="s">
        <v>745</v>
      </c>
      <c r="D3220">
        <v>3203612</v>
      </c>
      <c r="E3220">
        <v>63215</v>
      </c>
      <c r="F3220">
        <v>41003</v>
      </c>
    </row>
    <row r="3221" spans="1:6">
      <c r="A3221" t="s">
        <v>4265</v>
      </c>
      <c r="B3221">
        <v>358</v>
      </c>
      <c r="C3221" t="s">
        <v>1052</v>
      </c>
      <c r="D3221">
        <v>7208127</v>
      </c>
      <c r="E3221">
        <v>63215</v>
      </c>
      <c r="F3221">
        <v>41003</v>
      </c>
    </row>
    <row r="3222" spans="1:6">
      <c r="A3222" t="s">
        <v>4266</v>
      </c>
      <c r="B3222">
        <v>358</v>
      </c>
      <c r="C3222" t="s">
        <v>164</v>
      </c>
      <c r="D3222">
        <v>80823832</v>
      </c>
      <c r="E3222">
        <v>68189</v>
      </c>
      <c r="F3222">
        <v>41003</v>
      </c>
    </row>
    <row r="3223" spans="1:6">
      <c r="A3223" t="s">
        <v>4267</v>
      </c>
      <c r="B3223">
        <v>358</v>
      </c>
      <c r="C3223" t="s">
        <v>651</v>
      </c>
      <c r="D3223">
        <v>40411916</v>
      </c>
      <c r="E3223">
        <v>68189</v>
      </c>
      <c r="F3223">
        <v>41003</v>
      </c>
    </row>
    <row r="3224" spans="1:6">
      <c r="A3224" t="s">
        <v>4268</v>
      </c>
      <c r="B3224">
        <v>359</v>
      </c>
      <c r="C3224" t="s">
        <v>154</v>
      </c>
      <c r="D3224">
        <v>807587</v>
      </c>
      <c r="E3224">
        <v>63627</v>
      </c>
      <c r="F3224">
        <v>41159</v>
      </c>
    </row>
    <row r="3225" spans="1:6">
      <c r="A3225" t="s">
        <v>4269</v>
      </c>
      <c r="B3225">
        <v>359</v>
      </c>
      <c r="C3225" t="s">
        <v>1043</v>
      </c>
      <c r="D3225">
        <v>2422761</v>
      </c>
      <c r="E3225">
        <v>63627</v>
      </c>
      <c r="F3225">
        <v>41159</v>
      </c>
    </row>
    <row r="3226" spans="1:6">
      <c r="A3226" t="s">
        <v>4270</v>
      </c>
      <c r="B3226">
        <v>359</v>
      </c>
      <c r="C3226" t="s">
        <v>1045</v>
      </c>
      <c r="D3226">
        <v>1453657</v>
      </c>
      <c r="E3226">
        <v>63627</v>
      </c>
      <c r="F3226">
        <v>41159</v>
      </c>
    </row>
    <row r="3227" spans="1:6">
      <c r="A3227" t="s">
        <v>4271</v>
      </c>
      <c r="B3227">
        <v>359</v>
      </c>
      <c r="C3227" t="s">
        <v>1047</v>
      </c>
      <c r="D3227">
        <v>403794</v>
      </c>
      <c r="E3227">
        <v>63627</v>
      </c>
      <c r="F3227">
        <v>41159</v>
      </c>
    </row>
    <row r="3228" spans="1:6">
      <c r="A3228" t="s">
        <v>4272</v>
      </c>
      <c r="B3228">
        <v>359</v>
      </c>
      <c r="C3228" t="s">
        <v>1049</v>
      </c>
      <c r="D3228">
        <v>121139</v>
      </c>
      <c r="E3228">
        <v>63627</v>
      </c>
      <c r="F3228">
        <v>41159</v>
      </c>
    </row>
    <row r="3229" spans="1:6">
      <c r="A3229" t="s">
        <v>4273</v>
      </c>
      <c r="B3229">
        <v>359</v>
      </c>
      <c r="C3229" t="s">
        <v>745</v>
      </c>
      <c r="D3229">
        <v>3230348</v>
      </c>
      <c r="E3229">
        <v>63627</v>
      </c>
      <c r="F3229">
        <v>41159</v>
      </c>
    </row>
    <row r="3230" spans="1:6">
      <c r="A3230" t="s">
        <v>4274</v>
      </c>
      <c r="B3230">
        <v>359</v>
      </c>
      <c r="C3230" t="s">
        <v>1052</v>
      </c>
      <c r="D3230">
        <v>7268283</v>
      </c>
      <c r="E3230">
        <v>63627</v>
      </c>
      <c r="F3230">
        <v>41159</v>
      </c>
    </row>
    <row r="3231" spans="1:6">
      <c r="A3231" t="s">
        <v>4275</v>
      </c>
      <c r="B3231">
        <v>359</v>
      </c>
      <c r="C3231" t="s">
        <v>164</v>
      </c>
      <c r="D3231">
        <v>81549664</v>
      </c>
      <c r="E3231">
        <v>68619</v>
      </c>
      <c r="F3231">
        <v>41159</v>
      </c>
    </row>
    <row r="3232" spans="1:6">
      <c r="A3232" t="s">
        <v>4276</v>
      </c>
      <c r="B3232">
        <v>359</v>
      </c>
      <c r="C3232" t="s">
        <v>651</v>
      </c>
      <c r="D3232">
        <v>40774832</v>
      </c>
      <c r="E3232">
        <v>68619</v>
      </c>
      <c r="F3232">
        <v>41159</v>
      </c>
    </row>
    <row r="3233" spans="1:6">
      <c r="A3233" t="s">
        <v>4277</v>
      </c>
      <c r="B3233">
        <v>360</v>
      </c>
      <c r="C3233" t="s">
        <v>154</v>
      </c>
      <c r="D3233">
        <v>814314</v>
      </c>
      <c r="E3233">
        <v>64042</v>
      </c>
      <c r="F3233">
        <v>41314</v>
      </c>
    </row>
    <row r="3234" spans="1:6">
      <c r="A3234" t="s">
        <v>4278</v>
      </c>
      <c r="B3234">
        <v>360</v>
      </c>
      <c r="C3234" t="s">
        <v>1043</v>
      </c>
      <c r="D3234">
        <v>2442942</v>
      </c>
      <c r="E3234">
        <v>64042</v>
      </c>
      <c r="F3234">
        <v>41314</v>
      </c>
    </row>
    <row r="3235" spans="1:6">
      <c r="A3235" t="s">
        <v>4279</v>
      </c>
      <c r="B3235">
        <v>360</v>
      </c>
      <c r="C3235" t="s">
        <v>1045</v>
      </c>
      <c r="D3235">
        <v>1465766</v>
      </c>
      <c r="E3235">
        <v>64042</v>
      </c>
      <c r="F3235">
        <v>41314</v>
      </c>
    </row>
    <row r="3236" spans="1:6">
      <c r="A3236" t="s">
        <v>4280</v>
      </c>
      <c r="B3236">
        <v>360</v>
      </c>
      <c r="C3236" t="s">
        <v>1047</v>
      </c>
      <c r="D3236">
        <v>407157</v>
      </c>
      <c r="E3236">
        <v>64042</v>
      </c>
      <c r="F3236">
        <v>41314</v>
      </c>
    </row>
    <row r="3237" spans="1:6">
      <c r="A3237" t="s">
        <v>4281</v>
      </c>
      <c r="B3237">
        <v>360</v>
      </c>
      <c r="C3237" t="s">
        <v>1049</v>
      </c>
      <c r="D3237">
        <v>122148</v>
      </c>
      <c r="E3237">
        <v>64042</v>
      </c>
      <c r="F3237">
        <v>41314</v>
      </c>
    </row>
    <row r="3238" spans="1:6">
      <c r="A3238" t="s">
        <v>4282</v>
      </c>
      <c r="B3238">
        <v>360</v>
      </c>
      <c r="C3238" t="s">
        <v>745</v>
      </c>
      <c r="D3238">
        <v>3257256</v>
      </c>
      <c r="E3238">
        <v>64042</v>
      </c>
      <c r="F3238">
        <v>41314</v>
      </c>
    </row>
    <row r="3239" spans="1:6">
      <c r="A3239" t="s">
        <v>4283</v>
      </c>
      <c r="B3239">
        <v>360</v>
      </c>
      <c r="C3239" t="s">
        <v>1052</v>
      </c>
      <c r="D3239">
        <v>7328826</v>
      </c>
      <c r="E3239">
        <v>64042</v>
      </c>
      <c r="F3239">
        <v>41314</v>
      </c>
    </row>
    <row r="3240" spans="1:6">
      <c r="A3240" t="s">
        <v>4284</v>
      </c>
      <c r="B3240">
        <v>360</v>
      </c>
      <c r="C3240" t="s">
        <v>164</v>
      </c>
      <c r="D3240">
        <v>82280800</v>
      </c>
      <c r="E3240">
        <v>69052</v>
      </c>
      <c r="F3240">
        <v>41314</v>
      </c>
    </row>
    <row r="3241" spans="1:6">
      <c r="A3241" t="s">
        <v>4285</v>
      </c>
      <c r="B3241">
        <v>360</v>
      </c>
      <c r="C3241" t="s">
        <v>651</v>
      </c>
      <c r="D3241">
        <v>41140400</v>
      </c>
      <c r="E3241">
        <v>69052</v>
      </c>
      <c r="F3241">
        <v>41314</v>
      </c>
    </row>
    <row r="3242" spans="1:6">
      <c r="A3242" t="s">
        <v>4286</v>
      </c>
      <c r="B3242">
        <v>361</v>
      </c>
      <c r="C3242" t="s">
        <v>154</v>
      </c>
      <c r="D3242">
        <v>821084</v>
      </c>
      <c r="E3242">
        <v>64458</v>
      </c>
      <c r="F3242">
        <v>41470</v>
      </c>
    </row>
    <row r="3243" spans="1:6">
      <c r="A3243" t="s">
        <v>4287</v>
      </c>
      <c r="B3243">
        <v>361</v>
      </c>
      <c r="C3243" t="s">
        <v>1043</v>
      </c>
      <c r="D3243">
        <v>2463252</v>
      </c>
      <c r="E3243">
        <v>64458</v>
      </c>
      <c r="F3243">
        <v>41470</v>
      </c>
    </row>
    <row r="3244" spans="1:6">
      <c r="A3244" t="s">
        <v>4288</v>
      </c>
      <c r="B3244">
        <v>361</v>
      </c>
      <c r="C3244" t="s">
        <v>1045</v>
      </c>
      <c r="D3244">
        <v>1477952</v>
      </c>
      <c r="E3244">
        <v>64458</v>
      </c>
      <c r="F3244">
        <v>41470</v>
      </c>
    </row>
    <row r="3245" spans="1:6">
      <c r="A3245" t="s">
        <v>4289</v>
      </c>
      <c r="B3245">
        <v>361</v>
      </c>
      <c r="C3245" t="s">
        <v>1047</v>
      </c>
      <c r="D3245">
        <v>410542</v>
      </c>
      <c r="E3245">
        <v>64458</v>
      </c>
      <c r="F3245">
        <v>41470</v>
      </c>
    </row>
    <row r="3246" spans="1:6">
      <c r="A3246" t="s">
        <v>4290</v>
      </c>
      <c r="B3246">
        <v>361</v>
      </c>
      <c r="C3246" t="s">
        <v>1049</v>
      </c>
      <c r="D3246">
        <v>123163</v>
      </c>
      <c r="E3246">
        <v>64458</v>
      </c>
      <c r="F3246">
        <v>41470</v>
      </c>
    </row>
    <row r="3247" spans="1:6">
      <c r="A3247" t="s">
        <v>4291</v>
      </c>
      <c r="B3247">
        <v>361</v>
      </c>
      <c r="C3247" t="s">
        <v>745</v>
      </c>
      <c r="D3247">
        <v>3284336</v>
      </c>
      <c r="E3247">
        <v>64458</v>
      </c>
      <c r="F3247">
        <v>41470</v>
      </c>
    </row>
    <row r="3248" spans="1:6">
      <c r="A3248" t="s">
        <v>4292</v>
      </c>
      <c r="B3248">
        <v>361</v>
      </c>
      <c r="C3248" t="s">
        <v>1052</v>
      </c>
      <c r="D3248">
        <v>7389756</v>
      </c>
      <c r="E3248">
        <v>64458</v>
      </c>
      <c r="F3248">
        <v>41470</v>
      </c>
    </row>
    <row r="3249" spans="1:6">
      <c r="A3249" t="s">
        <v>4293</v>
      </c>
      <c r="B3249">
        <v>361</v>
      </c>
      <c r="C3249" t="s">
        <v>164</v>
      </c>
      <c r="D3249">
        <v>83017138</v>
      </c>
      <c r="E3249">
        <v>69486</v>
      </c>
      <c r="F3249">
        <v>41470</v>
      </c>
    </row>
    <row r="3250" spans="1:6">
      <c r="A3250" t="s">
        <v>4294</v>
      </c>
      <c r="B3250">
        <v>361</v>
      </c>
      <c r="C3250" t="s">
        <v>651</v>
      </c>
      <c r="D3250">
        <v>41508569</v>
      </c>
      <c r="E3250">
        <v>69486</v>
      </c>
      <c r="F3250">
        <v>41470</v>
      </c>
    </row>
    <row r="3251" spans="1:6">
      <c r="A3251" t="s">
        <v>4295</v>
      </c>
      <c r="B3251">
        <v>362</v>
      </c>
      <c r="C3251" t="s">
        <v>154</v>
      </c>
      <c r="D3251">
        <v>827899</v>
      </c>
      <c r="E3251">
        <v>64878</v>
      </c>
      <c r="F3251">
        <v>41626</v>
      </c>
    </row>
    <row r="3252" spans="1:6">
      <c r="A3252" t="s">
        <v>4296</v>
      </c>
      <c r="B3252">
        <v>362</v>
      </c>
      <c r="C3252" t="s">
        <v>1043</v>
      </c>
      <c r="D3252">
        <v>2483697</v>
      </c>
      <c r="E3252">
        <v>64878</v>
      </c>
      <c r="F3252">
        <v>41626</v>
      </c>
    </row>
    <row r="3253" spans="1:6">
      <c r="A3253" t="s">
        <v>4297</v>
      </c>
      <c r="B3253">
        <v>362</v>
      </c>
      <c r="C3253" t="s">
        <v>1045</v>
      </c>
      <c r="D3253">
        <v>1490219</v>
      </c>
      <c r="E3253">
        <v>64878</v>
      </c>
      <c r="F3253">
        <v>41626</v>
      </c>
    </row>
    <row r="3254" spans="1:6">
      <c r="A3254" t="s">
        <v>4298</v>
      </c>
      <c r="B3254">
        <v>362</v>
      </c>
      <c r="C3254" t="s">
        <v>1047</v>
      </c>
      <c r="D3254">
        <v>413950</v>
      </c>
      <c r="E3254">
        <v>64878</v>
      </c>
      <c r="F3254">
        <v>41626</v>
      </c>
    </row>
    <row r="3255" spans="1:6">
      <c r="A3255" t="s">
        <v>4299</v>
      </c>
      <c r="B3255">
        <v>362</v>
      </c>
      <c r="C3255" t="s">
        <v>1049</v>
      </c>
      <c r="D3255">
        <v>124185</v>
      </c>
      <c r="E3255">
        <v>64878</v>
      </c>
      <c r="F3255">
        <v>41626</v>
      </c>
    </row>
    <row r="3256" spans="1:6">
      <c r="A3256" t="s">
        <v>4300</v>
      </c>
      <c r="B3256">
        <v>362</v>
      </c>
      <c r="C3256" t="s">
        <v>745</v>
      </c>
      <c r="D3256">
        <v>3311596</v>
      </c>
      <c r="E3256">
        <v>64878</v>
      </c>
      <c r="F3256">
        <v>41626</v>
      </c>
    </row>
    <row r="3257" spans="1:6">
      <c r="A3257" t="s">
        <v>4301</v>
      </c>
      <c r="B3257">
        <v>362</v>
      </c>
      <c r="C3257" t="s">
        <v>1052</v>
      </c>
      <c r="D3257">
        <v>7451091</v>
      </c>
      <c r="E3257">
        <v>64878</v>
      </c>
      <c r="F3257">
        <v>41626</v>
      </c>
    </row>
    <row r="3258" spans="1:6">
      <c r="A3258" t="s">
        <v>4302</v>
      </c>
      <c r="B3258">
        <v>362</v>
      </c>
      <c r="C3258" t="s">
        <v>164</v>
      </c>
      <c r="D3258">
        <v>83758831</v>
      </c>
      <c r="E3258">
        <v>69923</v>
      </c>
      <c r="F3258">
        <v>41626</v>
      </c>
    </row>
    <row r="3259" spans="1:6">
      <c r="A3259" t="s">
        <v>4303</v>
      </c>
      <c r="B3259">
        <v>362</v>
      </c>
      <c r="C3259" t="s">
        <v>651</v>
      </c>
      <c r="D3259">
        <v>41879416</v>
      </c>
      <c r="E3259">
        <v>69923</v>
      </c>
      <c r="F3259">
        <v>41626</v>
      </c>
    </row>
    <row r="3260" spans="1:6">
      <c r="A3260" t="s">
        <v>4304</v>
      </c>
      <c r="B3260">
        <v>363</v>
      </c>
      <c r="C3260" t="s">
        <v>154</v>
      </c>
      <c r="D3260">
        <v>834758</v>
      </c>
      <c r="E3260">
        <v>65298</v>
      </c>
      <c r="F3260">
        <v>41782</v>
      </c>
    </row>
    <row r="3261" spans="1:6">
      <c r="A3261" t="s">
        <v>4305</v>
      </c>
      <c r="B3261">
        <v>363</v>
      </c>
      <c r="C3261" t="s">
        <v>1043</v>
      </c>
      <c r="D3261">
        <v>2504274</v>
      </c>
      <c r="E3261">
        <v>65298</v>
      </c>
      <c r="F3261">
        <v>41782</v>
      </c>
    </row>
    <row r="3262" spans="1:6">
      <c r="A3262" t="s">
        <v>4306</v>
      </c>
      <c r="B3262">
        <v>363</v>
      </c>
      <c r="C3262" t="s">
        <v>1045</v>
      </c>
      <c r="D3262">
        <v>1502565</v>
      </c>
      <c r="E3262">
        <v>65298</v>
      </c>
      <c r="F3262">
        <v>41782</v>
      </c>
    </row>
    <row r="3263" spans="1:6">
      <c r="A3263" t="s">
        <v>4307</v>
      </c>
      <c r="B3263">
        <v>363</v>
      </c>
      <c r="C3263" t="s">
        <v>1047</v>
      </c>
      <c r="D3263">
        <v>417379</v>
      </c>
      <c r="E3263">
        <v>65298</v>
      </c>
      <c r="F3263">
        <v>41782</v>
      </c>
    </row>
    <row r="3264" spans="1:6">
      <c r="A3264" t="s">
        <v>4308</v>
      </c>
      <c r="B3264">
        <v>363</v>
      </c>
      <c r="C3264" t="s">
        <v>1049</v>
      </c>
      <c r="D3264">
        <v>125214</v>
      </c>
      <c r="E3264">
        <v>65298</v>
      </c>
      <c r="F3264">
        <v>41782</v>
      </c>
    </row>
    <row r="3265" spans="1:6">
      <c r="A3265" t="s">
        <v>4309</v>
      </c>
      <c r="B3265">
        <v>363</v>
      </c>
      <c r="C3265" t="s">
        <v>745</v>
      </c>
      <c r="D3265">
        <v>3339032</v>
      </c>
      <c r="E3265">
        <v>65298</v>
      </c>
      <c r="F3265">
        <v>41782</v>
      </c>
    </row>
    <row r="3266" spans="1:6">
      <c r="A3266" t="s">
        <v>4310</v>
      </c>
      <c r="B3266">
        <v>363</v>
      </c>
      <c r="C3266" t="s">
        <v>1052</v>
      </c>
      <c r="D3266">
        <v>7512822</v>
      </c>
      <c r="E3266">
        <v>65298</v>
      </c>
      <c r="F3266">
        <v>41782</v>
      </c>
    </row>
    <row r="3267" spans="1:6">
      <c r="A3267" t="s">
        <v>4311</v>
      </c>
      <c r="B3267">
        <v>363</v>
      </c>
      <c r="C3267" t="s">
        <v>164</v>
      </c>
      <c r="D3267">
        <v>84505777</v>
      </c>
      <c r="E3267">
        <v>70361</v>
      </c>
      <c r="F3267">
        <v>41782</v>
      </c>
    </row>
    <row r="3268" spans="1:6">
      <c r="A3268" t="s">
        <v>4312</v>
      </c>
      <c r="B3268">
        <v>363</v>
      </c>
      <c r="C3268" t="s">
        <v>651</v>
      </c>
      <c r="D3268">
        <v>42252889</v>
      </c>
      <c r="E3268">
        <v>70361</v>
      </c>
      <c r="F3268">
        <v>41782</v>
      </c>
    </row>
    <row r="3269" spans="1:6">
      <c r="A3269" t="s">
        <v>4313</v>
      </c>
      <c r="B3269">
        <v>364</v>
      </c>
      <c r="C3269" t="s">
        <v>154</v>
      </c>
      <c r="D3269">
        <v>841661</v>
      </c>
      <c r="E3269">
        <v>65722</v>
      </c>
      <c r="F3269">
        <v>41939</v>
      </c>
    </row>
    <row r="3270" spans="1:6">
      <c r="A3270" t="s">
        <v>4314</v>
      </c>
      <c r="B3270">
        <v>364</v>
      </c>
      <c r="C3270" t="s">
        <v>1043</v>
      </c>
      <c r="D3270">
        <v>2524983</v>
      </c>
      <c r="E3270">
        <v>65722</v>
      </c>
      <c r="F3270">
        <v>41939</v>
      </c>
    </row>
    <row r="3271" spans="1:6">
      <c r="A3271" t="s">
        <v>4315</v>
      </c>
      <c r="B3271">
        <v>364</v>
      </c>
      <c r="C3271" t="s">
        <v>1045</v>
      </c>
      <c r="D3271">
        <v>1514990</v>
      </c>
      <c r="E3271">
        <v>65722</v>
      </c>
      <c r="F3271">
        <v>41939</v>
      </c>
    </row>
    <row r="3272" spans="1:6">
      <c r="A3272" t="s">
        <v>4316</v>
      </c>
      <c r="B3272">
        <v>364</v>
      </c>
      <c r="C3272" t="s">
        <v>1047</v>
      </c>
      <c r="D3272">
        <v>420831</v>
      </c>
      <c r="E3272">
        <v>65722</v>
      </c>
      <c r="F3272">
        <v>41939</v>
      </c>
    </row>
    <row r="3273" spans="1:6">
      <c r="A3273" t="s">
        <v>4317</v>
      </c>
      <c r="B3273">
        <v>364</v>
      </c>
      <c r="C3273" t="s">
        <v>1049</v>
      </c>
      <c r="D3273">
        <v>126250</v>
      </c>
      <c r="E3273">
        <v>65722</v>
      </c>
      <c r="F3273">
        <v>41939</v>
      </c>
    </row>
    <row r="3274" spans="1:6">
      <c r="A3274" t="s">
        <v>4318</v>
      </c>
      <c r="B3274">
        <v>364</v>
      </c>
      <c r="C3274" t="s">
        <v>745</v>
      </c>
      <c r="D3274">
        <v>3366644</v>
      </c>
      <c r="E3274">
        <v>65722</v>
      </c>
      <c r="F3274">
        <v>41939</v>
      </c>
    </row>
    <row r="3275" spans="1:6">
      <c r="A3275" t="s">
        <v>4319</v>
      </c>
      <c r="B3275">
        <v>364</v>
      </c>
      <c r="C3275" t="s">
        <v>1052</v>
      </c>
      <c r="D3275">
        <v>7574949</v>
      </c>
      <c r="E3275">
        <v>65722</v>
      </c>
      <c r="F3275">
        <v>41939</v>
      </c>
    </row>
    <row r="3276" spans="1:6">
      <c r="A3276" t="s">
        <v>4320</v>
      </c>
      <c r="B3276">
        <v>364</v>
      </c>
      <c r="C3276" t="s">
        <v>164</v>
      </c>
      <c r="D3276">
        <v>85258129</v>
      </c>
      <c r="E3276">
        <v>70803</v>
      </c>
      <c r="F3276">
        <v>41939</v>
      </c>
    </row>
    <row r="3277" spans="1:6">
      <c r="A3277" t="s">
        <v>4321</v>
      </c>
      <c r="B3277">
        <v>364</v>
      </c>
      <c r="C3277" t="s">
        <v>651</v>
      </c>
      <c r="D3277">
        <v>42629065</v>
      </c>
      <c r="E3277">
        <v>70803</v>
      </c>
      <c r="F3277">
        <v>41939</v>
      </c>
    </row>
    <row r="3278" spans="1:6">
      <c r="A3278" t="s">
        <v>4322</v>
      </c>
      <c r="B3278">
        <v>365</v>
      </c>
      <c r="C3278" t="s">
        <v>154</v>
      </c>
      <c r="D3278">
        <v>848610</v>
      </c>
      <c r="E3278">
        <v>66147</v>
      </c>
      <c r="F3278">
        <v>42096</v>
      </c>
    </row>
    <row r="3279" spans="1:6">
      <c r="A3279" t="s">
        <v>4323</v>
      </c>
      <c r="B3279">
        <v>365</v>
      </c>
      <c r="C3279" t="s">
        <v>1043</v>
      </c>
      <c r="D3279">
        <v>2545830</v>
      </c>
      <c r="E3279">
        <v>66147</v>
      </c>
      <c r="F3279">
        <v>42096</v>
      </c>
    </row>
    <row r="3280" spans="1:6">
      <c r="A3280" t="s">
        <v>4324</v>
      </c>
      <c r="B3280">
        <v>365</v>
      </c>
      <c r="C3280" t="s">
        <v>1045</v>
      </c>
      <c r="D3280">
        <v>1527498</v>
      </c>
      <c r="E3280">
        <v>66147</v>
      </c>
      <c r="F3280">
        <v>42096</v>
      </c>
    </row>
    <row r="3281" spans="1:6">
      <c r="A3281" t="s">
        <v>4325</v>
      </c>
      <c r="B3281">
        <v>365</v>
      </c>
      <c r="C3281" t="s">
        <v>1047</v>
      </c>
      <c r="D3281">
        <v>424305</v>
      </c>
      <c r="E3281">
        <v>66147</v>
      </c>
      <c r="F3281">
        <v>42096</v>
      </c>
    </row>
    <row r="3282" spans="1:6">
      <c r="A3282" t="s">
        <v>4326</v>
      </c>
      <c r="B3282">
        <v>365</v>
      </c>
      <c r="C3282" t="s">
        <v>1049</v>
      </c>
      <c r="D3282">
        <v>127292</v>
      </c>
      <c r="E3282">
        <v>66147</v>
      </c>
      <c r="F3282">
        <v>42096</v>
      </c>
    </row>
    <row r="3283" spans="1:6">
      <c r="A3283" t="s">
        <v>4327</v>
      </c>
      <c r="B3283">
        <v>365</v>
      </c>
      <c r="C3283" t="s">
        <v>745</v>
      </c>
      <c r="D3283">
        <v>3394440</v>
      </c>
      <c r="E3283">
        <v>66147</v>
      </c>
      <c r="F3283">
        <v>42096</v>
      </c>
    </row>
    <row r="3284" spans="1:6">
      <c r="A3284" t="s">
        <v>4328</v>
      </c>
      <c r="B3284">
        <v>365</v>
      </c>
      <c r="C3284" t="s">
        <v>1052</v>
      </c>
      <c r="D3284">
        <v>7637490</v>
      </c>
      <c r="E3284">
        <v>66147</v>
      </c>
      <c r="F3284">
        <v>42096</v>
      </c>
    </row>
    <row r="3285" spans="1:6">
      <c r="A3285" t="s">
        <v>4329</v>
      </c>
      <c r="B3285">
        <v>365</v>
      </c>
      <c r="C3285" t="s">
        <v>164</v>
      </c>
      <c r="D3285">
        <v>86015836</v>
      </c>
      <c r="E3285">
        <v>71246</v>
      </c>
      <c r="F3285">
        <v>42096</v>
      </c>
    </row>
    <row r="3286" spans="1:6">
      <c r="A3286" t="s">
        <v>4330</v>
      </c>
      <c r="B3286">
        <v>365</v>
      </c>
      <c r="C3286" t="s">
        <v>651</v>
      </c>
      <c r="D3286">
        <v>43007918</v>
      </c>
      <c r="E3286">
        <v>71246</v>
      </c>
      <c r="F3286">
        <v>42096</v>
      </c>
    </row>
    <row r="3287" spans="1:6">
      <c r="A3287" t="s">
        <v>4331</v>
      </c>
      <c r="B3287">
        <v>366</v>
      </c>
      <c r="C3287" t="s">
        <v>154</v>
      </c>
      <c r="D3287">
        <v>855603</v>
      </c>
      <c r="E3287">
        <v>66574</v>
      </c>
      <c r="F3287">
        <v>42252</v>
      </c>
    </row>
    <row r="3288" spans="1:6">
      <c r="A3288" t="s">
        <v>4332</v>
      </c>
      <c r="B3288">
        <v>366</v>
      </c>
      <c r="C3288" t="s">
        <v>1043</v>
      </c>
      <c r="D3288">
        <v>2566809</v>
      </c>
      <c r="E3288">
        <v>66574</v>
      </c>
      <c r="F3288">
        <v>42252</v>
      </c>
    </row>
    <row r="3289" spans="1:6">
      <c r="A3289" t="s">
        <v>4333</v>
      </c>
      <c r="B3289">
        <v>366</v>
      </c>
      <c r="C3289" t="s">
        <v>1045</v>
      </c>
      <c r="D3289">
        <v>1540086</v>
      </c>
      <c r="E3289">
        <v>66574</v>
      </c>
      <c r="F3289">
        <v>42252</v>
      </c>
    </row>
    <row r="3290" spans="1:6">
      <c r="A3290" t="s">
        <v>4334</v>
      </c>
      <c r="B3290">
        <v>366</v>
      </c>
      <c r="C3290" t="s">
        <v>1047</v>
      </c>
      <c r="D3290">
        <v>427802</v>
      </c>
      <c r="E3290">
        <v>66574</v>
      </c>
      <c r="F3290">
        <v>42252</v>
      </c>
    </row>
    <row r="3291" spans="1:6">
      <c r="A3291" t="s">
        <v>4335</v>
      </c>
      <c r="B3291">
        <v>366</v>
      </c>
      <c r="C3291" t="s">
        <v>1049</v>
      </c>
      <c r="D3291">
        <v>128341</v>
      </c>
      <c r="E3291">
        <v>66574</v>
      </c>
      <c r="F3291">
        <v>42252</v>
      </c>
    </row>
    <row r="3292" spans="1:6">
      <c r="A3292" t="s">
        <v>4336</v>
      </c>
      <c r="B3292">
        <v>366</v>
      </c>
      <c r="C3292" t="s">
        <v>745</v>
      </c>
      <c r="D3292">
        <v>3422412</v>
      </c>
      <c r="E3292">
        <v>66574</v>
      </c>
      <c r="F3292">
        <v>42252</v>
      </c>
    </row>
    <row r="3293" spans="1:6">
      <c r="A3293" t="s">
        <v>4337</v>
      </c>
      <c r="B3293">
        <v>366</v>
      </c>
      <c r="C3293" t="s">
        <v>1052</v>
      </c>
      <c r="D3293">
        <v>7700427</v>
      </c>
      <c r="E3293">
        <v>66574</v>
      </c>
      <c r="F3293">
        <v>42252</v>
      </c>
    </row>
    <row r="3294" spans="1:6">
      <c r="A3294" t="s">
        <v>4338</v>
      </c>
      <c r="B3294">
        <v>366</v>
      </c>
      <c r="C3294" t="s">
        <v>164</v>
      </c>
      <c r="D3294">
        <v>86779000</v>
      </c>
      <c r="E3294">
        <v>71691</v>
      </c>
      <c r="F3294">
        <v>42252</v>
      </c>
    </row>
    <row r="3295" spans="1:6">
      <c r="A3295" t="s">
        <v>4339</v>
      </c>
      <c r="B3295">
        <v>366</v>
      </c>
      <c r="C3295" t="s">
        <v>651</v>
      </c>
      <c r="D3295">
        <v>43389500</v>
      </c>
      <c r="E3295">
        <v>71691</v>
      </c>
      <c r="F3295">
        <v>42252</v>
      </c>
    </row>
    <row r="3296" spans="1:6">
      <c r="A3296" t="s">
        <v>4340</v>
      </c>
      <c r="B3296">
        <v>367</v>
      </c>
      <c r="C3296" t="s">
        <v>154</v>
      </c>
      <c r="D3296">
        <v>862641</v>
      </c>
      <c r="E3296">
        <v>67004</v>
      </c>
      <c r="F3296">
        <v>42410</v>
      </c>
    </row>
    <row r="3297" spans="1:6">
      <c r="A3297" t="s">
        <v>4341</v>
      </c>
      <c r="B3297">
        <v>367</v>
      </c>
      <c r="C3297" t="s">
        <v>1043</v>
      </c>
      <c r="D3297">
        <v>2587923</v>
      </c>
      <c r="E3297">
        <v>67004</v>
      </c>
      <c r="F3297">
        <v>42410</v>
      </c>
    </row>
    <row r="3298" spans="1:6">
      <c r="A3298" t="s">
        <v>4342</v>
      </c>
      <c r="B3298">
        <v>367</v>
      </c>
      <c r="C3298" t="s">
        <v>1045</v>
      </c>
      <c r="D3298">
        <v>1552754</v>
      </c>
      <c r="E3298">
        <v>67004</v>
      </c>
      <c r="F3298">
        <v>42410</v>
      </c>
    </row>
    <row r="3299" spans="1:6">
      <c r="A3299" t="s">
        <v>4343</v>
      </c>
      <c r="B3299">
        <v>367</v>
      </c>
      <c r="C3299" t="s">
        <v>1047</v>
      </c>
      <c r="D3299">
        <v>431321</v>
      </c>
      <c r="E3299">
        <v>67004</v>
      </c>
      <c r="F3299">
        <v>42410</v>
      </c>
    </row>
    <row r="3300" spans="1:6">
      <c r="A3300" t="s">
        <v>4344</v>
      </c>
      <c r="B3300">
        <v>367</v>
      </c>
      <c r="C3300" t="s">
        <v>1049</v>
      </c>
      <c r="D3300">
        <v>129397</v>
      </c>
      <c r="E3300">
        <v>67004</v>
      </c>
      <c r="F3300">
        <v>42410</v>
      </c>
    </row>
    <row r="3301" spans="1:6">
      <c r="A3301" t="s">
        <v>4345</v>
      </c>
      <c r="B3301">
        <v>367</v>
      </c>
      <c r="C3301" t="s">
        <v>745</v>
      </c>
      <c r="D3301">
        <v>3450564</v>
      </c>
      <c r="E3301">
        <v>67004</v>
      </c>
      <c r="F3301">
        <v>42410</v>
      </c>
    </row>
    <row r="3302" spans="1:6">
      <c r="A3302" t="s">
        <v>4346</v>
      </c>
      <c r="B3302">
        <v>367</v>
      </c>
      <c r="C3302" t="s">
        <v>1052</v>
      </c>
      <c r="D3302">
        <v>7763769</v>
      </c>
      <c r="E3302">
        <v>67004</v>
      </c>
      <c r="F3302">
        <v>42410</v>
      </c>
    </row>
    <row r="3303" spans="1:6">
      <c r="A3303" t="s">
        <v>4347</v>
      </c>
      <c r="B3303">
        <v>367</v>
      </c>
      <c r="C3303" t="s">
        <v>164</v>
      </c>
      <c r="D3303">
        <v>87547570</v>
      </c>
      <c r="E3303">
        <v>72139</v>
      </c>
      <c r="F3303">
        <v>42410</v>
      </c>
    </row>
    <row r="3304" spans="1:6">
      <c r="A3304" t="s">
        <v>4348</v>
      </c>
      <c r="B3304">
        <v>367</v>
      </c>
      <c r="C3304" t="s">
        <v>651</v>
      </c>
      <c r="D3304">
        <v>43773785</v>
      </c>
      <c r="E3304">
        <v>72139</v>
      </c>
      <c r="F3304">
        <v>42410</v>
      </c>
    </row>
    <row r="3305" spans="1:6">
      <c r="A3305" t="s">
        <v>4349</v>
      </c>
      <c r="B3305">
        <v>368</v>
      </c>
      <c r="C3305" t="s">
        <v>154</v>
      </c>
      <c r="D3305">
        <v>869724</v>
      </c>
      <c r="E3305">
        <v>67436</v>
      </c>
      <c r="F3305">
        <v>42567</v>
      </c>
    </row>
    <row r="3306" spans="1:6">
      <c r="A3306" t="s">
        <v>4350</v>
      </c>
      <c r="B3306">
        <v>368</v>
      </c>
      <c r="C3306" t="s">
        <v>1043</v>
      </c>
      <c r="D3306">
        <v>2609172</v>
      </c>
      <c r="E3306">
        <v>67436</v>
      </c>
      <c r="F3306">
        <v>42567</v>
      </c>
    </row>
    <row r="3307" spans="1:6">
      <c r="A3307" t="s">
        <v>4351</v>
      </c>
      <c r="B3307">
        <v>368</v>
      </c>
      <c r="C3307" t="s">
        <v>1045</v>
      </c>
      <c r="D3307">
        <v>1565504</v>
      </c>
      <c r="E3307">
        <v>67436</v>
      </c>
      <c r="F3307">
        <v>42567</v>
      </c>
    </row>
    <row r="3308" spans="1:6">
      <c r="A3308" t="s">
        <v>4352</v>
      </c>
      <c r="B3308">
        <v>368</v>
      </c>
      <c r="C3308" t="s">
        <v>1047</v>
      </c>
      <c r="D3308">
        <v>434862</v>
      </c>
      <c r="E3308">
        <v>67436</v>
      </c>
      <c r="F3308">
        <v>42567</v>
      </c>
    </row>
    <row r="3309" spans="1:6">
      <c r="A3309" t="s">
        <v>4353</v>
      </c>
      <c r="B3309">
        <v>368</v>
      </c>
      <c r="C3309" t="s">
        <v>1049</v>
      </c>
      <c r="D3309">
        <v>130459</v>
      </c>
      <c r="E3309">
        <v>67436</v>
      </c>
      <c r="F3309">
        <v>42567</v>
      </c>
    </row>
    <row r="3310" spans="1:6">
      <c r="A3310" t="s">
        <v>4354</v>
      </c>
      <c r="B3310">
        <v>368</v>
      </c>
      <c r="C3310" t="s">
        <v>745</v>
      </c>
      <c r="D3310">
        <v>3478896</v>
      </c>
      <c r="E3310">
        <v>67436</v>
      </c>
      <c r="F3310">
        <v>42567</v>
      </c>
    </row>
    <row r="3311" spans="1:6">
      <c r="A3311" t="s">
        <v>4355</v>
      </c>
      <c r="B3311">
        <v>368</v>
      </c>
      <c r="C3311" t="s">
        <v>1052</v>
      </c>
      <c r="D3311">
        <v>7827516</v>
      </c>
      <c r="E3311">
        <v>67436</v>
      </c>
      <c r="F3311">
        <v>42567</v>
      </c>
    </row>
    <row r="3312" spans="1:6">
      <c r="A3312" t="s">
        <v>4356</v>
      </c>
      <c r="B3312">
        <v>368</v>
      </c>
      <c r="C3312" t="s">
        <v>164</v>
      </c>
      <c r="D3312">
        <v>88321648</v>
      </c>
      <c r="E3312">
        <v>72589</v>
      </c>
      <c r="F3312">
        <v>42567</v>
      </c>
    </row>
    <row r="3313" spans="1:6">
      <c r="A3313" t="s">
        <v>4357</v>
      </c>
      <c r="B3313">
        <v>368</v>
      </c>
      <c r="C3313" t="s">
        <v>651</v>
      </c>
      <c r="D3313">
        <v>44160824</v>
      </c>
      <c r="E3313">
        <v>72589</v>
      </c>
      <c r="F3313">
        <v>42567</v>
      </c>
    </row>
    <row r="3314" spans="1:6">
      <c r="A3314" t="s">
        <v>4358</v>
      </c>
      <c r="B3314">
        <v>369</v>
      </c>
      <c r="C3314" t="s">
        <v>154</v>
      </c>
      <c r="D3314">
        <v>876853</v>
      </c>
      <c r="E3314">
        <v>67871</v>
      </c>
      <c r="F3314">
        <v>42725</v>
      </c>
    </row>
    <row r="3315" spans="1:6">
      <c r="A3315" t="s">
        <v>4359</v>
      </c>
      <c r="B3315">
        <v>369</v>
      </c>
      <c r="C3315" t="s">
        <v>1043</v>
      </c>
      <c r="D3315">
        <v>2630559</v>
      </c>
      <c r="E3315">
        <v>67871</v>
      </c>
      <c r="F3315">
        <v>42725</v>
      </c>
    </row>
    <row r="3316" spans="1:6">
      <c r="A3316" t="s">
        <v>4360</v>
      </c>
      <c r="B3316">
        <v>369</v>
      </c>
      <c r="C3316" t="s">
        <v>1045</v>
      </c>
      <c r="D3316">
        <v>1578336</v>
      </c>
      <c r="E3316">
        <v>67871</v>
      </c>
      <c r="F3316">
        <v>42725</v>
      </c>
    </row>
    <row r="3317" spans="1:6">
      <c r="A3317" t="s">
        <v>4361</v>
      </c>
      <c r="B3317">
        <v>369</v>
      </c>
      <c r="C3317" t="s">
        <v>1047</v>
      </c>
      <c r="D3317">
        <v>438427</v>
      </c>
      <c r="E3317">
        <v>67871</v>
      </c>
      <c r="F3317">
        <v>42725</v>
      </c>
    </row>
    <row r="3318" spans="1:6">
      <c r="A3318" t="s">
        <v>4362</v>
      </c>
      <c r="B3318">
        <v>369</v>
      </c>
      <c r="C3318" t="s">
        <v>1049</v>
      </c>
      <c r="D3318">
        <v>131528</v>
      </c>
      <c r="E3318">
        <v>67871</v>
      </c>
      <c r="F3318">
        <v>42725</v>
      </c>
    </row>
    <row r="3319" spans="1:6">
      <c r="A3319" t="s">
        <v>4363</v>
      </c>
      <c r="B3319">
        <v>369</v>
      </c>
      <c r="C3319" t="s">
        <v>745</v>
      </c>
      <c r="D3319">
        <v>3507412</v>
      </c>
      <c r="E3319">
        <v>67871</v>
      </c>
      <c r="F3319">
        <v>42725</v>
      </c>
    </row>
    <row r="3320" spans="1:6">
      <c r="A3320" t="s">
        <v>4364</v>
      </c>
      <c r="B3320">
        <v>369</v>
      </c>
      <c r="C3320" t="s">
        <v>1052</v>
      </c>
      <c r="D3320">
        <v>7891677</v>
      </c>
      <c r="E3320">
        <v>67871</v>
      </c>
      <c r="F3320">
        <v>42725</v>
      </c>
    </row>
    <row r="3321" spans="1:6">
      <c r="A3321" t="s">
        <v>4365</v>
      </c>
      <c r="B3321">
        <v>369</v>
      </c>
      <c r="C3321" t="s">
        <v>164</v>
      </c>
      <c r="D3321">
        <v>89101183</v>
      </c>
      <c r="E3321">
        <v>73042</v>
      </c>
      <c r="F3321">
        <v>42725</v>
      </c>
    </row>
    <row r="3322" spans="1:6">
      <c r="A3322" t="s">
        <v>4366</v>
      </c>
      <c r="B3322">
        <v>369</v>
      </c>
      <c r="C3322" t="s">
        <v>651</v>
      </c>
      <c r="D3322">
        <v>44550591</v>
      </c>
      <c r="E3322">
        <v>73042</v>
      </c>
      <c r="F3322">
        <v>42725</v>
      </c>
    </row>
    <row r="3323" spans="1:6">
      <c r="A3323" t="s">
        <v>4367</v>
      </c>
      <c r="B3323">
        <v>370</v>
      </c>
      <c r="C3323" t="s">
        <v>154</v>
      </c>
      <c r="D3323">
        <v>884028</v>
      </c>
      <c r="E3323">
        <v>68307</v>
      </c>
      <c r="F3323">
        <v>42883</v>
      </c>
    </row>
    <row r="3324" spans="1:6">
      <c r="A3324" t="s">
        <v>4368</v>
      </c>
      <c r="B3324">
        <v>370</v>
      </c>
      <c r="C3324" t="s">
        <v>1043</v>
      </c>
      <c r="D3324">
        <v>2652084</v>
      </c>
      <c r="E3324">
        <v>68307</v>
      </c>
      <c r="F3324">
        <v>42883</v>
      </c>
    </row>
    <row r="3325" spans="1:6">
      <c r="A3325" t="s">
        <v>4369</v>
      </c>
      <c r="B3325">
        <v>370</v>
      </c>
      <c r="C3325" t="s">
        <v>1045</v>
      </c>
      <c r="D3325">
        <v>1591251</v>
      </c>
      <c r="E3325">
        <v>68307</v>
      </c>
      <c r="F3325">
        <v>42883</v>
      </c>
    </row>
    <row r="3326" spans="1:6">
      <c r="A3326" t="s">
        <v>4370</v>
      </c>
      <c r="B3326">
        <v>370</v>
      </c>
      <c r="C3326" t="s">
        <v>1047</v>
      </c>
      <c r="D3326">
        <v>442014</v>
      </c>
      <c r="E3326">
        <v>68307</v>
      </c>
      <c r="F3326">
        <v>42883</v>
      </c>
    </row>
    <row r="3327" spans="1:6">
      <c r="A3327" t="s">
        <v>4371</v>
      </c>
      <c r="B3327">
        <v>370</v>
      </c>
      <c r="C3327" t="s">
        <v>1049</v>
      </c>
      <c r="D3327">
        <v>132605</v>
      </c>
      <c r="E3327">
        <v>68307</v>
      </c>
      <c r="F3327">
        <v>42883</v>
      </c>
    </row>
    <row r="3328" spans="1:6">
      <c r="A3328" t="s">
        <v>4372</v>
      </c>
      <c r="B3328">
        <v>370</v>
      </c>
      <c r="C3328" t="s">
        <v>745</v>
      </c>
      <c r="D3328">
        <v>3536112</v>
      </c>
      <c r="E3328">
        <v>68307</v>
      </c>
      <c r="F3328">
        <v>42883</v>
      </c>
    </row>
    <row r="3329" spans="1:6">
      <c r="A3329" t="s">
        <v>4373</v>
      </c>
      <c r="B3329">
        <v>370</v>
      </c>
      <c r="C3329" t="s">
        <v>1052</v>
      </c>
      <c r="D3329">
        <v>7956252</v>
      </c>
      <c r="E3329">
        <v>68307</v>
      </c>
      <c r="F3329">
        <v>42883</v>
      </c>
    </row>
    <row r="3330" spans="1:6">
      <c r="A3330" t="s">
        <v>4374</v>
      </c>
      <c r="B3330">
        <v>370</v>
      </c>
      <c r="C3330" t="s">
        <v>164</v>
      </c>
      <c r="D3330">
        <v>89886328</v>
      </c>
      <c r="E3330">
        <v>73496</v>
      </c>
      <c r="F3330">
        <v>42883</v>
      </c>
    </row>
    <row r="3331" spans="1:6">
      <c r="A3331" t="s">
        <v>4375</v>
      </c>
      <c r="B3331">
        <v>370</v>
      </c>
      <c r="C3331" t="s">
        <v>651</v>
      </c>
      <c r="D3331">
        <v>44943164</v>
      </c>
      <c r="E3331">
        <v>73496</v>
      </c>
      <c r="F3331">
        <v>42883</v>
      </c>
    </row>
    <row r="3332" spans="1:6">
      <c r="A3332" t="s">
        <v>4376</v>
      </c>
      <c r="B3332">
        <v>371</v>
      </c>
      <c r="C3332" t="s">
        <v>154</v>
      </c>
      <c r="D3332">
        <v>891249</v>
      </c>
      <c r="E3332">
        <v>68746</v>
      </c>
      <c r="F3332">
        <v>43041</v>
      </c>
    </row>
    <row r="3333" spans="1:6">
      <c r="A3333" t="s">
        <v>4377</v>
      </c>
      <c r="B3333">
        <v>371</v>
      </c>
      <c r="C3333" t="s">
        <v>1043</v>
      </c>
      <c r="D3333">
        <v>2673747</v>
      </c>
      <c r="E3333">
        <v>68746</v>
      </c>
      <c r="F3333">
        <v>43041</v>
      </c>
    </row>
    <row r="3334" spans="1:6">
      <c r="A3334" t="s">
        <v>4378</v>
      </c>
      <c r="B3334">
        <v>371</v>
      </c>
      <c r="C3334" t="s">
        <v>1045</v>
      </c>
      <c r="D3334">
        <v>1604249</v>
      </c>
      <c r="E3334">
        <v>68746</v>
      </c>
      <c r="F3334">
        <v>43041</v>
      </c>
    </row>
    <row r="3335" spans="1:6">
      <c r="A3335" t="s">
        <v>4379</v>
      </c>
      <c r="B3335">
        <v>371</v>
      </c>
      <c r="C3335" t="s">
        <v>1047</v>
      </c>
      <c r="D3335">
        <v>445625</v>
      </c>
      <c r="E3335">
        <v>68746</v>
      </c>
      <c r="F3335">
        <v>43041</v>
      </c>
    </row>
    <row r="3336" spans="1:6">
      <c r="A3336" t="s">
        <v>4380</v>
      </c>
      <c r="B3336">
        <v>371</v>
      </c>
      <c r="C3336" t="s">
        <v>1049</v>
      </c>
      <c r="D3336">
        <v>133688</v>
      </c>
      <c r="E3336">
        <v>68746</v>
      </c>
      <c r="F3336">
        <v>43041</v>
      </c>
    </row>
    <row r="3337" spans="1:6">
      <c r="A3337" t="s">
        <v>4381</v>
      </c>
      <c r="B3337">
        <v>371</v>
      </c>
      <c r="C3337" t="s">
        <v>745</v>
      </c>
      <c r="D3337">
        <v>3564996</v>
      </c>
      <c r="E3337">
        <v>68746</v>
      </c>
      <c r="F3337">
        <v>43041</v>
      </c>
    </row>
    <row r="3338" spans="1:6">
      <c r="A3338" t="s">
        <v>4382</v>
      </c>
      <c r="B3338">
        <v>371</v>
      </c>
      <c r="C3338" t="s">
        <v>1052</v>
      </c>
      <c r="D3338">
        <v>8021241</v>
      </c>
      <c r="E3338">
        <v>68746</v>
      </c>
      <c r="F3338">
        <v>43041</v>
      </c>
    </row>
    <row r="3339" spans="1:6">
      <c r="A3339" t="s">
        <v>4383</v>
      </c>
      <c r="B3339">
        <v>371</v>
      </c>
      <c r="C3339" t="s">
        <v>164</v>
      </c>
      <c r="D3339">
        <v>90676981</v>
      </c>
      <c r="E3339">
        <v>73953</v>
      </c>
      <c r="F3339">
        <v>43041</v>
      </c>
    </row>
    <row r="3340" spans="1:6">
      <c r="A3340" t="s">
        <v>4384</v>
      </c>
      <c r="B3340">
        <v>371</v>
      </c>
      <c r="C3340" t="s">
        <v>651</v>
      </c>
      <c r="D3340">
        <v>45338490</v>
      </c>
      <c r="E3340">
        <v>73953</v>
      </c>
      <c r="F3340">
        <v>43041</v>
      </c>
    </row>
    <row r="3341" spans="1:6">
      <c r="A3341" t="s">
        <v>4385</v>
      </c>
      <c r="B3341">
        <v>372</v>
      </c>
      <c r="C3341" t="s">
        <v>154</v>
      </c>
      <c r="D3341">
        <v>898517</v>
      </c>
      <c r="E3341">
        <v>69187</v>
      </c>
      <c r="F3341">
        <v>43199</v>
      </c>
    </row>
    <row r="3342" spans="1:6">
      <c r="A3342" t="s">
        <v>4386</v>
      </c>
      <c r="B3342">
        <v>372</v>
      </c>
      <c r="C3342" t="s">
        <v>1043</v>
      </c>
      <c r="D3342">
        <v>2695551</v>
      </c>
      <c r="E3342">
        <v>69187</v>
      </c>
      <c r="F3342">
        <v>43199</v>
      </c>
    </row>
    <row r="3343" spans="1:6">
      <c r="A3343" t="s">
        <v>4387</v>
      </c>
      <c r="B3343">
        <v>372</v>
      </c>
      <c r="C3343" t="s">
        <v>1045</v>
      </c>
      <c r="D3343">
        <v>1617331</v>
      </c>
      <c r="E3343">
        <v>69187</v>
      </c>
      <c r="F3343">
        <v>43199</v>
      </c>
    </row>
    <row r="3344" spans="1:6">
      <c r="A3344" t="s">
        <v>4388</v>
      </c>
      <c r="B3344">
        <v>372</v>
      </c>
      <c r="C3344" t="s">
        <v>1047</v>
      </c>
      <c r="D3344">
        <v>449259</v>
      </c>
      <c r="E3344">
        <v>69187</v>
      </c>
      <c r="F3344">
        <v>43199</v>
      </c>
    </row>
    <row r="3345" spans="1:6">
      <c r="A3345" t="s">
        <v>4389</v>
      </c>
      <c r="B3345">
        <v>372</v>
      </c>
      <c r="C3345" t="s">
        <v>1049</v>
      </c>
      <c r="D3345">
        <v>134778</v>
      </c>
      <c r="E3345">
        <v>69187</v>
      </c>
      <c r="F3345">
        <v>43199</v>
      </c>
    </row>
    <row r="3346" spans="1:6">
      <c r="A3346" t="s">
        <v>4390</v>
      </c>
      <c r="B3346">
        <v>372</v>
      </c>
      <c r="C3346" t="s">
        <v>745</v>
      </c>
      <c r="D3346">
        <v>3594068</v>
      </c>
      <c r="E3346">
        <v>69187</v>
      </c>
      <c r="F3346">
        <v>43199</v>
      </c>
    </row>
    <row r="3347" spans="1:6">
      <c r="A3347" t="s">
        <v>4391</v>
      </c>
      <c r="B3347">
        <v>372</v>
      </c>
      <c r="C3347" t="s">
        <v>1052</v>
      </c>
      <c r="D3347">
        <v>8086653</v>
      </c>
      <c r="E3347">
        <v>69187</v>
      </c>
      <c r="F3347">
        <v>43199</v>
      </c>
    </row>
    <row r="3348" spans="1:6">
      <c r="A3348" t="s">
        <v>4392</v>
      </c>
      <c r="B3348">
        <v>372</v>
      </c>
      <c r="C3348" t="s">
        <v>164</v>
      </c>
      <c r="D3348">
        <v>91473295</v>
      </c>
      <c r="E3348">
        <v>74413</v>
      </c>
      <c r="F3348">
        <v>43199</v>
      </c>
    </row>
    <row r="3349" spans="1:6">
      <c r="A3349" t="s">
        <v>4393</v>
      </c>
      <c r="B3349">
        <v>372</v>
      </c>
      <c r="C3349" t="s">
        <v>651</v>
      </c>
      <c r="D3349">
        <v>45736647</v>
      </c>
      <c r="E3349">
        <v>74413</v>
      </c>
      <c r="F3349">
        <v>43199</v>
      </c>
    </row>
    <row r="3350" spans="1:6">
      <c r="A3350" t="s">
        <v>4394</v>
      </c>
      <c r="B3350">
        <v>373</v>
      </c>
      <c r="C3350" t="s">
        <v>154</v>
      </c>
      <c r="D3350">
        <v>905831</v>
      </c>
      <c r="E3350">
        <v>69630</v>
      </c>
      <c r="F3350">
        <v>43357</v>
      </c>
    </row>
    <row r="3351" spans="1:6">
      <c r="A3351" t="s">
        <v>4395</v>
      </c>
      <c r="B3351">
        <v>373</v>
      </c>
      <c r="C3351" t="s">
        <v>1043</v>
      </c>
      <c r="D3351">
        <v>2717493</v>
      </c>
      <c r="E3351">
        <v>69630</v>
      </c>
      <c r="F3351">
        <v>43357</v>
      </c>
    </row>
    <row r="3352" spans="1:6">
      <c r="A3352" t="s">
        <v>4396</v>
      </c>
      <c r="B3352">
        <v>373</v>
      </c>
      <c r="C3352" t="s">
        <v>1045</v>
      </c>
      <c r="D3352">
        <v>1630496</v>
      </c>
      <c r="E3352">
        <v>69630</v>
      </c>
      <c r="F3352">
        <v>43357</v>
      </c>
    </row>
    <row r="3353" spans="1:6">
      <c r="A3353" t="s">
        <v>4397</v>
      </c>
      <c r="B3353">
        <v>373</v>
      </c>
      <c r="C3353" t="s">
        <v>1047</v>
      </c>
      <c r="D3353">
        <v>452916</v>
      </c>
      <c r="E3353">
        <v>69630</v>
      </c>
      <c r="F3353">
        <v>43357</v>
      </c>
    </row>
    <row r="3354" spans="1:6">
      <c r="A3354" t="s">
        <v>4398</v>
      </c>
      <c r="B3354">
        <v>373</v>
      </c>
      <c r="C3354" t="s">
        <v>1049</v>
      </c>
      <c r="D3354">
        <v>135875</v>
      </c>
      <c r="E3354">
        <v>69630</v>
      </c>
      <c r="F3354">
        <v>43357</v>
      </c>
    </row>
    <row r="3355" spans="1:6">
      <c r="A3355" t="s">
        <v>4399</v>
      </c>
      <c r="B3355">
        <v>373</v>
      </c>
      <c r="C3355" t="s">
        <v>745</v>
      </c>
      <c r="D3355">
        <v>3623324</v>
      </c>
      <c r="E3355">
        <v>69630</v>
      </c>
      <c r="F3355">
        <v>43357</v>
      </c>
    </row>
    <row r="3356" spans="1:6">
      <c r="A3356" t="s">
        <v>4400</v>
      </c>
      <c r="B3356">
        <v>373</v>
      </c>
      <c r="C3356" t="s">
        <v>1052</v>
      </c>
      <c r="D3356">
        <v>8152479</v>
      </c>
      <c r="E3356">
        <v>69630</v>
      </c>
      <c r="F3356">
        <v>43357</v>
      </c>
    </row>
    <row r="3357" spans="1:6">
      <c r="A3357" t="s">
        <v>4401</v>
      </c>
      <c r="B3357">
        <v>373</v>
      </c>
      <c r="C3357" t="s">
        <v>164</v>
      </c>
      <c r="D3357">
        <v>92275219</v>
      </c>
      <c r="E3357">
        <v>74874</v>
      </c>
      <c r="F3357">
        <v>43357</v>
      </c>
    </row>
    <row r="3358" spans="1:6">
      <c r="A3358" t="s">
        <v>4402</v>
      </c>
      <c r="B3358">
        <v>373</v>
      </c>
      <c r="C3358" t="s">
        <v>651</v>
      </c>
      <c r="D3358">
        <v>46137609</v>
      </c>
      <c r="E3358">
        <v>74874</v>
      </c>
      <c r="F3358">
        <v>43357</v>
      </c>
    </row>
    <row r="3359" spans="1:6">
      <c r="A3359" t="s">
        <v>4403</v>
      </c>
      <c r="B3359">
        <v>374</v>
      </c>
      <c r="C3359" t="s">
        <v>154</v>
      </c>
      <c r="D3359">
        <v>913191</v>
      </c>
      <c r="E3359">
        <v>70076</v>
      </c>
      <c r="F3359">
        <v>43516</v>
      </c>
    </row>
    <row r="3360" spans="1:6">
      <c r="A3360" t="s">
        <v>4404</v>
      </c>
      <c r="B3360">
        <v>374</v>
      </c>
      <c r="C3360" t="s">
        <v>1043</v>
      </c>
      <c r="D3360">
        <v>2739573</v>
      </c>
      <c r="E3360">
        <v>70076</v>
      </c>
      <c r="F3360">
        <v>43516</v>
      </c>
    </row>
    <row r="3361" spans="1:6">
      <c r="A3361" t="s">
        <v>4405</v>
      </c>
      <c r="B3361">
        <v>374</v>
      </c>
      <c r="C3361" t="s">
        <v>1045</v>
      </c>
      <c r="D3361">
        <v>1643744</v>
      </c>
      <c r="E3361">
        <v>70076</v>
      </c>
      <c r="F3361">
        <v>43516</v>
      </c>
    </row>
    <row r="3362" spans="1:6">
      <c r="A3362" t="s">
        <v>4406</v>
      </c>
      <c r="B3362">
        <v>374</v>
      </c>
      <c r="C3362" t="s">
        <v>1047</v>
      </c>
      <c r="D3362">
        <v>456596</v>
      </c>
      <c r="E3362">
        <v>70076</v>
      </c>
      <c r="F3362">
        <v>43516</v>
      </c>
    </row>
    <row r="3363" spans="1:6">
      <c r="A3363" t="s">
        <v>4407</v>
      </c>
      <c r="B3363">
        <v>374</v>
      </c>
      <c r="C3363" t="s">
        <v>1049</v>
      </c>
      <c r="D3363">
        <v>136979</v>
      </c>
      <c r="E3363">
        <v>70076</v>
      </c>
      <c r="F3363">
        <v>43516</v>
      </c>
    </row>
    <row r="3364" spans="1:6">
      <c r="A3364" t="s">
        <v>4408</v>
      </c>
      <c r="B3364">
        <v>374</v>
      </c>
      <c r="C3364" t="s">
        <v>745</v>
      </c>
      <c r="D3364">
        <v>3652764</v>
      </c>
      <c r="E3364">
        <v>70076</v>
      </c>
      <c r="F3364">
        <v>43516</v>
      </c>
    </row>
    <row r="3365" spans="1:6">
      <c r="A3365" t="s">
        <v>4409</v>
      </c>
      <c r="B3365">
        <v>374</v>
      </c>
      <c r="C3365" t="s">
        <v>1052</v>
      </c>
      <c r="D3365">
        <v>8218719</v>
      </c>
      <c r="E3365">
        <v>70076</v>
      </c>
      <c r="F3365">
        <v>43516</v>
      </c>
    </row>
    <row r="3366" spans="1:6">
      <c r="A3366" t="s">
        <v>4410</v>
      </c>
      <c r="B3366">
        <v>374</v>
      </c>
      <c r="C3366" t="s">
        <v>164</v>
      </c>
      <c r="D3366">
        <v>93082804</v>
      </c>
      <c r="E3366">
        <v>75338</v>
      </c>
      <c r="F3366">
        <v>43516</v>
      </c>
    </row>
    <row r="3367" spans="1:6">
      <c r="A3367" t="s">
        <v>4411</v>
      </c>
      <c r="B3367">
        <v>374</v>
      </c>
      <c r="C3367" t="s">
        <v>651</v>
      </c>
      <c r="D3367">
        <v>46541402</v>
      </c>
      <c r="E3367">
        <v>75338</v>
      </c>
      <c r="F3367">
        <v>43516</v>
      </c>
    </row>
    <row r="3368" spans="1:6">
      <c r="A3368" t="s">
        <v>4412</v>
      </c>
      <c r="B3368">
        <v>375</v>
      </c>
      <c r="C3368" t="s">
        <v>154</v>
      </c>
      <c r="D3368">
        <v>920599</v>
      </c>
      <c r="E3368">
        <v>70525</v>
      </c>
      <c r="F3368">
        <v>43675</v>
      </c>
    </row>
    <row r="3369" spans="1:6">
      <c r="A3369" t="s">
        <v>4413</v>
      </c>
      <c r="B3369">
        <v>375</v>
      </c>
      <c r="C3369" t="s">
        <v>1043</v>
      </c>
      <c r="D3369">
        <v>2761797</v>
      </c>
      <c r="E3369">
        <v>70525</v>
      </c>
      <c r="F3369">
        <v>43675</v>
      </c>
    </row>
    <row r="3370" spans="1:6">
      <c r="A3370" t="s">
        <v>4414</v>
      </c>
      <c r="B3370">
        <v>375</v>
      </c>
      <c r="C3370" t="s">
        <v>1045</v>
      </c>
      <c r="D3370">
        <v>1657079</v>
      </c>
      <c r="E3370">
        <v>70525</v>
      </c>
      <c r="F3370">
        <v>43675</v>
      </c>
    </row>
    <row r="3371" spans="1:6">
      <c r="A3371" t="s">
        <v>4415</v>
      </c>
      <c r="B3371">
        <v>375</v>
      </c>
      <c r="C3371" t="s">
        <v>1047</v>
      </c>
      <c r="D3371">
        <v>460300</v>
      </c>
      <c r="E3371">
        <v>70525</v>
      </c>
      <c r="F3371">
        <v>43675</v>
      </c>
    </row>
    <row r="3372" spans="1:6">
      <c r="A3372" t="s">
        <v>4416</v>
      </c>
      <c r="B3372">
        <v>375</v>
      </c>
      <c r="C3372" t="s">
        <v>1049</v>
      </c>
      <c r="D3372">
        <v>138090</v>
      </c>
      <c r="E3372">
        <v>70525</v>
      </c>
      <c r="F3372">
        <v>43675</v>
      </c>
    </row>
    <row r="3373" spans="1:6">
      <c r="A3373" t="s">
        <v>4417</v>
      </c>
      <c r="B3373">
        <v>375</v>
      </c>
      <c r="C3373" t="s">
        <v>745</v>
      </c>
      <c r="D3373">
        <v>3682396</v>
      </c>
      <c r="E3373">
        <v>70525</v>
      </c>
      <c r="F3373">
        <v>43675</v>
      </c>
    </row>
    <row r="3374" spans="1:6">
      <c r="A3374" t="s">
        <v>4418</v>
      </c>
      <c r="B3374">
        <v>375</v>
      </c>
      <c r="C3374" t="s">
        <v>1052</v>
      </c>
      <c r="D3374">
        <v>8285391</v>
      </c>
      <c r="E3374">
        <v>70525</v>
      </c>
      <c r="F3374">
        <v>43675</v>
      </c>
    </row>
    <row r="3375" spans="1:6">
      <c r="A3375" t="s">
        <v>4419</v>
      </c>
      <c r="B3375">
        <v>375</v>
      </c>
      <c r="C3375" t="s">
        <v>164</v>
      </c>
      <c r="D3375">
        <v>93896101</v>
      </c>
      <c r="E3375">
        <v>75805</v>
      </c>
      <c r="F3375">
        <v>43675</v>
      </c>
    </row>
    <row r="3376" spans="1:6">
      <c r="A3376" t="s">
        <v>4420</v>
      </c>
      <c r="B3376">
        <v>375</v>
      </c>
      <c r="C3376" t="s">
        <v>651</v>
      </c>
      <c r="D3376">
        <v>46948050</v>
      </c>
      <c r="E3376">
        <v>75805</v>
      </c>
      <c r="F3376">
        <v>43675</v>
      </c>
    </row>
    <row r="3377" spans="1:6">
      <c r="A3377" t="s">
        <v>4421</v>
      </c>
      <c r="B3377">
        <v>376</v>
      </c>
      <c r="C3377" t="s">
        <v>154</v>
      </c>
      <c r="D3377">
        <v>928053</v>
      </c>
      <c r="E3377">
        <v>70975</v>
      </c>
      <c r="F3377">
        <v>43834</v>
      </c>
    </row>
    <row r="3378" spans="1:6">
      <c r="A3378" t="s">
        <v>4422</v>
      </c>
      <c r="B3378">
        <v>376</v>
      </c>
      <c r="C3378" t="s">
        <v>1043</v>
      </c>
      <c r="D3378">
        <v>2784159</v>
      </c>
      <c r="E3378">
        <v>70975</v>
      </c>
      <c r="F3378">
        <v>43834</v>
      </c>
    </row>
    <row r="3379" spans="1:6">
      <c r="A3379" t="s">
        <v>4423</v>
      </c>
      <c r="B3379">
        <v>376</v>
      </c>
      <c r="C3379" t="s">
        <v>1045</v>
      </c>
      <c r="D3379">
        <v>1670496</v>
      </c>
      <c r="E3379">
        <v>70975</v>
      </c>
      <c r="F3379">
        <v>43834</v>
      </c>
    </row>
    <row r="3380" spans="1:6">
      <c r="A3380" t="s">
        <v>4424</v>
      </c>
      <c r="B3380">
        <v>376</v>
      </c>
      <c r="C3380" t="s">
        <v>1047</v>
      </c>
      <c r="D3380">
        <v>464027</v>
      </c>
      <c r="E3380">
        <v>70975</v>
      </c>
      <c r="F3380">
        <v>43834</v>
      </c>
    </row>
    <row r="3381" spans="1:6">
      <c r="A3381" t="s">
        <v>4425</v>
      </c>
      <c r="B3381">
        <v>376</v>
      </c>
      <c r="C3381" t="s">
        <v>1049</v>
      </c>
      <c r="D3381">
        <v>139208</v>
      </c>
      <c r="E3381">
        <v>70975</v>
      </c>
      <c r="F3381">
        <v>43834</v>
      </c>
    </row>
    <row r="3382" spans="1:6">
      <c r="A3382" t="s">
        <v>4426</v>
      </c>
      <c r="B3382">
        <v>376</v>
      </c>
      <c r="C3382" t="s">
        <v>745</v>
      </c>
      <c r="D3382">
        <v>3712212</v>
      </c>
      <c r="E3382">
        <v>70975</v>
      </c>
      <c r="F3382">
        <v>43834</v>
      </c>
    </row>
    <row r="3383" spans="1:6">
      <c r="A3383" t="s">
        <v>4427</v>
      </c>
      <c r="B3383">
        <v>376</v>
      </c>
      <c r="C3383" t="s">
        <v>1052</v>
      </c>
      <c r="D3383">
        <v>8352477</v>
      </c>
      <c r="E3383">
        <v>70975</v>
      </c>
      <c r="F3383">
        <v>43834</v>
      </c>
    </row>
    <row r="3384" spans="1:6">
      <c r="A3384" t="s">
        <v>4428</v>
      </c>
      <c r="B3384">
        <v>376</v>
      </c>
      <c r="C3384" t="s">
        <v>164</v>
      </c>
      <c r="D3384">
        <v>94715161</v>
      </c>
      <c r="E3384">
        <v>76274</v>
      </c>
      <c r="F3384">
        <v>43834</v>
      </c>
    </row>
    <row r="3385" spans="1:6">
      <c r="A3385" t="s">
        <v>4429</v>
      </c>
      <c r="B3385">
        <v>376</v>
      </c>
      <c r="C3385" t="s">
        <v>651</v>
      </c>
      <c r="D3385">
        <v>47357580</v>
      </c>
      <c r="E3385">
        <v>76274</v>
      </c>
      <c r="F3385">
        <v>43834</v>
      </c>
    </row>
    <row r="3386" spans="1:6">
      <c r="A3386" t="s">
        <v>4430</v>
      </c>
      <c r="B3386">
        <v>377</v>
      </c>
      <c r="C3386" t="s">
        <v>154</v>
      </c>
      <c r="D3386">
        <v>935556</v>
      </c>
      <c r="E3386">
        <v>71428</v>
      </c>
      <c r="F3386">
        <v>43994</v>
      </c>
    </row>
    <row r="3387" spans="1:6">
      <c r="A3387" t="s">
        <v>4431</v>
      </c>
      <c r="B3387">
        <v>377</v>
      </c>
      <c r="C3387" t="s">
        <v>1043</v>
      </c>
      <c r="D3387">
        <v>2806668</v>
      </c>
      <c r="E3387">
        <v>71428</v>
      </c>
      <c r="F3387">
        <v>43994</v>
      </c>
    </row>
    <row r="3388" spans="1:6">
      <c r="A3388" t="s">
        <v>4432</v>
      </c>
      <c r="B3388">
        <v>377</v>
      </c>
      <c r="C3388" t="s">
        <v>1045</v>
      </c>
      <c r="D3388">
        <v>1684001</v>
      </c>
      <c r="E3388">
        <v>71428</v>
      </c>
      <c r="F3388">
        <v>43994</v>
      </c>
    </row>
    <row r="3389" spans="1:6">
      <c r="A3389" t="s">
        <v>4433</v>
      </c>
      <c r="B3389">
        <v>377</v>
      </c>
      <c r="C3389" t="s">
        <v>1047</v>
      </c>
      <c r="D3389">
        <v>467778</v>
      </c>
      <c r="E3389">
        <v>71428</v>
      </c>
      <c r="F3389">
        <v>43994</v>
      </c>
    </row>
    <row r="3390" spans="1:6">
      <c r="A3390" t="s">
        <v>4434</v>
      </c>
      <c r="B3390">
        <v>377</v>
      </c>
      <c r="C3390" t="s">
        <v>1049</v>
      </c>
      <c r="D3390">
        <v>140334</v>
      </c>
      <c r="E3390">
        <v>71428</v>
      </c>
      <c r="F3390">
        <v>43994</v>
      </c>
    </row>
    <row r="3391" spans="1:6">
      <c r="A3391" t="s">
        <v>4435</v>
      </c>
      <c r="B3391">
        <v>377</v>
      </c>
      <c r="C3391" t="s">
        <v>745</v>
      </c>
      <c r="D3391">
        <v>3742224</v>
      </c>
      <c r="E3391">
        <v>71428</v>
      </c>
      <c r="F3391">
        <v>43994</v>
      </c>
    </row>
    <row r="3392" spans="1:6">
      <c r="A3392" t="s">
        <v>4436</v>
      </c>
      <c r="B3392">
        <v>377</v>
      </c>
      <c r="C3392" t="s">
        <v>1052</v>
      </c>
      <c r="D3392">
        <v>8420004</v>
      </c>
      <c r="E3392">
        <v>71428</v>
      </c>
      <c r="F3392">
        <v>43994</v>
      </c>
    </row>
    <row r="3393" spans="1:6">
      <c r="A3393" t="s">
        <v>4437</v>
      </c>
      <c r="B3393">
        <v>377</v>
      </c>
      <c r="C3393" t="s">
        <v>164</v>
      </c>
      <c r="D3393">
        <v>95539933</v>
      </c>
      <c r="E3393">
        <v>76745</v>
      </c>
      <c r="F3393">
        <v>43994</v>
      </c>
    </row>
    <row r="3394" spans="1:6">
      <c r="A3394" t="s">
        <v>4438</v>
      </c>
      <c r="B3394">
        <v>377</v>
      </c>
      <c r="C3394" t="s">
        <v>651</v>
      </c>
      <c r="D3394">
        <v>47769966</v>
      </c>
      <c r="E3394">
        <v>76745</v>
      </c>
      <c r="F3394">
        <v>43994</v>
      </c>
    </row>
    <row r="3395" spans="1:6">
      <c r="A3395" t="s">
        <v>4439</v>
      </c>
      <c r="B3395">
        <v>378</v>
      </c>
      <c r="C3395" t="s">
        <v>154</v>
      </c>
      <c r="D3395">
        <v>943105</v>
      </c>
      <c r="E3395">
        <v>71883</v>
      </c>
      <c r="F3395">
        <v>44154</v>
      </c>
    </row>
    <row r="3396" spans="1:6">
      <c r="A3396" t="s">
        <v>4440</v>
      </c>
      <c r="B3396">
        <v>378</v>
      </c>
      <c r="C3396" t="s">
        <v>1043</v>
      </c>
      <c r="D3396">
        <v>2829315</v>
      </c>
      <c r="E3396">
        <v>71883</v>
      </c>
      <c r="F3396">
        <v>44154</v>
      </c>
    </row>
    <row r="3397" spans="1:6">
      <c r="A3397" t="s">
        <v>4441</v>
      </c>
      <c r="B3397">
        <v>378</v>
      </c>
      <c r="C3397" t="s">
        <v>1045</v>
      </c>
      <c r="D3397">
        <v>1697589</v>
      </c>
      <c r="E3397">
        <v>71883</v>
      </c>
      <c r="F3397">
        <v>44154</v>
      </c>
    </row>
    <row r="3398" spans="1:6">
      <c r="A3398" t="s">
        <v>4442</v>
      </c>
      <c r="B3398">
        <v>378</v>
      </c>
      <c r="C3398" t="s">
        <v>1047</v>
      </c>
      <c r="D3398">
        <v>471553</v>
      </c>
      <c r="E3398">
        <v>71883</v>
      </c>
      <c r="F3398">
        <v>44154</v>
      </c>
    </row>
    <row r="3399" spans="1:6">
      <c r="A3399" t="s">
        <v>4443</v>
      </c>
      <c r="B3399">
        <v>378</v>
      </c>
      <c r="C3399" t="s">
        <v>1049</v>
      </c>
      <c r="D3399">
        <v>141466</v>
      </c>
      <c r="E3399">
        <v>71883</v>
      </c>
      <c r="F3399">
        <v>44154</v>
      </c>
    </row>
    <row r="3400" spans="1:6">
      <c r="A3400" t="s">
        <v>4444</v>
      </c>
      <c r="B3400">
        <v>378</v>
      </c>
      <c r="C3400" t="s">
        <v>745</v>
      </c>
      <c r="D3400">
        <v>3772420</v>
      </c>
      <c r="E3400">
        <v>71883</v>
      </c>
      <c r="F3400">
        <v>44154</v>
      </c>
    </row>
    <row r="3401" spans="1:6">
      <c r="A3401" t="s">
        <v>4445</v>
      </c>
      <c r="B3401">
        <v>378</v>
      </c>
      <c r="C3401" t="s">
        <v>1052</v>
      </c>
      <c r="D3401">
        <v>8487945</v>
      </c>
      <c r="E3401">
        <v>71883</v>
      </c>
      <c r="F3401">
        <v>44154</v>
      </c>
    </row>
    <row r="3402" spans="1:6">
      <c r="A3402" t="s">
        <v>4446</v>
      </c>
      <c r="B3402">
        <v>378</v>
      </c>
      <c r="C3402" t="s">
        <v>164</v>
      </c>
      <c r="D3402">
        <v>96370570</v>
      </c>
      <c r="E3402">
        <v>77218</v>
      </c>
      <c r="F3402">
        <v>44154</v>
      </c>
    </row>
    <row r="3403" spans="1:6">
      <c r="A3403" t="s">
        <v>4447</v>
      </c>
      <c r="B3403">
        <v>378</v>
      </c>
      <c r="C3403" t="s">
        <v>651</v>
      </c>
      <c r="D3403">
        <v>48185285</v>
      </c>
      <c r="E3403">
        <v>77218</v>
      </c>
      <c r="F3403">
        <v>44154</v>
      </c>
    </row>
    <row r="3404" spans="1:6">
      <c r="A3404" t="s">
        <v>4448</v>
      </c>
      <c r="B3404">
        <v>379</v>
      </c>
      <c r="C3404" t="s">
        <v>154</v>
      </c>
      <c r="D3404">
        <v>950703</v>
      </c>
      <c r="E3404">
        <v>72340</v>
      </c>
      <c r="F3404">
        <v>44313</v>
      </c>
    </row>
    <row r="3405" spans="1:6">
      <c r="A3405" t="s">
        <v>4449</v>
      </c>
      <c r="B3405">
        <v>379</v>
      </c>
      <c r="C3405" t="s">
        <v>1043</v>
      </c>
      <c r="D3405">
        <v>2852109</v>
      </c>
      <c r="E3405">
        <v>72340</v>
      </c>
      <c r="F3405">
        <v>44313</v>
      </c>
    </row>
    <row r="3406" spans="1:6">
      <c r="A3406" t="s">
        <v>4450</v>
      </c>
      <c r="B3406">
        <v>379</v>
      </c>
      <c r="C3406" t="s">
        <v>1045</v>
      </c>
      <c r="D3406">
        <v>1711266</v>
      </c>
      <c r="E3406">
        <v>72340</v>
      </c>
      <c r="F3406">
        <v>44313</v>
      </c>
    </row>
    <row r="3407" spans="1:6">
      <c r="A3407" t="s">
        <v>4451</v>
      </c>
      <c r="B3407">
        <v>379</v>
      </c>
      <c r="C3407" t="s">
        <v>1047</v>
      </c>
      <c r="D3407">
        <v>475352</v>
      </c>
      <c r="E3407">
        <v>72340</v>
      </c>
      <c r="F3407">
        <v>44313</v>
      </c>
    </row>
    <row r="3408" spans="1:6">
      <c r="A3408" t="s">
        <v>4452</v>
      </c>
      <c r="B3408">
        <v>379</v>
      </c>
      <c r="C3408" t="s">
        <v>1049</v>
      </c>
      <c r="D3408">
        <v>142606</v>
      </c>
      <c r="E3408">
        <v>72340</v>
      </c>
      <c r="F3408">
        <v>44313</v>
      </c>
    </row>
    <row r="3409" spans="1:6">
      <c r="A3409" t="s">
        <v>4453</v>
      </c>
      <c r="B3409">
        <v>379</v>
      </c>
      <c r="C3409" t="s">
        <v>745</v>
      </c>
      <c r="D3409">
        <v>3802812</v>
      </c>
      <c r="E3409">
        <v>72340</v>
      </c>
      <c r="F3409">
        <v>44313</v>
      </c>
    </row>
    <row r="3410" spans="1:6">
      <c r="A3410" t="s">
        <v>4454</v>
      </c>
      <c r="B3410">
        <v>379</v>
      </c>
      <c r="C3410" t="s">
        <v>1052</v>
      </c>
      <c r="D3410">
        <v>8556327</v>
      </c>
      <c r="E3410">
        <v>72340</v>
      </c>
      <c r="F3410">
        <v>44313</v>
      </c>
    </row>
    <row r="3411" spans="1:6">
      <c r="A3411" t="s">
        <v>4455</v>
      </c>
      <c r="B3411">
        <v>379</v>
      </c>
      <c r="C3411" t="s">
        <v>164</v>
      </c>
      <c r="D3411">
        <v>97206970</v>
      </c>
      <c r="E3411">
        <v>77694</v>
      </c>
      <c r="F3411">
        <v>44313</v>
      </c>
    </row>
    <row r="3412" spans="1:6">
      <c r="A3412" t="s">
        <v>4456</v>
      </c>
      <c r="B3412">
        <v>379</v>
      </c>
      <c r="C3412" t="s">
        <v>651</v>
      </c>
      <c r="D3412">
        <v>48603485</v>
      </c>
      <c r="E3412">
        <v>77694</v>
      </c>
      <c r="F3412">
        <v>44313</v>
      </c>
    </row>
    <row r="3413" spans="1:6">
      <c r="A3413" t="s">
        <v>4457</v>
      </c>
      <c r="B3413">
        <v>380</v>
      </c>
      <c r="C3413" t="s">
        <v>154</v>
      </c>
      <c r="D3413">
        <v>958349</v>
      </c>
      <c r="E3413">
        <v>72800</v>
      </c>
      <c r="F3413">
        <v>44474</v>
      </c>
    </row>
    <row r="3414" spans="1:6">
      <c r="A3414" t="s">
        <v>4458</v>
      </c>
      <c r="B3414">
        <v>380</v>
      </c>
      <c r="C3414" t="s">
        <v>1043</v>
      </c>
      <c r="D3414">
        <v>2875047</v>
      </c>
      <c r="E3414">
        <v>72800</v>
      </c>
      <c r="F3414">
        <v>44474</v>
      </c>
    </row>
    <row r="3415" spans="1:6">
      <c r="A3415" t="s">
        <v>4459</v>
      </c>
      <c r="B3415">
        <v>380</v>
      </c>
      <c r="C3415" t="s">
        <v>1045</v>
      </c>
      <c r="D3415">
        <v>1725029</v>
      </c>
      <c r="E3415">
        <v>72800</v>
      </c>
      <c r="F3415">
        <v>44474</v>
      </c>
    </row>
    <row r="3416" spans="1:6">
      <c r="A3416" t="s">
        <v>4460</v>
      </c>
      <c r="B3416">
        <v>380</v>
      </c>
      <c r="C3416" t="s">
        <v>1047</v>
      </c>
      <c r="D3416">
        <v>479175</v>
      </c>
      <c r="E3416">
        <v>72800</v>
      </c>
      <c r="F3416">
        <v>44474</v>
      </c>
    </row>
    <row r="3417" spans="1:6">
      <c r="A3417" t="s">
        <v>4461</v>
      </c>
      <c r="B3417">
        <v>380</v>
      </c>
      <c r="C3417" t="s">
        <v>1049</v>
      </c>
      <c r="D3417">
        <v>143753</v>
      </c>
      <c r="E3417">
        <v>72800</v>
      </c>
      <c r="F3417">
        <v>44474</v>
      </c>
    </row>
    <row r="3418" spans="1:6">
      <c r="A3418" t="s">
        <v>4462</v>
      </c>
      <c r="B3418">
        <v>380</v>
      </c>
      <c r="C3418" t="s">
        <v>745</v>
      </c>
      <c r="D3418">
        <v>3833396</v>
      </c>
      <c r="E3418">
        <v>72800</v>
      </c>
      <c r="F3418">
        <v>44474</v>
      </c>
    </row>
    <row r="3419" spans="1:6">
      <c r="A3419" t="s">
        <v>4463</v>
      </c>
      <c r="B3419">
        <v>380</v>
      </c>
      <c r="C3419" t="s">
        <v>1052</v>
      </c>
      <c r="D3419">
        <v>8625141</v>
      </c>
      <c r="E3419">
        <v>72800</v>
      </c>
      <c r="F3419">
        <v>44474</v>
      </c>
    </row>
    <row r="3420" spans="1:6">
      <c r="A3420" t="s">
        <v>4464</v>
      </c>
      <c r="B3420">
        <v>380</v>
      </c>
      <c r="C3420" t="s">
        <v>164</v>
      </c>
      <c r="D3420">
        <v>98049286</v>
      </c>
      <c r="E3420">
        <v>78172</v>
      </c>
      <c r="F3420">
        <v>44474</v>
      </c>
    </row>
    <row r="3421" spans="1:6">
      <c r="A3421" t="s">
        <v>4465</v>
      </c>
      <c r="B3421">
        <v>380</v>
      </c>
      <c r="C3421" t="s">
        <v>651</v>
      </c>
      <c r="D3421">
        <v>49024643</v>
      </c>
      <c r="E3421">
        <v>78172</v>
      </c>
      <c r="F3421">
        <v>44474</v>
      </c>
    </row>
    <row r="3422" spans="1:6">
      <c r="A3422" t="s">
        <v>4466</v>
      </c>
      <c r="B3422">
        <v>381</v>
      </c>
      <c r="C3422" t="s">
        <v>154</v>
      </c>
      <c r="D3422">
        <v>966044</v>
      </c>
      <c r="E3422">
        <v>73263</v>
      </c>
      <c r="F3422">
        <v>44634</v>
      </c>
    </row>
    <row r="3423" spans="1:6">
      <c r="A3423" t="s">
        <v>4467</v>
      </c>
      <c r="B3423">
        <v>381</v>
      </c>
      <c r="C3423" t="s">
        <v>1043</v>
      </c>
      <c r="D3423">
        <v>2898132</v>
      </c>
      <c r="E3423">
        <v>73263</v>
      </c>
      <c r="F3423">
        <v>44634</v>
      </c>
    </row>
    <row r="3424" spans="1:6">
      <c r="A3424" t="s">
        <v>4468</v>
      </c>
      <c r="B3424">
        <v>381</v>
      </c>
      <c r="C3424" t="s">
        <v>1045</v>
      </c>
      <c r="D3424">
        <v>1738880</v>
      </c>
      <c r="E3424">
        <v>73263</v>
      </c>
      <c r="F3424">
        <v>44634</v>
      </c>
    </row>
    <row r="3425" spans="1:6">
      <c r="A3425" t="s">
        <v>4469</v>
      </c>
      <c r="B3425">
        <v>381</v>
      </c>
      <c r="C3425" t="s">
        <v>1047</v>
      </c>
      <c r="D3425">
        <v>483022</v>
      </c>
      <c r="E3425">
        <v>73263</v>
      </c>
      <c r="F3425">
        <v>44634</v>
      </c>
    </row>
    <row r="3426" spans="1:6">
      <c r="A3426" t="s">
        <v>4470</v>
      </c>
      <c r="B3426">
        <v>381</v>
      </c>
      <c r="C3426" t="s">
        <v>1049</v>
      </c>
      <c r="D3426">
        <v>144907</v>
      </c>
      <c r="E3426">
        <v>73263</v>
      </c>
      <c r="F3426">
        <v>44634</v>
      </c>
    </row>
    <row r="3427" spans="1:6">
      <c r="A3427" t="s">
        <v>4471</v>
      </c>
      <c r="B3427">
        <v>381</v>
      </c>
      <c r="C3427" t="s">
        <v>745</v>
      </c>
      <c r="D3427">
        <v>3864176</v>
      </c>
      <c r="E3427">
        <v>73263</v>
      </c>
      <c r="F3427">
        <v>44634</v>
      </c>
    </row>
    <row r="3428" spans="1:6">
      <c r="A3428" t="s">
        <v>4472</v>
      </c>
      <c r="B3428">
        <v>381</v>
      </c>
      <c r="C3428" t="s">
        <v>1052</v>
      </c>
      <c r="D3428">
        <v>8694396</v>
      </c>
      <c r="E3428">
        <v>73263</v>
      </c>
      <c r="F3428">
        <v>44634</v>
      </c>
    </row>
    <row r="3429" spans="1:6">
      <c r="A3429" t="s">
        <v>4473</v>
      </c>
      <c r="B3429">
        <v>381</v>
      </c>
      <c r="C3429" t="s">
        <v>164</v>
      </c>
      <c r="D3429">
        <v>98897467</v>
      </c>
      <c r="E3429">
        <v>78653</v>
      </c>
      <c r="F3429">
        <v>44634</v>
      </c>
    </row>
    <row r="3430" spans="1:6">
      <c r="A3430" t="s">
        <v>4474</v>
      </c>
      <c r="B3430">
        <v>381</v>
      </c>
      <c r="C3430" t="s">
        <v>651</v>
      </c>
      <c r="D3430">
        <v>49448733</v>
      </c>
      <c r="E3430">
        <v>78653</v>
      </c>
      <c r="F3430">
        <v>44634</v>
      </c>
    </row>
    <row r="3431" spans="1:6">
      <c r="A3431" t="s">
        <v>4475</v>
      </c>
      <c r="B3431">
        <v>382</v>
      </c>
      <c r="C3431" t="s">
        <v>154</v>
      </c>
      <c r="D3431">
        <v>973786</v>
      </c>
      <c r="E3431">
        <v>73727</v>
      </c>
      <c r="F3431">
        <v>44795</v>
      </c>
    </row>
    <row r="3432" spans="1:6">
      <c r="A3432" t="s">
        <v>4476</v>
      </c>
      <c r="B3432">
        <v>382</v>
      </c>
      <c r="C3432" t="s">
        <v>1043</v>
      </c>
      <c r="D3432">
        <v>2921358</v>
      </c>
      <c r="E3432">
        <v>73727</v>
      </c>
      <c r="F3432">
        <v>44795</v>
      </c>
    </row>
    <row r="3433" spans="1:6">
      <c r="A3433" t="s">
        <v>4477</v>
      </c>
      <c r="B3433">
        <v>382</v>
      </c>
      <c r="C3433" t="s">
        <v>1045</v>
      </c>
      <c r="D3433">
        <v>1752815</v>
      </c>
      <c r="E3433">
        <v>73727</v>
      </c>
      <c r="F3433">
        <v>44795</v>
      </c>
    </row>
    <row r="3434" spans="1:6">
      <c r="A3434" t="s">
        <v>4478</v>
      </c>
      <c r="B3434">
        <v>382</v>
      </c>
      <c r="C3434" t="s">
        <v>1047</v>
      </c>
      <c r="D3434">
        <v>486893</v>
      </c>
      <c r="E3434">
        <v>73727</v>
      </c>
      <c r="F3434">
        <v>44795</v>
      </c>
    </row>
    <row r="3435" spans="1:6">
      <c r="A3435" t="s">
        <v>4479</v>
      </c>
      <c r="B3435">
        <v>382</v>
      </c>
      <c r="C3435" t="s">
        <v>1049</v>
      </c>
      <c r="D3435">
        <v>146068</v>
      </c>
      <c r="E3435">
        <v>73727</v>
      </c>
      <c r="F3435">
        <v>44795</v>
      </c>
    </row>
    <row r="3436" spans="1:6">
      <c r="A3436" t="s">
        <v>4480</v>
      </c>
      <c r="B3436">
        <v>382</v>
      </c>
      <c r="C3436" t="s">
        <v>745</v>
      </c>
      <c r="D3436">
        <v>3895144</v>
      </c>
      <c r="E3436">
        <v>73727</v>
      </c>
      <c r="F3436">
        <v>44795</v>
      </c>
    </row>
    <row r="3437" spans="1:6">
      <c r="A3437" t="s">
        <v>4481</v>
      </c>
      <c r="B3437">
        <v>382</v>
      </c>
      <c r="C3437" t="s">
        <v>1052</v>
      </c>
      <c r="D3437">
        <v>8764074</v>
      </c>
      <c r="E3437">
        <v>73727</v>
      </c>
      <c r="F3437">
        <v>44795</v>
      </c>
    </row>
    <row r="3438" spans="1:6">
      <c r="A3438" t="s">
        <v>4482</v>
      </c>
      <c r="B3438">
        <v>382</v>
      </c>
      <c r="C3438" t="s">
        <v>164</v>
      </c>
      <c r="D3438">
        <v>99751614</v>
      </c>
      <c r="E3438">
        <v>79136</v>
      </c>
      <c r="F3438">
        <v>44795</v>
      </c>
    </row>
    <row r="3439" spans="1:6">
      <c r="A3439" t="s">
        <v>4483</v>
      </c>
      <c r="B3439">
        <v>382</v>
      </c>
      <c r="C3439" t="s">
        <v>651</v>
      </c>
      <c r="D3439">
        <v>49875807</v>
      </c>
      <c r="E3439">
        <v>79136</v>
      </c>
      <c r="F3439">
        <v>44795</v>
      </c>
    </row>
    <row r="3440" spans="1:6">
      <c r="A3440" t="s">
        <v>4484</v>
      </c>
      <c r="B3440">
        <v>383</v>
      </c>
      <c r="C3440" t="s">
        <v>154</v>
      </c>
      <c r="D3440">
        <v>981578</v>
      </c>
      <c r="E3440">
        <v>74195</v>
      </c>
      <c r="F3440">
        <v>44955</v>
      </c>
    </row>
    <row r="3441" spans="1:6">
      <c r="A3441" t="s">
        <v>4485</v>
      </c>
      <c r="B3441">
        <v>383</v>
      </c>
      <c r="C3441" t="s">
        <v>1043</v>
      </c>
      <c r="D3441">
        <v>2944734</v>
      </c>
      <c r="E3441">
        <v>74195</v>
      </c>
      <c r="F3441">
        <v>44955</v>
      </c>
    </row>
    <row r="3442" spans="1:6">
      <c r="A3442" t="s">
        <v>4486</v>
      </c>
      <c r="B3442">
        <v>383</v>
      </c>
      <c r="C3442" t="s">
        <v>1045</v>
      </c>
      <c r="D3442">
        <v>1766841</v>
      </c>
      <c r="E3442">
        <v>74195</v>
      </c>
      <c r="F3442">
        <v>44955</v>
      </c>
    </row>
    <row r="3443" spans="1:6">
      <c r="A3443" t="s">
        <v>4487</v>
      </c>
      <c r="B3443">
        <v>383</v>
      </c>
      <c r="C3443" t="s">
        <v>1047</v>
      </c>
      <c r="D3443">
        <v>490789</v>
      </c>
      <c r="E3443">
        <v>74195</v>
      </c>
      <c r="F3443">
        <v>44955</v>
      </c>
    </row>
    <row r="3444" spans="1:6">
      <c r="A3444" t="s">
        <v>4488</v>
      </c>
      <c r="B3444">
        <v>383</v>
      </c>
      <c r="C3444" t="s">
        <v>1049</v>
      </c>
      <c r="D3444">
        <v>147237</v>
      </c>
      <c r="E3444">
        <v>74195</v>
      </c>
      <c r="F3444">
        <v>44955</v>
      </c>
    </row>
    <row r="3445" spans="1:6">
      <c r="A3445" t="s">
        <v>4489</v>
      </c>
      <c r="B3445">
        <v>383</v>
      </c>
      <c r="C3445" t="s">
        <v>745</v>
      </c>
      <c r="D3445">
        <v>3926312</v>
      </c>
      <c r="E3445">
        <v>74195</v>
      </c>
      <c r="F3445">
        <v>44955</v>
      </c>
    </row>
    <row r="3446" spans="1:6">
      <c r="A3446" t="s">
        <v>4490</v>
      </c>
      <c r="B3446">
        <v>383</v>
      </c>
      <c r="C3446" t="s">
        <v>1052</v>
      </c>
      <c r="D3446">
        <v>8834202</v>
      </c>
      <c r="E3446">
        <v>74195</v>
      </c>
      <c r="F3446">
        <v>44955</v>
      </c>
    </row>
    <row r="3447" spans="1:6">
      <c r="A3447" t="s">
        <v>4491</v>
      </c>
      <c r="B3447">
        <v>383</v>
      </c>
      <c r="C3447" t="s">
        <v>164</v>
      </c>
      <c r="D3447">
        <v>100611729</v>
      </c>
      <c r="E3447">
        <v>79622</v>
      </c>
      <c r="F3447">
        <v>44955</v>
      </c>
    </row>
    <row r="3448" spans="1:6">
      <c r="A3448" t="s">
        <v>4492</v>
      </c>
      <c r="B3448">
        <v>383</v>
      </c>
      <c r="C3448" t="s">
        <v>651</v>
      </c>
      <c r="D3448">
        <v>50305865</v>
      </c>
      <c r="E3448">
        <v>79622</v>
      </c>
      <c r="F3448">
        <v>44955</v>
      </c>
    </row>
    <row r="3449" spans="1:6">
      <c r="A3449" t="s">
        <v>4493</v>
      </c>
      <c r="B3449">
        <v>384</v>
      </c>
      <c r="C3449" t="s">
        <v>154</v>
      </c>
      <c r="D3449">
        <v>989419</v>
      </c>
      <c r="E3449">
        <v>74664</v>
      </c>
      <c r="F3449">
        <v>45116</v>
      </c>
    </row>
    <row r="3450" spans="1:6">
      <c r="A3450" t="s">
        <v>4494</v>
      </c>
      <c r="B3450">
        <v>384</v>
      </c>
      <c r="C3450" t="s">
        <v>1043</v>
      </c>
      <c r="D3450">
        <v>2968257</v>
      </c>
      <c r="E3450">
        <v>74664</v>
      </c>
      <c r="F3450">
        <v>45116</v>
      </c>
    </row>
    <row r="3451" spans="1:6">
      <c r="A3451" t="s">
        <v>4495</v>
      </c>
      <c r="B3451">
        <v>384</v>
      </c>
      <c r="C3451" t="s">
        <v>1045</v>
      </c>
      <c r="D3451">
        <v>1780955</v>
      </c>
      <c r="E3451">
        <v>74664</v>
      </c>
      <c r="F3451">
        <v>45116</v>
      </c>
    </row>
    <row r="3452" spans="1:6">
      <c r="A3452" t="s">
        <v>4496</v>
      </c>
      <c r="B3452">
        <v>384</v>
      </c>
      <c r="C3452" t="s">
        <v>1047</v>
      </c>
      <c r="D3452">
        <v>494710</v>
      </c>
      <c r="E3452">
        <v>74664</v>
      </c>
      <c r="F3452">
        <v>45116</v>
      </c>
    </row>
    <row r="3453" spans="1:6">
      <c r="A3453" t="s">
        <v>4497</v>
      </c>
      <c r="B3453">
        <v>384</v>
      </c>
      <c r="C3453" t="s">
        <v>1049</v>
      </c>
      <c r="D3453">
        <v>148413</v>
      </c>
      <c r="E3453">
        <v>74664</v>
      </c>
      <c r="F3453">
        <v>45116</v>
      </c>
    </row>
    <row r="3454" spans="1:6">
      <c r="A3454" t="s">
        <v>4498</v>
      </c>
      <c r="B3454">
        <v>384</v>
      </c>
      <c r="C3454" t="s">
        <v>745</v>
      </c>
      <c r="D3454">
        <v>3957676</v>
      </c>
      <c r="E3454">
        <v>74664</v>
      </c>
      <c r="F3454">
        <v>45116</v>
      </c>
    </row>
    <row r="3455" spans="1:6">
      <c r="A3455" t="s">
        <v>4499</v>
      </c>
      <c r="B3455">
        <v>384</v>
      </c>
      <c r="C3455" t="s">
        <v>1052</v>
      </c>
      <c r="D3455">
        <v>8904771</v>
      </c>
      <c r="E3455">
        <v>74664</v>
      </c>
      <c r="F3455">
        <v>45116</v>
      </c>
    </row>
    <row r="3456" spans="1:6">
      <c r="A3456" t="s">
        <v>4500</v>
      </c>
      <c r="B3456">
        <v>384</v>
      </c>
      <c r="C3456" t="s">
        <v>164</v>
      </c>
      <c r="D3456">
        <v>101477811</v>
      </c>
      <c r="E3456">
        <v>80110</v>
      </c>
      <c r="F3456">
        <v>45116</v>
      </c>
    </row>
    <row r="3457" spans="1:6">
      <c r="A3457" t="s">
        <v>4501</v>
      </c>
      <c r="B3457">
        <v>384</v>
      </c>
      <c r="C3457" t="s">
        <v>651</v>
      </c>
      <c r="D3457">
        <v>50738906</v>
      </c>
      <c r="E3457">
        <v>80110</v>
      </c>
      <c r="F3457">
        <v>45116</v>
      </c>
    </row>
    <row r="3458" spans="1:6">
      <c r="A3458" t="s">
        <v>4502</v>
      </c>
      <c r="B3458">
        <v>385</v>
      </c>
      <c r="C3458" t="s">
        <v>154</v>
      </c>
      <c r="D3458">
        <v>997310</v>
      </c>
      <c r="E3458">
        <v>75135</v>
      </c>
      <c r="F3458">
        <v>45278</v>
      </c>
    </row>
    <row r="3459" spans="1:6">
      <c r="A3459" t="s">
        <v>4503</v>
      </c>
      <c r="B3459">
        <v>385</v>
      </c>
      <c r="C3459" t="s">
        <v>1043</v>
      </c>
      <c r="D3459">
        <v>2991930</v>
      </c>
      <c r="E3459">
        <v>75135</v>
      </c>
      <c r="F3459">
        <v>45278</v>
      </c>
    </row>
    <row r="3460" spans="1:6">
      <c r="A3460" t="s">
        <v>4504</v>
      </c>
      <c r="B3460">
        <v>385</v>
      </c>
      <c r="C3460" t="s">
        <v>1045</v>
      </c>
      <c r="D3460">
        <v>1795158</v>
      </c>
      <c r="E3460">
        <v>75135</v>
      </c>
      <c r="F3460">
        <v>45278</v>
      </c>
    </row>
    <row r="3461" spans="1:6">
      <c r="A3461" t="s">
        <v>4505</v>
      </c>
      <c r="B3461">
        <v>385</v>
      </c>
      <c r="C3461" t="s">
        <v>1047</v>
      </c>
      <c r="D3461">
        <v>498655</v>
      </c>
      <c r="E3461">
        <v>75135</v>
      </c>
      <c r="F3461">
        <v>45278</v>
      </c>
    </row>
    <row r="3462" spans="1:6">
      <c r="A3462" t="s">
        <v>4506</v>
      </c>
      <c r="B3462">
        <v>385</v>
      </c>
      <c r="C3462" t="s">
        <v>1049</v>
      </c>
      <c r="D3462">
        <v>149597</v>
      </c>
      <c r="E3462">
        <v>75135</v>
      </c>
      <c r="F3462">
        <v>45278</v>
      </c>
    </row>
    <row r="3463" spans="1:6">
      <c r="A3463" t="s">
        <v>4507</v>
      </c>
      <c r="B3463">
        <v>385</v>
      </c>
      <c r="C3463" t="s">
        <v>745</v>
      </c>
      <c r="D3463">
        <v>3989240</v>
      </c>
      <c r="E3463">
        <v>75135</v>
      </c>
      <c r="F3463">
        <v>45278</v>
      </c>
    </row>
    <row r="3464" spans="1:6">
      <c r="A3464" t="s">
        <v>4508</v>
      </c>
      <c r="B3464">
        <v>385</v>
      </c>
      <c r="C3464" t="s">
        <v>1052</v>
      </c>
      <c r="D3464">
        <v>8975790</v>
      </c>
      <c r="E3464">
        <v>75135</v>
      </c>
      <c r="F3464">
        <v>45278</v>
      </c>
    </row>
    <row r="3465" spans="1:6">
      <c r="A3465" t="s">
        <v>4509</v>
      </c>
      <c r="B3465">
        <v>385</v>
      </c>
      <c r="C3465" t="s">
        <v>164</v>
      </c>
      <c r="D3465">
        <v>102349962</v>
      </c>
      <c r="E3465">
        <v>80600</v>
      </c>
      <c r="F3465">
        <v>45278</v>
      </c>
    </row>
    <row r="3466" spans="1:6">
      <c r="A3466" t="s">
        <v>4510</v>
      </c>
      <c r="B3466">
        <v>385</v>
      </c>
      <c r="C3466" t="s">
        <v>651</v>
      </c>
      <c r="D3466">
        <v>51174981</v>
      </c>
      <c r="E3466">
        <v>80600</v>
      </c>
      <c r="F3466">
        <v>45278</v>
      </c>
    </row>
    <row r="3467" spans="1:6">
      <c r="A3467" t="s">
        <v>4511</v>
      </c>
      <c r="B3467">
        <v>386</v>
      </c>
      <c r="C3467" t="s">
        <v>154</v>
      </c>
      <c r="D3467">
        <v>1005249</v>
      </c>
      <c r="E3467">
        <v>75610</v>
      </c>
      <c r="F3467">
        <v>45439</v>
      </c>
    </row>
    <row r="3468" spans="1:6">
      <c r="A3468" t="s">
        <v>4512</v>
      </c>
      <c r="B3468">
        <v>386</v>
      </c>
      <c r="C3468" t="s">
        <v>1043</v>
      </c>
      <c r="D3468">
        <v>3015747</v>
      </c>
      <c r="E3468">
        <v>75610</v>
      </c>
      <c r="F3468">
        <v>45439</v>
      </c>
    </row>
    <row r="3469" spans="1:6">
      <c r="A3469" t="s">
        <v>4513</v>
      </c>
      <c r="B3469">
        <v>386</v>
      </c>
      <c r="C3469" t="s">
        <v>1045</v>
      </c>
      <c r="D3469">
        <v>1809449</v>
      </c>
      <c r="E3469">
        <v>75610</v>
      </c>
      <c r="F3469">
        <v>45439</v>
      </c>
    </row>
    <row r="3470" spans="1:6">
      <c r="A3470" t="s">
        <v>4514</v>
      </c>
      <c r="B3470">
        <v>386</v>
      </c>
      <c r="C3470" t="s">
        <v>1047</v>
      </c>
      <c r="D3470">
        <v>502625</v>
      </c>
      <c r="E3470">
        <v>75610</v>
      </c>
      <c r="F3470">
        <v>45439</v>
      </c>
    </row>
    <row r="3471" spans="1:6">
      <c r="A3471" t="s">
        <v>4515</v>
      </c>
      <c r="B3471">
        <v>386</v>
      </c>
      <c r="C3471" t="s">
        <v>1049</v>
      </c>
      <c r="D3471">
        <v>150788</v>
      </c>
      <c r="E3471">
        <v>75610</v>
      </c>
      <c r="F3471">
        <v>45439</v>
      </c>
    </row>
    <row r="3472" spans="1:6">
      <c r="A3472" t="s">
        <v>4516</v>
      </c>
      <c r="B3472">
        <v>386</v>
      </c>
      <c r="C3472" t="s">
        <v>745</v>
      </c>
      <c r="D3472">
        <v>4020996</v>
      </c>
      <c r="E3472">
        <v>75610</v>
      </c>
      <c r="F3472">
        <v>45439</v>
      </c>
    </row>
    <row r="3473" spans="1:6">
      <c r="A3473" t="s">
        <v>4517</v>
      </c>
      <c r="B3473">
        <v>386</v>
      </c>
      <c r="C3473" t="s">
        <v>1052</v>
      </c>
      <c r="D3473">
        <v>9047241</v>
      </c>
      <c r="E3473">
        <v>75610</v>
      </c>
      <c r="F3473">
        <v>45439</v>
      </c>
    </row>
    <row r="3474" spans="1:6">
      <c r="A3474" t="s">
        <v>4518</v>
      </c>
      <c r="B3474">
        <v>386</v>
      </c>
      <c r="C3474" t="s">
        <v>164</v>
      </c>
      <c r="D3474">
        <v>103228131</v>
      </c>
      <c r="E3474">
        <v>81093</v>
      </c>
      <c r="F3474">
        <v>45439</v>
      </c>
    </row>
    <row r="3475" spans="1:6">
      <c r="A3475" t="s">
        <v>4519</v>
      </c>
      <c r="B3475">
        <v>386</v>
      </c>
      <c r="C3475" t="s">
        <v>651</v>
      </c>
      <c r="D3475">
        <v>51614066</v>
      </c>
      <c r="E3475">
        <v>81093</v>
      </c>
      <c r="F3475">
        <v>45439</v>
      </c>
    </row>
    <row r="3476" spans="1:6">
      <c r="A3476" t="s">
        <v>4520</v>
      </c>
      <c r="B3476">
        <v>387</v>
      </c>
      <c r="C3476" t="s">
        <v>154</v>
      </c>
      <c r="D3476">
        <v>1013239</v>
      </c>
      <c r="E3476">
        <v>76086</v>
      </c>
      <c r="F3476">
        <v>45601</v>
      </c>
    </row>
    <row r="3477" spans="1:6">
      <c r="A3477" t="s">
        <v>4521</v>
      </c>
      <c r="B3477">
        <v>387</v>
      </c>
      <c r="C3477" t="s">
        <v>1043</v>
      </c>
      <c r="D3477">
        <v>3039717</v>
      </c>
      <c r="E3477">
        <v>76086</v>
      </c>
      <c r="F3477">
        <v>45601</v>
      </c>
    </row>
    <row r="3478" spans="1:6">
      <c r="A3478" t="s">
        <v>4522</v>
      </c>
      <c r="B3478">
        <v>387</v>
      </c>
      <c r="C3478" t="s">
        <v>1045</v>
      </c>
      <c r="D3478">
        <v>1823831</v>
      </c>
      <c r="E3478">
        <v>76086</v>
      </c>
      <c r="F3478">
        <v>45601</v>
      </c>
    </row>
    <row r="3479" spans="1:6">
      <c r="A3479" t="s">
        <v>4523</v>
      </c>
      <c r="B3479">
        <v>387</v>
      </c>
      <c r="C3479" t="s">
        <v>1047</v>
      </c>
      <c r="D3479">
        <v>506620</v>
      </c>
      <c r="E3479">
        <v>76086</v>
      </c>
      <c r="F3479">
        <v>45601</v>
      </c>
    </row>
    <row r="3480" spans="1:6">
      <c r="A3480" t="s">
        <v>4524</v>
      </c>
      <c r="B3480">
        <v>387</v>
      </c>
      <c r="C3480" t="s">
        <v>1049</v>
      </c>
      <c r="D3480">
        <v>151986</v>
      </c>
      <c r="E3480">
        <v>76086</v>
      </c>
      <c r="F3480">
        <v>45601</v>
      </c>
    </row>
    <row r="3481" spans="1:6">
      <c r="A3481" t="s">
        <v>4525</v>
      </c>
      <c r="B3481">
        <v>387</v>
      </c>
      <c r="C3481" t="s">
        <v>745</v>
      </c>
      <c r="D3481">
        <v>4052956</v>
      </c>
      <c r="E3481">
        <v>76086</v>
      </c>
      <c r="F3481">
        <v>45601</v>
      </c>
    </row>
    <row r="3482" spans="1:6">
      <c r="A3482" t="s">
        <v>4526</v>
      </c>
      <c r="B3482">
        <v>387</v>
      </c>
      <c r="C3482" t="s">
        <v>1052</v>
      </c>
      <c r="D3482">
        <v>9119151</v>
      </c>
      <c r="E3482">
        <v>76086</v>
      </c>
      <c r="F3482">
        <v>45601</v>
      </c>
    </row>
    <row r="3483" spans="1:6">
      <c r="A3483" t="s">
        <v>4527</v>
      </c>
      <c r="B3483">
        <v>387</v>
      </c>
      <c r="C3483" t="s">
        <v>164</v>
      </c>
      <c r="D3483">
        <v>104112420</v>
      </c>
      <c r="E3483">
        <v>81588</v>
      </c>
      <c r="F3483">
        <v>45601</v>
      </c>
    </row>
    <row r="3484" spans="1:6">
      <c r="A3484" t="s">
        <v>4528</v>
      </c>
      <c r="B3484">
        <v>387</v>
      </c>
      <c r="C3484" t="s">
        <v>651</v>
      </c>
      <c r="D3484">
        <v>52056210</v>
      </c>
      <c r="E3484">
        <v>81588</v>
      </c>
      <c r="F3484">
        <v>45601</v>
      </c>
    </row>
    <row r="3485" spans="1:6">
      <c r="A3485" t="s">
        <v>4529</v>
      </c>
      <c r="B3485">
        <v>388</v>
      </c>
      <c r="C3485" t="s">
        <v>154</v>
      </c>
      <c r="D3485">
        <v>1021279</v>
      </c>
      <c r="E3485">
        <v>76566</v>
      </c>
      <c r="F3485">
        <v>45763</v>
      </c>
    </row>
    <row r="3486" spans="1:6">
      <c r="A3486" t="s">
        <v>4530</v>
      </c>
      <c r="B3486">
        <v>388</v>
      </c>
      <c r="C3486" t="s">
        <v>1043</v>
      </c>
      <c r="D3486">
        <v>3063837</v>
      </c>
      <c r="E3486">
        <v>76566</v>
      </c>
      <c r="F3486">
        <v>45763</v>
      </c>
    </row>
    <row r="3487" spans="1:6">
      <c r="A3487" t="s">
        <v>4531</v>
      </c>
      <c r="B3487">
        <v>388</v>
      </c>
      <c r="C3487" t="s">
        <v>1045</v>
      </c>
      <c r="D3487">
        <v>1838303</v>
      </c>
      <c r="E3487">
        <v>76566</v>
      </c>
      <c r="F3487">
        <v>45763</v>
      </c>
    </row>
    <row r="3488" spans="1:6">
      <c r="A3488" t="s">
        <v>4532</v>
      </c>
      <c r="B3488">
        <v>388</v>
      </c>
      <c r="C3488" t="s">
        <v>1047</v>
      </c>
      <c r="D3488">
        <v>510640</v>
      </c>
      <c r="E3488">
        <v>76566</v>
      </c>
      <c r="F3488">
        <v>45763</v>
      </c>
    </row>
    <row r="3489" spans="1:6">
      <c r="A3489" t="s">
        <v>4533</v>
      </c>
      <c r="B3489">
        <v>388</v>
      </c>
      <c r="C3489" t="s">
        <v>1049</v>
      </c>
      <c r="D3489">
        <v>153192</v>
      </c>
      <c r="E3489">
        <v>76566</v>
      </c>
      <c r="F3489">
        <v>45763</v>
      </c>
    </row>
    <row r="3490" spans="1:6">
      <c r="A3490" t="s">
        <v>4534</v>
      </c>
      <c r="B3490">
        <v>388</v>
      </c>
      <c r="C3490" t="s">
        <v>745</v>
      </c>
      <c r="D3490">
        <v>4085116</v>
      </c>
      <c r="E3490">
        <v>76566</v>
      </c>
      <c r="F3490">
        <v>45763</v>
      </c>
    </row>
    <row r="3491" spans="1:6">
      <c r="A3491" t="s">
        <v>4535</v>
      </c>
      <c r="B3491">
        <v>388</v>
      </c>
      <c r="C3491" t="s">
        <v>1052</v>
      </c>
      <c r="D3491">
        <v>9191511</v>
      </c>
      <c r="E3491">
        <v>76566</v>
      </c>
      <c r="F3491">
        <v>45763</v>
      </c>
    </row>
    <row r="3492" spans="1:6">
      <c r="A3492" t="s">
        <v>4536</v>
      </c>
      <c r="B3492">
        <v>388</v>
      </c>
      <c r="C3492" t="s">
        <v>164</v>
      </c>
      <c r="D3492">
        <v>105002880</v>
      </c>
      <c r="E3492">
        <v>82086</v>
      </c>
      <c r="F3492">
        <v>45763</v>
      </c>
    </row>
    <row r="3493" spans="1:6">
      <c r="A3493" t="s">
        <v>4537</v>
      </c>
      <c r="B3493">
        <v>388</v>
      </c>
      <c r="C3493" t="s">
        <v>651</v>
      </c>
      <c r="D3493">
        <v>52501440</v>
      </c>
      <c r="E3493">
        <v>82086</v>
      </c>
      <c r="F3493">
        <v>45763</v>
      </c>
    </row>
    <row r="3494" spans="1:6">
      <c r="A3494" t="s">
        <v>4538</v>
      </c>
      <c r="B3494">
        <v>389</v>
      </c>
      <c r="C3494" t="s">
        <v>154</v>
      </c>
      <c r="D3494">
        <v>1029369</v>
      </c>
      <c r="E3494">
        <v>77048</v>
      </c>
      <c r="F3494">
        <v>45925</v>
      </c>
    </row>
    <row r="3495" spans="1:6">
      <c r="A3495" t="s">
        <v>4539</v>
      </c>
      <c r="B3495">
        <v>389</v>
      </c>
      <c r="C3495" t="s">
        <v>1043</v>
      </c>
      <c r="D3495">
        <v>3088107</v>
      </c>
      <c r="E3495">
        <v>77048</v>
      </c>
      <c r="F3495">
        <v>45925</v>
      </c>
    </row>
    <row r="3496" spans="1:6">
      <c r="A3496" t="s">
        <v>4540</v>
      </c>
      <c r="B3496">
        <v>389</v>
      </c>
      <c r="C3496" t="s">
        <v>1045</v>
      </c>
      <c r="D3496">
        <v>1852865</v>
      </c>
      <c r="E3496">
        <v>77048</v>
      </c>
      <c r="F3496">
        <v>45925</v>
      </c>
    </row>
    <row r="3497" spans="1:6">
      <c r="A3497" t="s">
        <v>4541</v>
      </c>
      <c r="B3497">
        <v>389</v>
      </c>
      <c r="C3497" t="s">
        <v>1047</v>
      </c>
      <c r="D3497">
        <v>514685</v>
      </c>
      <c r="E3497">
        <v>77048</v>
      </c>
      <c r="F3497">
        <v>45925</v>
      </c>
    </row>
    <row r="3498" spans="1:6">
      <c r="A3498" t="s">
        <v>4542</v>
      </c>
      <c r="B3498">
        <v>389</v>
      </c>
      <c r="C3498" t="s">
        <v>1049</v>
      </c>
      <c r="D3498">
        <v>154406</v>
      </c>
      <c r="E3498">
        <v>77048</v>
      </c>
      <c r="F3498">
        <v>45925</v>
      </c>
    </row>
    <row r="3499" spans="1:6">
      <c r="A3499" t="s">
        <v>4543</v>
      </c>
      <c r="B3499">
        <v>389</v>
      </c>
      <c r="C3499" t="s">
        <v>745</v>
      </c>
      <c r="D3499">
        <v>4117476</v>
      </c>
      <c r="E3499">
        <v>77048</v>
      </c>
      <c r="F3499">
        <v>45925</v>
      </c>
    </row>
    <row r="3500" spans="1:6">
      <c r="A3500" t="s">
        <v>4544</v>
      </c>
      <c r="B3500">
        <v>389</v>
      </c>
      <c r="C3500" t="s">
        <v>1052</v>
      </c>
      <c r="D3500">
        <v>9264321</v>
      </c>
      <c r="E3500">
        <v>77048</v>
      </c>
      <c r="F3500">
        <v>45925</v>
      </c>
    </row>
    <row r="3501" spans="1:6">
      <c r="A3501" t="s">
        <v>4545</v>
      </c>
      <c r="B3501">
        <v>389</v>
      </c>
      <c r="C3501" t="s">
        <v>164</v>
      </c>
      <c r="D3501">
        <v>105899460</v>
      </c>
      <c r="E3501">
        <v>82587</v>
      </c>
      <c r="F3501">
        <v>45925</v>
      </c>
    </row>
    <row r="3502" spans="1:6">
      <c r="A3502" t="s">
        <v>4546</v>
      </c>
      <c r="B3502">
        <v>389</v>
      </c>
      <c r="C3502" t="s">
        <v>651</v>
      </c>
      <c r="D3502">
        <v>52949730</v>
      </c>
      <c r="E3502">
        <v>82587</v>
      </c>
      <c r="F3502">
        <v>45925</v>
      </c>
    </row>
    <row r="3503" spans="1:6">
      <c r="A3503" t="s">
        <v>4547</v>
      </c>
      <c r="B3503">
        <v>390</v>
      </c>
      <c r="C3503" t="s">
        <v>154</v>
      </c>
      <c r="D3503">
        <v>1037510</v>
      </c>
      <c r="E3503">
        <v>77532</v>
      </c>
      <c r="F3503">
        <v>46087</v>
      </c>
    </row>
    <row r="3504" spans="1:6">
      <c r="A3504" t="s">
        <v>4548</v>
      </c>
      <c r="B3504">
        <v>390</v>
      </c>
      <c r="C3504" t="s">
        <v>1043</v>
      </c>
      <c r="D3504">
        <v>3112530</v>
      </c>
      <c r="E3504">
        <v>77532</v>
      </c>
      <c r="F3504">
        <v>46087</v>
      </c>
    </row>
    <row r="3505" spans="1:6">
      <c r="A3505" t="s">
        <v>4549</v>
      </c>
      <c r="B3505">
        <v>390</v>
      </c>
      <c r="C3505" t="s">
        <v>1045</v>
      </c>
      <c r="D3505">
        <v>1867518</v>
      </c>
      <c r="E3505">
        <v>77532</v>
      </c>
      <c r="F3505">
        <v>46087</v>
      </c>
    </row>
    <row r="3506" spans="1:6">
      <c r="A3506" t="s">
        <v>4550</v>
      </c>
      <c r="B3506">
        <v>390</v>
      </c>
      <c r="C3506" t="s">
        <v>1047</v>
      </c>
      <c r="D3506">
        <v>518755</v>
      </c>
      <c r="E3506">
        <v>77532</v>
      </c>
      <c r="F3506">
        <v>46087</v>
      </c>
    </row>
    <row r="3507" spans="1:6">
      <c r="A3507" t="s">
        <v>4551</v>
      </c>
      <c r="B3507">
        <v>390</v>
      </c>
      <c r="C3507" t="s">
        <v>1049</v>
      </c>
      <c r="D3507">
        <v>155627</v>
      </c>
      <c r="E3507">
        <v>77532</v>
      </c>
      <c r="F3507">
        <v>46087</v>
      </c>
    </row>
    <row r="3508" spans="1:6">
      <c r="A3508" t="s">
        <v>4552</v>
      </c>
      <c r="B3508">
        <v>390</v>
      </c>
      <c r="C3508" t="s">
        <v>745</v>
      </c>
      <c r="D3508">
        <v>4150040</v>
      </c>
      <c r="E3508">
        <v>77532</v>
      </c>
      <c r="F3508">
        <v>46087</v>
      </c>
    </row>
    <row r="3509" spans="1:6">
      <c r="A3509" t="s">
        <v>4553</v>
      </c>
      <c r="B3509">
        <v>390</v>
      </c>
      <c r="C3509" t="s">
        <v>1052</v>
      </c>
      <c r="D3509">
        <v>9337590</v>
      </c>
      <c r="E3509">
        <v>77532</v>
      </c>
      <c r="F3509">
        <v>46087</v>
      </c>
    </row>
    <row r="3510" spans="1:6">
      <c r="A3510" t="s">
        <v>4554</v>
      </c>
      <c r="B3510">
        <v>390</v>
      </c>
      <c r="C3510" t="s">
        <v>164</v>
      </c>
      <c r="D3510">
        <v>106802313</v>
      </c>
      <c r="E3510">
        <v>83090</v>
      </c>
      <c r="F3510">
        <v>46087</v>
      </c>
    </row>
    <row r="3511" spans="1:6">
      <c r="A3511" t="s">
        <v>4555</v>
      </c>
      <c r="B3511">
        <v>390</v>
      </c>
      <c r="C3511" t="s">
        <v>651</v>
      </c>
      <c r="D3511">
        <v>53401157</v>
      </c>
      <c r="E3511">
        <v>83090</v>
      </c>
      <c r="F3511">
        <v>46087</v>
      </c>
    </row>
    <row r="3512" spans="1:6">
      <c r="A3512" t="s">
        <v>4556</v>
      </c>
      <c r="B3512">
        <v>391</v>
      </c>
      <c r="C3512" t="s">
        <v>154</v>
      </c>
      <c r="D3512">
        <v>1045701</v>
      </c>
      <c r="E3512">
        <v>78018</v>
      </c>
      <c r="F3512">
        <v>46250</v>
      </c>
    </row>
    <row r="3513" spans="1:6">
      <c r="A3513" t="s">
        <v>4557</v>
      </c>
      <c r="B3513">
        <v>391</v>
      </c>
      <c r="C3513" t="s">
        <v>1043</v>
      </c>
      <c r="D3513">
        <v>3137103</v>
      </c>
      <c r="E3513">
        <v>78018</v>
      </c>
      <c r="F3513">
        <v>46250</v>
      </c>
    </row>
    <row r="3514" spans="1:6">
      <c r="A3514" t="s">
        <v>4558</v>
      </c>
      <c r="B3514">
        <v>391</v>
      </c>
      <c r="C3514" t="s">
        <v>1045</v>
      </c>
      <c r="D3514">
        <v>1882262</v>
      </c>
      <c r="E3514">
        <v>78018</v>
      </c>
      <c r="F3514">
        <v>46250</v>
      </c>
    </row>
    <row r="3515" spans="1:6">
      <c r="A3515" t="s">
        <v>4559</v>
      </c>
      <c r="B3515">
        <v>391</v>
      </c>
      <c r="C3515" t="s">
        <v>1047</v>
      </c>
      <c r="D3515">
        <v>522851</v>
      </c>
      <c r="E3515">
        <v>78018</v>
      </c>
      <c r="F3515">
        <v>46250</v>
      </c>
    </row>
    <row r="3516" spans="1:6">
      <c r="A3516" t="s">
        <v>4560</v>
      </c>
      <c r="B3516">
        <v>391</v>
      </c>
      <c r="C3516" t="s">
        <v>1049</v>
      </c>
      <c r="D3516">
        <v>156856</v>
      </c>
      <c r="E3516">
        <v>78018</v>
      </c>
      <c r="F3516">
        <v>46250</v>
      </c>
    </row>
    <row r="3517" spans="1:6">
      <c r="A3517" t="s">
        <v>4561</v>
      </c>
      <c r="B3517">
        <v>391</v>
      </c>
      <c r="C3517" t="s">
        <v>745</v>
      </c>
      <c r="D3517">
        <v>4182804</v>
      </c>
      <c r="E3517">
        <v>78018</v>
      </c>
      <c r="F3517">
        <v>46250</v>
      </c>
    </row>
    <row r="3518" spans="1:6">
      <c r="A3518" t="s">
        <v>4562</v>
      </c>
      <c r="B3518">
        <v>391</v>
      </c>
      <c r="C3518" t="s">
        <v>1052</v>
      </c>
      <c r="D3518">
        <v>9411309</v>
      </c>
      <c r="E3518">
        <v>78018</v>
      </c>
      <c r="F3518">
        <v>46250</v>
      </c>
    </row>
    <row r="3519" spans="1:6">
      <c r="A3519" t="s">
        <v>4563</v>
      </c>
      <c r="B3519">
        <v>391</v>
      </c>
      <c r="C3519" t="s">
        <v>164</v>
      </c>
      <c r="D3519">
        <v>107711337</v>
      </c>
      <c r="E3519">
        <v>83595</v>
      </c>
      <c r="F3519">
        <v>46250</v>
      </c>
    </row>
    <row r="3520" spans="1:6">
      <c r="A3520" t="s">
        <v>4564</v>
      </c>
      <c r="B3520">
        <v>391</v>
      </c>
      <c r="C3520" t="s">
        <v>651</v>
      </c>
      <c r="D3520">
        <v>53855669</v>
      </c>
      <c r="E3520">
        <v>83595</v>
      </c>
      <c r="F3520">
        <v>46250</v>
      </c>
    </row>
    <row r="3521" spans="1:6">
      <c r="A3521" t="s">
        <v>4565</v>
      </c>
      <c r="B3521">
        <v>392</v>
      </c>
      <c r="C3521" t="s">
        <v>154</v>
      </c>
      <c r="D3521">
        <v>1053944</v>
      </c>
      <c r="E3521">
        <v>78508</v>
      </c>
      <c r="F3521">
        <v>46413</v>
      </c>
    </row>
    <row r="3522" spans="1:6">
      <c r="A3522" t="s">
        <v>4566</v>
      </c>
      <c r="B3522">
        <v>392</v>
      </c>
      <c r="C3522" t="s">
        <v>1043</v>
      </c>
      <c r="D3522">
        <v>3161832</v>
      </c>
      <c r="E3522">
        <v>78508</v>
      </c>
      <c r="F3522">
        <v>46413</v>
      </c>
    </row>
    <row r="3523" spans="1:6">
      <c r="A3523" t="s">
        <v>4567</v>
      </c>
      <c r="B3523">
        <v>392</v>
      </c>
      <c r="C3523" t="s">
        <v>1045</v>
      </c>
      <c r="D3523">
        <v>1897100</v>
      </c>
      <c r="E3523">
        <v>78508</v>
      </c>
      <c r="F3523">
        <v>46413</v>
      </c>
    </row>
    <row r="3524" spans="1:6">
      <c r="A3524" t="s">
        <v>4568</v>
      </c>
      <c r="B3524">
        <v>392</v>
      </c>
      <c r="C3524" t="s">
        <v>1047</v>
      </c>
      <c r="D3524">
        <v>526972</v>
      </c>
      <c r="E3524">
        <v>78508</v>
      </c>
      <c r="F3524">
        <v>46413</v>
      </c>
    </row>
    <row r="3525" spans="1:6">
      <c r="A3525" t="s">
        <v>4569</v>
      </c>
      <c r="B3525">
        <v>392</v>
      </c>
      <c r="C3525" t="s">
        <v>1049</v>
      </c>
      <c r="D3525">
        <v>158092</v>
      </c>
      <c r="E3525">
        <v>78508</v>
      </c>
      <c r="F3525">
        <v>46413</v>
      </c>
    </row>
    <row r="3526" spans="1:6">
      <c r="A3526" t="s">
        <v>4570</v>
      </c>
      <c r="B3526">
        <v>392</v>
      </c>
      <c r="C3526" t="s">
        <v>745</v>
      </c>
      <c r="D3526">
        <v>4215776</v>
      </c>
      <c r="E3526">
        <v>78508</v>
      </c>
      <c r="F3526">
        <v>46413</v>
      </c>
    </row>
    <row r="3527" spans="1:6">
      <c r="A3527" t="s">
        <v>4571</v>
      </c>
      <c r="B3527">
        <v>392</v>
      </c>
      <c r="C3527" t="s">
        <v>1052</v>
      </c>
      <c r="D3527">
        <v>9485496</v>
      </c>
      <c r="E3527">
        <v>78508</v>
      </c>
      <c r="F3527">
        <v>46413</v>
      </c>
    </row>
    <row r="3528" spans="1:6">
      <c r="A3528" t="s">
        <v>4572</v>
      </c>
      <c r="B3528">
        <v>392</v>
      </c>
      <c r="C3528" t="s">
        <v>164</v>
      </c>
      <c r="D3528">
        <v>108626685</v>
      </c>
      <c r="E3528">
        <v>84103</v>
      </c>
      <c r="F3528">
        <v>46413</v>
      </c>
    </row>
    <row r="3529" spans="1:6">
      <c r="A3529" t="s">
        <v>4573</v>
      </c>
      <c r="B3529">
        <v>392</v>
      </c>
      <c r="C3529" t="s">
        <v>651</v>
      </c>
      <c r="D3529">
        <v>54313343</v>
      </c>
      <c r="E3529">
        <v>84103</v>
      </c>
      <c r="F3529">
        <v>46413</v>
      </c>
    </row>
    <row r="3530" spans="1:6">
      <c r="A3530" t="s">
        <v>4574</v>
      </c>
      <c r="B3530">
        <v>393</v>
      </c>
      <c r="C3530" t="s">
        <v>154</v>
      </c>
      <c r="D3530">
        <v>1062238</v>
      </c>
      <c r="E3530">
        <v>79000</v>
      </c>
      <c r="F3530">
        <v>46576</v>
      </c>
    </row>
    <row r="3531" spans="1:6">
      <c r="A3531" t="s">
        <v>4575</v>
      </c>
      <c r="B3531">
        <v>393</v>
      </c>
      <c r="C3531" t="s">
        <v>1043</v>
      </c>
      <c r="D3531">
        <v>3186714</v>
      </c>
      <c r="E3531">
        <v>79000</v>
      </c>
      <c r="F3531">
        <v>46576</v>
      </c>
    </row>
    <row r="3532" spans="1:6">
      <c r="A3532" t="s">
        <v>4576</v>
      </c>
      <c r="B3532">
        <v>393</v>
      </c>
      <c r="C3532" t="s">
        <v>1045</v>
      </c>
      <c r="D3532">
        <v>1912029</v>
      </c>
      <c r="E3532">
        <v>79000</v>
      </c>
      <c r="F3532">
        <v>46576</v>
      </c>
    </row>
    <row r="3533" spans="1:6">
      <c r="A3533" t="s">
        <v>4577</v>
      </c>
      <c r="B3533">
        <v>393</v>
      </c>
      <c r="C3533" t="s">
        <v>1047</v>
      </c>
      <c r="D3533">
        <v>531119</v>
      </c>
      <c r="E3533">
        <v>79000</v>
      </c>
      <c r="F3533">
        <v>46576</v>
      </c>
    </row>
    <row r="3534" spans="1:6">
      <c r="A3534" t="s">
        <v>4578</v>
      </c>
      <c r="B3534">
        <v>393</v>
      </c>
      <c r="C3534" t="s">
        <v>1049</v>
      </c>
      <c r="D3534">
        <v>159336</v>
      </c>
      <c r="E3534">
        <v>79000</v>
      </c>
      <c r="F3534">
        <v>46576</v>
      </c>
    </row>
    <row r="3535" spans="1:6">
      <c r="A3535" t="s">
        <v>4579</v>
      </c>
      <c r="B3535">
        <v>393</v>
      </c>
      <c r="C3535" t="s">
        <v>745</v>
      </c>
      <c r="D3535">
        <v>4248952</v>
      </c>
      <c r="E3535">
        <v>79000</v>
      </c>
      <c r="F3535">
        <v>46576</v>
      </c>
    </row>
    <row r="3536" spans="1:6">
      <c r="A3536" t="s">
        <v>4580</v>
      </c>
      <c r="B3536">
        <v>393</v>
      </c>
      <c r="C3536" t="s">
        <v>1052</v>
      </c>
      <c r="D3536">
        <v>9560142</v>
      </c>
      <c r="E3536">
        <v>79000</v>
      </c>
      <c r="F3536">
        <v>46576</v>
      </c>
    </row>
    <row r="3537" spans="1:6">
      <c r="A3537" t="s">
        <v>4581</v>
      </c>
      <c r="B3537">
        <v>393</v>
      </c>
      <c r="C3537" t="s">
        <v>164</v>
      </c>
      <c r="D3537">
        <v>109548306</v>
      </c>
      <c r="E3537">
        <v>84614</v>
      </c>
      <c r="F3537">
        <v>46576</v>
      </c>
    </row>
    <row r="3538" spans="1:6">
      <c r="A3538" t="s">
        <v>4582</v>
      </c>
      <c r="B3538">
        <v>393</v>
      </c>
      <c r="C3538" t="s">
        <v>651</v>
      </c>
      <c r="D3538">
        <v>54774153</v>
      </c>
      <c r="E3538">
        <v>84614</v>
      </c>
      <c r="F3538">
        <v>46576</v>
      </c>
    </row>
    <row r="3539" spans="1:6">
      <c r="A3539" t="s">
        <v>4583</v>
      </c>
      <c r="B3539">
        <v>394</v>
      </c>
      <c r="C3539" t="s">
        <v>154</v>
      </c>
      <c r="D3539">
        <v>1070584</v>
      </c>
      <c r="E3539">
        <v>79494</v>
      </c>
      <c r="F3539">
        <v>46739</v>
      </c>
    </row>
    <row r="3540" spans="1:6">
      <c r="A3540" t="s">
        <v>4584</v>
      </c>
      <c r="B3540">
        <v>394</v>
      </c>
      <c r="C3540" t="s">
        <v>1043</v>
      </c>
      <c r="D3540">
        <v>3211752</v>
      </c>
      <c r="E3540">
        <v>79494</v>
      </c>
      <c r="F3540">
        <v>46739</v>
      </c>
    </row>
    <row r="3541" spans="1:6">
      <c r="A3541" t="s">
        <v>4585</v>
      </c>
      <c r="B3541">
        <v>394</v>
      </c>
      <c r="C3541" t="s">
        <v>1045</v>
      </c>
      <c r="D3541">
        <v>1927052</v>
      </c>
      <c r="E3541">
        <v>79494</v>
      </c>
      <c r="F3541">
        <v>46739</v>
      </c>
    </row>
    <row r="3542" spans="1:6">
      <c r="A3542" t="s">
        <v>4586</v>
      </c>
      <c r="B3542">
        <v>394</v>
      </c>
      <c r="C3542" t="s">
        <v>1047</v>
      </c>
      <c r="D3542">
        <v>535292</v>
      </c>
      <c r="E3542">
        <v>79494</v>
      </c>
      <c r="F3542">
        <v>46739</v>
      </c>
    </row>
    <row r="3543" spans="1:6">
      <c r="A3543" t="s">
        <v>4587</v>
      </c>
      <c r="B3543">
        <v>394</v>
      </c>
      <c r="C3543" t="s">
        <v>1049</v>
      </c>
      <c r="D3543">
        <v>160588</v>
      </c>
      <c r="E3543">
        <v>79494</v>
      </c>
      <c r="F3543">
        <v>46739</v>
      </c>
    </row>
    <row r="3544" spans="1:6">
      <c r="A3544" t="s">
        <v>4588</v>
      </c>
      <c r="B3544">
        <v>394</v>
      </c>
      <c r="C3544" t="s">
        <v>745</v>
      </c>
      <c r="D3544">
        <v>4282336</v>
      </c>
      <c r="E3544">
        <v>79494</v>
      </c>
      <c r="F3544">
        <v>46739</v>
      </c>
    </row>
    <row r="3545" spans="1:6">
      <c r="A3545" t="s">
        <v>4589</v>
      </c>
      <c r="B3545">
        <v>394</v>
      </c>
      <c r="C3545" t="s">
        <v>1052</v>
      </c>
      <c r="D3545">
        <v>9635256</v>
      </c>
      <c r="E3545">
        <v>79494</v>
      </c>
      <c r="F3545">
        <v>46739</v>
      </c>
    </row>
    <row r="3546" spans="1:6">
      <c r="A3546" t="s">
        <v>4590</v>
      </c>
      <c r="B3546">
        <v>394</v>
      </c>
      <c r="C3546" t="s">
        <v>164</v>
      </c>
      <c r="D3546">
        <v>110476302</v>
      </c>
      <c r="E3546">
        <v>85127</v>
      </c>
      <c r="F3546">
        <v>46739</v>
      </c>
    </row>
    <row r="3547" spans="1:6">
      <c r="A3547" t="s">
        <v>4591</v>
      </c>
      <c r="B3547">
        <v>394</v>
      </c>
      <c r="C3547" t="s">
        <v>651</v>
      </c>
      <c r="D3547">
        <v>55238151</v>
      </c>
      <c r="E3547">
        <v>85127</v>
      </c>
      <c r="F3547">
        <v>46739</v>
      </c>
    </row>
    <row r="3548" spans="1:6">
      <c r="A3548" t="s">
        <v>4592</v>
      </c>
      <c r="B3548">
        <v>395</v>
      </c>
      <c r="C3548" t="s">
        <v>154</v>
      </c>
      <c r="D3548">
        <v>1078981</v>
      </c>
      <c r="E3548">
        <v>79991</v>
      </c>
      <c r="F3548">
        <v>46903</v>
      </c>
    </row>
    <row r="3549" spans="1:6">
      <c r="A3549" t="s">
        <v>4593</v>
      </c>
      <c r="B3549">
        <v>395</v>
      </c>
      <c r="C3549" t="s">
        <v>1043</v>
      </c>
      <c r="D3549">
        <v>3236943</v>
      </c>
      <c r="E3549">
        <v>79991</v>
      </c>
      <c r="F3549">
        <v>46903</v>
      </c>
    </row>
    <row r="3550" spans="1:6">
      <c r="A3550" t="s">
        <v>4594</v>
      </c>
      <c r="B3550">
        <v>395</v>
      </c>
      <c r="C3550" t="s">
        <v>1045</v>
      </c>
      <c r="D3550">
        <v>1942166</v>
      </c>
      <c r="E3550">
        <v>79991</v>
      </c>
      <c r="F3550">
        <v>46903</v>
      </c>
    </row>
    <row r="3551" spans="1:6">
      <c r="A3551" t="s">
        <v>4595</v>
      </c>
      <c r="B3551">
        <v>395</v>
      </c>
      <c r="C3551" t="s">
        <v>1047</v>
      </c>
      <c r="D3551">
        <v>539491</v>
      </c>
      <c r="E3551">
        <v>79991</v>
      </c>
      <c r="F3551">
        <v>46903</v>
      </c>
    </row>
    <row r="3552" spans="1:6">
      <c r="A3552" t="s">
        <v>4596</v>
      </c>
      <c r="B3552">
        <v>395</v>
      </c>
      <c r="C3552" t="s">
        <v>1049</v>
      </c>
      <c r="D3552">
        <v>161848</v>
      </c>
      <c r="E3552">
        <v>79991</v>
      </c>
      <c r="F3552">
        <v>46903</v>
      </c>
    </row>
    <row r="3553" spans="1:6">
      <c r="A3553" t="s">
        <v>4597</v>
      </c>
      <c r="B3553">
        <v>395</v>
      </c>
      <c r="C3553" t="s">
        <v>745</v>
      </c>
      <c r="D3553">
        <v>4315924</v>
      </c>
      <c r="E3553">
        <v>79991</v>
      </c>
      <c r="F3553">
        <v>46903</v>
      </c>
    </row>
    <row r="3554" spans="1:6">
      <c r="A3554" t="s">
        <v>4598</v>
      </c>
      <c r="B3554">
        <v>395</v>
      </c>
      <c r="C3554" t="s">
        <v>1052</v>
      </c>
      <c r="D3554">
        <v>9710829</v>
      </c>
      <c r="E3554">
        <v>79991</v>
      </c>
      <c r="F3554">
        <v>46903</v>
      </c>
    </row>
    <row r="3555" spans="1:6">
      <c r="A3555" t="s">
        <v>4599</v>
      </c>
      <c r="B3555">
        <v>395</v>
      </c>
      <c r="C3555" t="s">
        <v>164</v>
      </c>
      <c r="D3555">
        <v>111410622</v>
      </c>
      <c r="E3555">
        <v>85643</v>
      </c>
      <c r="F3555">
        <v>46903</v>
      </c>
    </row>
    <row r="3556" spans="1:6">
      <c r="A3556" t="s">
        <v>4600</v>
      </c>
      <c r="B3556">
        <v>395</v>
      </c>
      <c r="C3556" t="s">
        <v>651</v>
      </c>
      <c r="D3556">
        <v>55705311</v>
      </c>
      <c r="E3556">
        <v>85643</v>
      </c>
      <c r="F3556">
        <v>46903</v>
      </c>
    </row>
    <row r="3557" spans="1:6">
      <c r="A3557" t="s">
        <v>4601</v>
      </c>
      <c r="B3557">
        <v>396</v>
      </c>
      <c r="C3557" t="s">
        <v>154</v>
      </c>
      <c r="D3557">
        <v>1087430</v>
      </c>
      <c r="E3557">
        <v>80490</v>
      </c>
      <c r="F3557">
        <v>47067</v>
      </c>
    </row>
    <row r="3558" spans="1:6">
      <c r="A3558" t="s">
        <v>4602</v>
      </c>
      <c r="B3558">
        <v>396</v>
      </c>
      <c r="C3558" t="s">
        <v>1043</v>
      </c>
      <c r="D3558">
        <v>3262290</v>
      </c>
      <c r="E3558">
        <v>80490</v>
      </c>
      <c r="F3558">
        <v>47067</v>
      </c>
    </row>
    <row r="3559" spans="1:6">
      <c r="A3559" t="s">
        <v>4603</v>
      </c>
      <c r="B3559">
        <v>396</v>
      </c>
      <c r="C3559" t="s">
        <v>1045</v>
      </c>
      <c r="D3559">
        <v>1957374</v>
      </c>
      <c r="E3559">
        <v>80490</v>
      </c>
      <c r="F3559">
        <v>47067</v>
      </c>
    </row>
    <row r="3560" spans="1:6">
      <c r="A3560" t="s">
        <v>4604</v>
      </c>
      <c r="B3560">
        <v>396</v>
      </c>
      <c r="C3560" t="s">
        <v>1047</v>
      </c>
      <c r="D3560">
        <v>543715</v>
      </c>
      <c r="E3560">
        <v>80490</v>
      </c>
      <c r="F3560">
        <v>47067</v>
      </c>
    </row>
    <row r="3561" spans="1:6">
      <c r="A3561" t="s">
        <v>4605</v>
      </c>
      <c r="B3561">
        <v>396</v>
      </c>
      <c r="C3561" t="s">
        <v>1049</v>
      </c>
      <c r="D3561">
        <v>163115</v>
      </c>
      <c r="E3561">
        <v>80490</v>
      </c>
      <c r="F3561">
        <v>47067</v>
      </c>
    </row>
    <row r="3562" spans="1:6">
      <c r="A3562" t="s">
        <v>4606</v>
      </c>
      <c r="B3562">
        <v>396</v>
      </c>
      <c r="C3562" t="s">
        <v>745</v>
      </c>
      <c r="D3562">
        <v>4349720</v>
      </c>
      <c r="E3562">
        <v>80490</v>
      </c>
      <c r="F3562">
        <v>47067</v>
      </c>
    </row>
    <row r="3563" spans="1:6">
      <c r="A3563" t="s">
        <v>4607</v>
      </c>
      <c r="B3563">
        <v>396</v>
      </c>
      <c r="C3563" t="s">
        <v>1052</v>
      </c>
      <c r="D3563">
        <v>9786870</v>
      </c>
      <c r="E3563">
        <v>80490</v>
      </c>
      <c r="F3563">
        <v>47067</v>
      </c>
    </row>
    <row r="3564" spans="1:6">
      <c r="A3564" t="s">
        <v>4608</v>
      </c>
      <c r="B3564">
        <v>396</v>
      </c>
      <c r="C3564" t="s">
        <v>164</v>
      </c>
      <c r="D3564">
        <v>112351419</v>
      </c>
      <c r="E3564">
        <v>86161</v>
      </c>
      <c r="F3564">
        <v>47067</v>
      </c>
    </row>
    <row r="3565" spans="1:6">
      <c r="A3565" t="s">
        <v>4609</v>
      </c>
      <c r="B3565">
        <v>396</v>
      </c>
      <c r="C3565" t="s">
        <v>651</v>
      </c>
      <c r="D3565">
        <v>56175710</v>
      </c>
      <c r="E3565">
        <v>86161</v>
      </c>
      <c r="F3565">
        <v>47067</v>
      </c>
    </row>
    <row r="3566" spans="1:6">
      <c r="A3566" t="s">
        <v>4610</v>
      </c>
      <c r="B3566">
        <v>397</v>
      </c>
      <c r="C3566" t="s">
        <v>154</v>
      </c>
      <c r="D3566">
        <v>1095932</v>
      </c>
      <c r="E3566">
        <v>80992</v>
      </c>
      <c r="F3566">
        <v>47231</v>
      </c>
    </row>
    <row r="3567" spans="1:6">
      <c r="A3567" t="s">
        <v>4611</v>
      </c>
      <c r="B3567">
        <v>397</v>
      </c>
      <c r="C3567" t="s">
        <v>1043</v>
      </c>
      <c r="D3567">
        <v>3287796</v>
      </c>
      <c r="E3567">
        <v>80992</v>
      </c>
      <c r="F3567">
        <v>47231</v>
      </c>
    </row>
    <row r="3568" spans="1:6">
      <c r="A3568" t="s">
        <v>4612</v>
      </c>
      <c r="B3568">
        <v>397</v>
      </c>
      <c r="C3568" t="s">
        <v>1045</v>
      </c>
      <c r="D3568">
        <v>1972678</v>
      </c>
      <c r="E3568">
        <v>80992</v>
      </c>
      <c r="F3568">
        <v>47231</v>
      </c>
    </row>
    <row r="3569" spans="1:6">
      <c r="A3569" t="s">
        <v>4613</v>
      </c>
      <c r="B3569">
        <v>397</v>
      </c>
      <c r="C3569" t="s">
        <v>1047</v>
      </c>
      <c r="D3569">
        <v>547966</v>
      </c>
      <c r="E3569">
        <v>80992</v>
      </c>
      <c r="F3569">
        <v>47231</v>
      </c>
    </row>
    <row r="3570" spans="1:6">
      <c r="A3570" t="s">
        <v>4614</v>
      </c>
      <c r="B3570">
        <v>397</v>
      </c>
      <c r="C3570" t="s">
        <v>1049</v>
      </c>
      <c r="D3570">
        <v>164390</v>
      </c>
      <c r="E3570">
        <v>80992</v>
      </c>
      <c r="F3570">
        <v>47231</v>
      </c>
    </row>
    <row r="3571" spans="1:6">
      <c r="A3571" t="s">
        <v>4615</v>
      </c>
      <c r="B3571">
        <v>397</v>
      </c>
      <c r="C3571" t="s">
        <v>745</v>
      </c>
      <c r="D3571">
        <v>4383728</v>
      </c>
      <c r="E3571">
        <v>80992</v>
      </c>
      <c r="F3571">
        <v>47231</v>
      </c>
    </row>
    <row r="3572" spans="1:6">
      <c r="A3572" t="s">
        <v>4616</v>
      </c>
      <c r="B3572">
        <v>397</v>
      </c>
      <c r="C3572" t="s">
        <v>1052</v>
      </c>
      <c r="D3572">
        <v>9863388</v>
      </c>
      <c r="E3572">
        <v>80992</v>
      </c>
      <c r="F3572">
        <v>47231</v>
      </c>
    </row>
    <row r="3573" spans="1:6">
      <c r="A3573" t="s">
        <v>4617</v>
      </c>
      <c r="B3573">
        <v>397</v>
      </c>
      <c r="C3573" t="s">
        <v>164</v>
      </c>
      <c r="D3573">
        <v>113298642</v>
      </c>
      <c r="E3573">
        <v>86682</v>
      </c>
      <c r="F3573">
        <v>47231</v>
      </c>
    </row>
    <row r="3574" spans="1:6">
      <c r="A3574" t="s">
        <v>4618</v>
      </c>
      <c r="B3574">
        <v>397</v>
      </c>
      <c r="C3574" t="s">
        <v>651</v>
      </c>
      <c r="D3574">
        <v>56649321</v>
      </c>
      <c r="E3574">
        <v>86682</v>
      </c>
      <c r="F3574">
        <v>47231</v>
      </c>
    </row>
    <row r="3575" spans="1:6">
      <c r="A3575" t="s">
        <v>4619</v>
      </c>
      <c r="B3575">
        <v>398</v>
      </c>
      <c r="C3575" t="s">
        <v>154</v>
      </c>
      <c r="D3575">
        <v>1104487</v>
      </c>
      <c r="E3575">
        <v>81497</v>
      </c>
      <c r="F3575">
        <v>47395</v>
      </c>
    </row>
    <row r="3576" spans="1:6">
      <c r="A3576" t="s">
        <v>4620</v>
      </c>
      <c r="B3576">
        <v>398</v>
      </c>
      <c r="C3576" t="s">
        <v>1043</v>
      </c>
      <c r="D3576">
        <v>3313461</v>
      </c>
      <c r="E3576">
        <v>81497</v>
      </c>
      <c r="F3576">
        <v>47395</v>
      </c>
    </row>
    <row r="3577" spans="1:6">
      <c r="A3577" t="s">
        <v>4621</v>
      </c>
      <c r="B3577">
        <v>398</v>
      </c>
      <c r="C3577" t="s">
        <v>1045</v>
      </c>
      <c r="D3577">
        <v>1988077</v>
      </c>
      <c r="E3577">
        <v>81497</v>
      </c>
      <c r="F3577">
        <v>47395</v>
      </c>
    </row>
    <row r="3578" spans="1:6">
      <c r="A3578" t="s">
        <v>4622</v>
      </c>
      <c r="B3578">
        <v>398</v>
      </c>
      <c r="C3578" t="s">
        <v>1047</v>
      </c>
      <c r="D3578">
        <v>552244</v>
      </c>
      <c r="E3578">
        <v>81497</v>
      </c>
      <c r="F3578">
        <v>47395</v>
      </c>
    </row>
    <row r="3579" spans="1:6">
      <c r="A3579" t="s">
        <v>4623</v>
      </c>
      <c r="B3579">
        <v>398</v>
      </c>
      <c r="C3579" t="s">
        <v>1049</v>
      </c>
      <c r="D3579">
        <v>165674</v>
      </c>
      <c r="E3579">
        <v>81497</v>
      </c>
      <c r="F3579">
        <v>47395</v>
      </c>
    </row>
    <row r="3580" spans="1:6">
      <c r="A3580" t="s">
        <v>4624</v>
      </c>
      <c r="B3580">
        <v>398</v>
      </c>
      <c r="C3580" t="s">
        <v>745</v>
      </c>
      <c r="D3580">
        <v>4417948</v>
      </c>
      <c r="E3580">
        <v>81497</v>
      </c>
      <c r="F3580">
        <v>47395</v>
      </c>
    </row>
    <row r="3581" spans="1:6">
      <c r="A3581" t="s">
        <v>4625</v>
      </c>
      <c r="B3581">
        <v>398</v>
      </c>
      <c r="C3581" t="s">
        <v>1052</v>
      </c>
      <c r="D3581">
        <v>9940383</v>
      </c>
      <c r="E3581">
        <v>81497</v>
      </c>
      <c r="F3581">
        <v>47395</v>
      </c>
    </row>
    <row r="3582" spans="1:6">
      <c r="A3582" t="s">
        <v>4626</v>
      </c>
      <c r="B3582">
        <v>398</v>
      </c>
      <c r="C3582" t="s">
        <v>164</v>
      </c>
      <c r="D3582">
        <v>114252342</v>
      </c>
      <c r="E3582">
        <v>87206</v>
      </c>
      <c r="F3582">
        <v>47395</v>
      </c>
    </row>
    <row r="3583" spans="1:6">
      <c r="A3583" t="s">
        <v>4627</v>
      </c>
      <c r="B3583">
        <v>398</v>
      </c>
      <c r="C3583" t="s">
        <v>651</v>
      </c>
      <c r="D3583">
        <v>57126171</v>
      </c>
      <c r="E3583">
        <v>87206</v>
      </c>
      <c r="F3583">
        <v>47395</v>
      </c>
    </row>
    <row r="3584" spans="1:6">
      <c r="A3584" t="s">
        <v>4628</v>
      </c>
      <c r="B3584">
        <v>399</v>
      </c>
      <c r="C3584" t="s">
        <v>154</v>
      </c>
      <c r="D3584">
        <v>1113094</v>
      </c>
      <c r="E3584">
        <v>82004</v>
      </c>
      <c r="F3584">
        <v>47559</v>
      </c>
    </row>
    <row r="3585" spans="1:6">
      <c r="A3585" t="s">
        <v>4629</v>
      </c>
      <c r="B3585">
        <v>399</v>
      </c>
      <c r="C3585" t="s">
        <v>1043</v>
      </c>
      <c r="D3585">
        <v>3339282</v>
      </c>
      <c r="E3585">
        <v>82004</v>
      </c>
      <c r="F3585">
        <v>47559</v>
      </c>
    </row>
    <row r="3586" spans="1:6">
      <c r="A3586" t="s">
        <v>4630</v>
      </c>
      <c r="B3586">
        <v>399</v>
      </c>
      <c r="C3586" t="s">
        <v>1045</v>
      </c>
      <c r="D3586">
        <v>2003570</v>
      </c>
      <c r="E3586">
        <v>82004</v>
      </c>
      <c r="F3586">
        <v>47559</v>
      </c>
    </row>
    <row r="3587" spans="1:6">
      <c r="A3587" t="s">
        <v>4631</v>
      </c>
      <c r="B3587">
        <v>399</v>
      </c>
      <c r="C3587" t="s">
        <v>1047</v>
      </c>
      <c r="D3587">
        <v>556547</v>
      </c>
      <c r="E3587">
        <v>82004</v>
      </c>
      <c r="F3587">
        <v>47559</v>
      </c>
    </row>
    <row r="3588" spans="1:6">
      <c r="A3588" t="s">
        <v>4632</v>
      </c>
      <c r="B3588">
        <v>399</v>
      </c>
      <c r="C3588" t="s">
        <v>1049</v>
      </c>
      <c r="D3588">
        <v>166965</v>
      </c>
      <c r="E3588">
        <v>82004</v>
      </c>
      <c r="F3588">
        <v>47559</v>
      </c>
    </row>
    <row r="3589" spans="1:6">
      <c r="A3589" t="s">
        <v>4633</v>
      </c>
      <c r="B3589">
        <v>399</v>
      </c>
      <c r="C3589" t="s">
        <v>745</v>
      </c>
      <c r="D3589">
        <v>4452376</v>
      </c>
      <c r="E3589">
        <v>82004</v>
      </c>
      <c r="F3589">
        <v>47559</v>
      </c>
    </row>
    <row r="3590" spans="1:6">
      <c r="A3590" t="s">
        <v>4634</v>
      </c>
      <c r="B3590">
        <v>399</v>
      </c>
      <c r="C3590" t="s">
        <v>1052</v>
      </c>
      <c r="D3590">
        <v>10017846</v>
      </c>
      <c r="E3590">
        <v>82004</v>
      </c>
      <c r="F3590">
        <v>47559</v>
      </c>
    </row>
    <row r="3591" spans="1:6">
      <c r="A3591" t="s">
        <v>4635</v>
      </c>
      <c r="B3591">
        <v>399</v>
      </c>
      <c r="C3591" t="s">
        <v>164</v>
      </c>
      <c r="D3591">
        <v>115212621</v>
      </c>
      <c r="E3591">
        <v>87732</v>
      </c>
      <c r="F3591">
        <v>47559</v>
      </c>
    </row>
    <row r="3592" spans="1:6">
      <c r="A3592" t="s">
        <v>4636</v>
      </c>
      <c r="B3592">
        <v>399</v>
      </c>
      <c r="C3592" t="s">
        <v>651</v>
      </c>
      <c r="D3592">
        <v>57606311</v>
      </c>
      <c r="E3592">
        <v>87732</v>
      </c>
      <c r="F3592">
        <v>47559</v>
      </c>
    </row>
    <row r="3593" spans="1:6">
      <c r="A3593" t="s">
        <v>4637</v>
      </c>
      <c r="B3593">
        <v>400</v>
      </c>
      <c r="C3593" t="s">
        <v>154</v>
      </c>
      <c r="D3593">
        <v>1121754</v>
      </c>
      <c r="E3593">
        <v>82514</v>
      </c>
      <c r="F3593">
        <v>47724</v>
      </c>
    </row>
    <row r="3594" spans="1:6">
      <c r="A3594" t="s">
        <v>4638</v>
      </c>
      <c r="B3594">
        <v>400</v>
      </c>
      <c r="C3594" t="s">
        <v>1043</v>
      </c>
      <c r="D3594">
        <v>3365262</v>
      </c>
      <c r="E3594">
        <v>82514</v>
      </c>
      <c r="F3594">
        <v>47724</v>
      </c>
    </row>
    <row r="3595" spans="1:6">
      <c r="A3595" t="s">
        <v>4639</v>
      </c>
      <c r="B3595">
        <v>400</v>
      </c>
      <c r="C3595" t="s">
        <v>1045</v>
      </c>
      <c r="D3595">
        <v>2019158</v>
      </c>
      <c r="E3595">
        <v>82514</v>
      </c>
      <c r="F3595">
        <v>47724</v>
      </c>
    </row>
    <row r="3596" spans="1:6">
      <c r="A3596" t="s">
        <v>4640</v>
      </c>
      <c r="B3596">
        <v>400</v>
      </c>
      <c r="C3596" t="s">
        <v>1047</v>
      </c>
      <c r="D3596">
        <v>560877</v>
      </c>
      <c r="E3596">
        <v>82514</v>
      </c>
      <c r="F3596">
        <v>47724</v>
      </c>
    </row>
    <row r="3597" spans="1:6">
      <c r="A3597" t="s">
        <v>4641</v>
      </c>
      <c r="B3597">
        <v>400</v>
      </c>
      <c r="C3597" t="s">
        <v>1049</v>
      </c>
      <c r="D3597">
        <v>168264</v>
      </c>
      <c r="E3597">
        <v>82514</v>
      </c>
      <c r="F3597">
        <v>47724</v>
      </c>
    </row>
    <row r="3598" spans="1:6">
      <c r="A3598" t="s">
        <v>4642</v>
      </c>
      <c r="B3598">
        <v>400</v>
      </c>
      <c r="C3598" t="s">
        <v>745</v>
      </c>
      <c r="D3598">
        <v>4487016</v>
      </c>
      <c r="E3598">
        <v>82514</v>
      </c>
      <c r="F3598">
        <v>47724</v>
      </c>
    </row>
    <row r="3599" spans="1:6">
      <c r="A3599" t="s">
        <v>4643</v>
      </c>
      <c r="B3599">
        <v>400</v>
      </c>
      <c r="C3599" t="s">
        <v>1052</v>
      </c>
      <c r="D3599">
        <v>10095786</v>
      </c>
      <c r="E3599">
        <v>82514</v>
      </c>
      <c r="F3599">
        <v>47724</v>
      </c>
    </row>
    <row r="3600" spans="1:6">
      <c r="A3600" t="s">
        <v>4644</v>
      </c>
      <c r="B3600">
        <v>400</v>
      </c>
      <c r="C3600" t="s">
        <v>164</v>
      </c>
      <c r="D3600">
        <v>116179428</v>
      </c>
      <c r="E3600">
        <v>88261</v>
      </c>
      <c r="F3600">
        <v>47724</v>
      </c>
    </row>
    <row r="3601" spans="1:6">
      <c r="A3601" t="s">
        <v>4645</v>
      </c>
      <c r="B3601">
        <v>400</v>
      </c>
      <c r="C3601" t="s">
        <v>651</v>
      </c>
      <c r="D3601">
        <v>58089714</v>
      </c>
      <c r="E3601">
        <v>88261</v>
      </c>
      <c r="F3601">
        <v>47724</v>
      </c>
    </row>
    <row r="3602" spans="1:6">
      <c r="A3602" t="s">
        <v>4646</v>
      </c>
      <c r="B3602">
        <v>401</v>
      </c>
      <c r="C3602" t="s">
        <v>154</v>
      </c>
      <c r="D3602">
        <v>1130468</v>
      </c>
      <c r="E3602">
        <v>83026</v>
      </c>
      <c r="F3602">
        <v>47889</v>
      </c>
    </row>
    <row r="3603" spans="1:6">
      <c r="A3603" t="s">
        <v>4647</v>
      </c>
      <c r="B3603">
        <v>401</v>
      </c>
      <c r="C3603" t="s">
        <v>1043</v>
      </c>
      <c r="D3603">
        <v>3391404</v>
      </c>
      <c r="E3603">
        <v>83026</v>
      </c>
      <c r="F3603">
        <v>47889</v>
      </c>
    </row>
    <row r="3604" spans="1:6">
      <c r="A3604" t="s">
        <v>4648</v>
      </c>
      <c r="B3604">
        <v>401</v>
      </c>
      <c r="C3604" t="s">
        <v>1045</v>
      </c>
      <c r="D3604">
        <v>2034843</v>
      </c>
      <c r="E3604">
        <v>83026</v>
      </c>
      <c r="F3604">
        <v>47889</v>
      </c>
    </row>
    <row r="3605" spans="1:6">
      <c r="A3605" t="s">
        <v>4649</v>
      </c>
      <c r="B3605">
        <v>401</v>
      </c>
      <c r="C3605" t="s">
        <v>1047</v>
      </c>
      <c r="D3605">
        <v>565234</v>
      </c>
      <c r="E3605">
        <v>83026</v>
      </c>
      <c r="F3605">
        <v>47889</v>
      </c>
    </row>
    <row r="3606" spans="1:6">
      <c r="A3606" t="s">
        <v>4650</v>
      </c>
      <c r="B3606">
        <v>401</v>
      </c>
      <c r="C3606" t="s">
        <v>1049</v>
      </c>
      <c r="D3606">
        <v>169571</v>
      </c>
      <c r="E3606">
        <v>83026</v>
      </c>
      <c r="F3606">
        <v>47889</v>
      </c>
    </row>
    <row r="3607" spans="1:6">
      <c r="A3607" t="s">
        <v>4651</v>
      </c>
      <c r="B3607">
        <v>401</v>
      </c>
      <c r="C3607" t="s">
        <v>745</v>
      </c>
      <c r="D3607">
        <v>4521872</v>
      </c>
      <c r="E3607">
        <v>83026</v>
      </c>
      <c r="F3607">
        <v>47889</v>
      </c>
    </row>
    <row r="3608" spans="1:6">
      <c r="A3608" t="s">
        <v>4652</v>
      </c>
      <c r="B3608">
        <v>401</v>
      </c>
      <c r="C3608" t="s">
        <v>1052</v>
      </c>
      <c r="D3608">
        <v>10174212</v>
      </c>
      <c r="E3608">
        <v>83026</v>
      </c>
      <c r="F3608">
        <v>47889</v>
      </c>
    </row>
    <row r="3609" spans="1:6">
      <c r="A3609" t="s">
        <v>4653</v>
      </c>
      <c r="B3609">
        <v>401</v>
      </c>
      <c r="C3609" t="s">
        <v>164</v>
      </c>
      <c r="D3609">
        <v>117152814</v>
      </c>
      <c r="E3609">
        <v>88792</v>
      </c>
      <c r="F3609">
        <v>47889</v>
      </c>
    </row>
    <row r="3610" spans="1:6">
      <c r="A3610" t="s">
        <v>4654</v>
      </c>
      <c r="B3610">
        <v>401</v>
      </c>
      <c r="C3610" t="s">
        <v>651</v>
      </c>
      <c r="D3610">
        <v>58576407</v>
      </c>
      <c r="E3610">
        <v>88792</v>
      </c>
      <c r="F3610">
        <v>47889</v>
      </c>
    </row>
    <row r="3611" spans="1:6">
      <c r="A3611" t="s">
        <v>4655</v>
      </c>
      <c r="B3611">
        <v>402</v>
      </c>
      <c r="C3611" t="s">
        <v>154</v>
      </c>
      <c r="D3611">
        <v>1139235</v>
      </c>
      <c r="E3611">
        <v>83541</v>
      </c>
      <c r="F3611">
        <v>48054</v>
      </c>
    </row>
    <row r="3612" spans="1:6">
      <c r="A3612" t="s">
        <v>4656</v>
      </c>
      <c r="B3612">
        <v>402</v>
      </c>
      <c r="C3612" t="s">
        <v>1043</v>
      </c>
      <c r="D3612">
        <v>3417705</v>
      </c>
      <c r="E3612">
        <v>83541</v>
      </c>
      <c r="F3612">
        <v>48054</v>
      </c>
    </row>
    <row r="3613" spans="1:6">
      <c r="A3613" t="s">
        <v>4657</v>
      </c>
      <c r="B3613">
        <v>402</v>
      </c>
      <c r="C3613" t="s">
        <v>1045</v>
      </c>
      <c r="D3613">
        <v>2050623</v>
      </c>
      <c r="E3613">
        <v>83541</v>
      </c>
      <c r="F3613">
        <v>48054</v>
      </c>
    </row>
    <row r="3614" spans="1:6">
      <c r="A3614" t="s">
        <v>4658</v>
      </c>
      <c r="B3614">
        <v>402</v>
      </c>
      <c r="C3614" t="s">
        <v>1047</v>
      </c>
      <c r="D3614">
        <v>569618</v>
      </c>
      <c r="E3614">
        <v>83541</v>
      </c>
      <c r="F3614">
        <v>48054</v>
      </c>
    </row>
    <row r="3615" spans="1:6">
      <c r="A3615" t="s">
        <v>4659</v>
      </c>
      <c r="B3615">
        <v>402</v>
      </c>
      <c r="C3615" t="s">
        <v>1049</v>
      </c>
      <c r="D3615">
        <v>170886</v>
      </c>
      <c r="E3615">
        <v>83541</v>
      </c>
      <c r="F3615">
        <v>48054</v>
      </c>
    </row>
    <row r="3616" spans="1:6">
      <c r="A3616" t="s">
        <v>4660</v>
      </c>
      <c r="B3616">
        <v>402</v>
      </c>
      <c r="C3616" t="s">
        <v>745</v>
      </c>
      <c r="D3616">
        <v>4556940</v>
      </c>
      <c r="E3616">
        <v>83541</v>
      </c>
      <c r="F3616">
        <v>48054</v>
      </c>
    </row>
    <row r="3617" spans="1:6">
      <c r="A3617" t="s">
        <v>4661</v>
      </c>
      <c r="B3617">
        <v>402</v>
      </c>
      <c r="C3617" t="s">
        <v>1052</v>
      </c>
      <c r="D3617">
        <v>10253115</v>
      </c>
      <c r="E3617">
        <v>83541</v>
      </c>
      <c r="F3617">
        <v>48054</v>
      </c>
    </row>
    <row r="3618" spans="1:6">
      <c r="A3618" t="s">
        <v>4662</v>
      </c>
      <c r="B3618">
        <v>402</v>
      </c>
      <c r="C3618" t="s">
        <v>164</v>
      </c>
      <c r="D3618">
        <v>118132830</v>
      </c>
      <c r="E3618">
        <v>89326</v>
      </c>
      <c r="F3618">
        <v>48054</v>
      </c>
    </row>
    <row r="3619" spans="1:6">
      <c r="A3619" t="s">
        <v>4663</v>
      </c>
      <c r="B3619">
        <v>402</v>
      </c>
      <c r="C3619" t="s">
        <v>651</v>
      </c>
      <c r="D3619">
        <v>59066415</v>
      </c>
      <c r="E3619">
        <v>89326</v>
      </c>
      <c r="F3619">
        <v>48054</v>
      </c>
    </row>
    <row r="3620" spans="1:6">
      <c r="A3620" t="s">
        <v>4664</v>
      </c>
      <c r="B3620">
        <v>403</v>
      </c>
      <c r="C3620" t="s">
        <v>154</v>
      </c>
      <c r="D3620">
        <v>1148056</v>
      </c>
      <c r="E3620">
        <v>84059</v>
      </c>
      <c r="F3620">
        <v>48219</v>
      </c>
    </row>
    <row r="3621" spans="1:6">
      <c r="A3621" t="s">
        <v>4665</v>
      </c>
      <c r="B3621">
        <v>403</v>
      </c>
      <c r="C3621" t="s">
        <v>1043</v>
      </c>
      <c r="D3621">
        <v>3444168</v>
      </c>
      <c r="E3621">
        <v>84059</v>
      </c>
      <c r="F3621">
        <v>48219</v>
      </c>
    </row>
    <row r="3622" spans="1:6">
      <c r="A3622" t="s">
        <v>4666</v>
      </c>
      <c r="B3622">
        <v>403</v>
      </c>
      <c r="C3622" t="s">
        <v>1045</v>
      </c>
      <c r="D3622">
        <v>2066501</v>
      </c>
      <c r="E3622">
        <v>84059</v>
      </c>
      <c r="F3622">
        <v>48219</v>
      </c>
    </row>
    <row r="3623" spans="1:6">
      <c r="A3623" t="s">
        <v>4667</v>
      </c>
      <c r="B3623">
        <v>403</v>
      </c>
      <c r="C3623" t="s">
        <v>1047</v>
      </c>
      <c r="D3623">
        <v>574028</v>
      </c>
      <c r="E3623">
        <v>84059</v>
      </c>
      <c r="F3623">
        <v>48219</v>
      </c>
    </row>
    <row r="3624" spans="1:6">
      <c r="A3624" t="s">
        <v>4668</v>
      </c>
      <c r="B3624">
        <v>403</v>
      </c>
      <c r="C3624" t="s">
        <v>1049</v>
      </c>
      <c r="D3624">
        <v>172209</v>
      </c>
      <c r="E3624">
        <v>84059</v>
      </c>
      <c r="F3624">
        <v>48219</v>
      </c>
    </row>
    <row r="3625" spans="1:6">
      <c r="A3625" t="s">
        <v>4669</v>
      </c>
      <c r="B3625">
        <v>403</v>
      </c>
      <c r="C3625" t="s">
        <v>745</v>
      </c>
      <c r="D3625">
        <v>4592224</v>
      </c>
      <c r="E3625">
        <v>84059</v>
      </c>
      <c r="F3625">
        <v>48219</v>
      </c>
    </row>
    <row r="3626" spans="1:6">
      <c r="A3626" t="s">
        <v>4670</v>
      </c>
      <c r="B3626">
        <v>403</v>
      </c>
      <c r="C3626" t="s">
        <v>1052</v>
      </c>
      <c r="D3626">
        <v>10332504</v>
      </c>
      <c r="E3626">
        <v>84059</v>
      </c>
      <c r="F3626">
        <v>48219</v>
      </c>
    </row>
    <row r="3627" spans="1:6">
      <c r="A3627" t="s">
        <v>4671</v>
      </c>
      <c r="B3627">
        <v>403</v>
      </c>
      <c r="C3627" t="s">
        <v>164</v>
      </c>
      <c r="D3627">
        <v>119119527</v>
      </c>
      <c r="E3627">
        <v>89863</v>
      </c>
      <c r="F3627">
        <v>48219</v>
      </c>
    </row>
    <row r="3628" spans="1:6">
      <c r="A3628" t="s">
        <v>4672</v>
      </c>
      <c r="B3628">
        <v>403</v>
      </c>
      <c r="C3628" t="s">
        <v>651</v>
      </c>
      <c r="D3628">
        <v>59559764</v>
      </c>
      <c r="E3628">
        <v>89863</v>
      </c>
      <c r="F3628">
        <v>48219</v>
      </c>
    </row>
    <row r="3629" spans="1:6">
      <c r="A3629" t="s">
        <v>4673</v>
      </c>
      <c r="B3629">
        <v>404</v>
      </c>
      <c r="C3629" t="s">
        <v>154</v>
      </c>
      <c r="D3629">
        <v>1156931</v>
      </c>
      <c r="E3629">
        <v>84579</v>
      </c>
      <c r="F3629">
        <v>48385</v>
      </c>
    </row>
    <row r="3630" spans="1:6">
      <c r="A3630" t="s">
        <v>4674</v>
      </c>
      <c r="B3630">
        <v>404</v>
      </c>
      <c r="C3630" t="s">
        <v>1043</v>
      </c>
      <c r="D3630">
        <v>3470793</v>
      </c>
      <c r="E3630">
        <v>84579</v>
      </c>
      <c r="F3630">
        <v>48385</v>
      </c>
    </row>
    <row r="3631" spans="1:6">
      <c r="A3631" t="s">
        <v>4675</v>
      </c>
      <c r="B3631">
        <v>404</v>
      </c>
      <c r="C3631" t="s">
        <v>1045</v>
      </c>
      <c r="D3631">
        <v>2082476</v>
      </c>
      <c r="E3631">
        <v>84579</v>
      </c>
      <c r="F3631">
        <v>48385</v>
      </c>
    </row>
    <row r="3632" spans="1:6">
      <c r="A3632" t="s">
        <v>4676</v>
      </c>
      <c r="B3632">
        <v>404</v>
      </c>
      <c r="C3632" t="s">
        <v>1047</v>
      </c>
      <c r="D3632">
        <v>578466</v>
      </c>
      <c r="E3632">
        <v>84579</v>
      </c>
      <c r="F3632">
        <v>48385</v>
      </c>
    </row>
    <row r="3633" spans="1:6">
      <c r="A3633" t="s">
        <v>4677</v>
      </c>
      <c r="B3633">
        <v>404</v>
      </c>
      <c r="C3633" t="s">
        <v>1049</v>
      </c>
      <c r="D3633">
        <v>173540</v>
      </c>
      <c r="E3633">
        <v>84579</v>
      </c>
      <c r="F3633">
        <v>48385</v>
      </c>
    </row>
    <row r="3634" spans="1:6">
      <c r="A3634" t="s">
        <v>4678</v>
      </c>
      <c r="B3634">
        <v>404</v>
      </c>
      <c r="C3634" t="s">
        <v>745</v>
      </c>
      <c r="D3634">
        <v>4627724</v>
      </c>
      <c r="E3634">
        <v>84579</v>
      </c>
      <c r="F3634">
        <v>48385</v>
      </c>
    </row>
    <row r="3635" spans="1:6">
      <c r="A3635" t="s">
        <v>4679</v>
      </c>
      <c r="B3635">
        <v>404</v>
      </c>
      <c r="C3635" t="s">
        <v>1052</v>
      </c>
      <c r="D3635">
        <v>10412379</v>
      </c>
      <c r="E3635">
        <v>84579</v>
      </c>
      <c r="F3635">
        <v>48385</v>
      </c>
    </row>
    <row r="3636" spans="1:6">
      <c r="A3636" t="s">
        <v>4680</v>
      </c>
      <c r="B3636">
        <v>404</v>
      </c>
      <c r="C3636" t="s">
        <v>164</v>
      </c>
      <c r="D3636">
        <v>120112956</v>
      </c>
      <c r="E3636">
        <v>90403</v>
      </c>
      <c r="F3636">
        <v>48385</v>
      </c>
    </row>
    <row r="3637" spans="1:6">
      <c r="A3637" t="s">
        <v>4681</v>
      </c>
      <c r="B3637">
        <v>404</v>
      </c>
      <c r="C3637" t="s">
        <v>651</v>
      </c>
      <c r="D3637">
        <v>60056478</v>
      </c>
      <c r="E3637">
        <v>90403</v>
      </c>
      <c r="F3637">
        <v>48385</v>
      </c>
    </row>
    <row r="3638" spans="1:6">
      <c r="A3638" t="s">
        <v>4682</v>
      </c>
      <c r="B3638">
        <v>405</v>
      </c>
      <c r="C3638" t="s">
        <v>154</v>
      </c>
      <c r="D3638">
        <v>1165861</v>
      </c>
      <c r="E3638">
        <v>85102</v>
      </c>
      <c r="F3638">
        <v>48551</v>
      </c>
    </row>
    <row r="3639" spans="1:6">
      <c r="A3639" t="s">
        <v>4683</v>
      </c>
      <c r="B3639">
        <v>405</v>
      </c>
      <c r="C3639" t="s">
        <v>1043</v>
      </c>
      <c r="D3639">
        <v>3497583</v>
      </c>
      <c r="E3639">
        <v>85102</v>
      </c>
      <c r="F3639">
        <v>48551</v>
      </c>
    </row>
    <row r="3640" spans="1:6">
      <c r="A3640" t="s">
        <v>4684</v>
      </c>
      <c r="B3640">
        <v>405</v>
      </c>
      <c r="C3640" t="s">
        <v>1045</v>
      </c>
      <c r="D3640">
        <v>2098550</v>
      </c>
      <c r="E3640">
        <v>85102</v>
      </c>
      <c r="F3640">
        <v>48551</v>
      </c>
    </row>
    <row r="3641" spans="1:6">
      <c r="A3641" t="s">
        <v>4685</v>
      </c>
      <c r="B3641">
        <v>405</v>
      </c>
      <c r="C3641" t="s">
        <v>1047</v>
      </c>
      <c r="D3641">
        <v>582931</v>
      </c>
      <c r="E3641">
        <v>85102</v>
      </c>
      <c r="F3641">
        <v>48551</v>
      </c>
    </row>
    <row r="3642" spans="1:6">
      <c r="A3642" t="s">
        <v>4686</v>
      </c>
      <c r="B3642">
        <v>405</v>
      </c>
      <c r="C3642" t="s">
        <v>1049</v>
      </c>
      <c r="D3642">
        <v>174880</v>
      </c>
      <c r="E3642">
        <v>85102</v>
      </c>
      <c r="F3642">
        <v>48551</v>
      </c>
    </row>
    <row r="3643" spans="1:6">
      <c r="A3643" t="s">
        <v>4687</v>
      </c>
      <c r="B3643">
        <v>405</v>
      </c>
      <c r="C3643" t="s">
        <v>745</v>
      </c>
      <c r="D3643">
        <v>4663444</v>
      </c>
      <c r="E3643">
        <v>85102</v>
      </c>
      <c r="F3643">
        <v>48551</v>
      </c>
    </row>
    <row r="3644" spans="1:6">
      <c r="A3644" t="s">
        <v>4688</v>
      </c>
      <c r="B3644">
        <v>405</v>
      </c>
      <c r="C3644" t="s">
        <v>1052</v>
      </c>
      <c r="D3644">
        <v>10492749</v>
      </c>
      <c r="E3644">
        <v>85102</v>
      </c>
      <c r="F3644">
        <v>48551</v>
      </c>
    </row>
    <row r="3645" spans="1:6">
      <c r="A3645" t="s">
        <v>4689</v>
      </c>
      <c r="B3645">
        <v>405</v>
      </c>
      <c r="C3645" t="s">
        <v>164</v>
      </c>
      <c r="D3645">
        <v>121113117</v>
      </c>
      <c r="E3645">
        <v>90945</v>
      </c>
      <c r="F3645">
        <v>48551</v>
      </c>
    </row>
    <row r="3646" spans="1:6">
      <c r="A3646" t="s">
        <v>4690</v>
      </c>
      <c r="B3646">
        <v>405</v>
      </c>
      <c r="C3646" t="s">
        <v>651</v>
      </c>
      <c r="D3646">
        <v>60556559</v>
      </c>
      <c r="E3646">
        <v>90945</v>
      </c>
      <c r="F3646">
        <v>48551</v>
      </c>
    </row>
    <row r="3647" spans="1:6">
      <c r="A3647" t="s">
        <v>4691</v>
      </c>
      <c r="B3647">
        <v>406</v>
      </c>
      <c r="C3647" t="s">
        <v>154</v>
      </c>
      <c r="D3647">
        <v>1174846</v>
      </c>
      <c r="E3647">
        <v>85628</v>
      </c>
      <c r="F3647">
        <v>48717</v>
      </c>
    </row>
    <row r="3648" spans="1:6">
      <c r="A3648" t="s">
        <v>4692</v>
      </c>
      <c r="B3648">
        <v>406</v>
      </c>
      <c r="C3648" t="s">
        <v>1043</v>
      </c>
      <c r="D3648">
        <v>3524538</v>
      </c>
      <c r="E3648">
        <v>85628</v>
      </c>
      <c r="F3648">
        <v>48717</v>
      </c>
    </row>
    <row r="3649" spans="1:6">
      <c r="A3649" t="s">
        <v>4693</v>
      </c>
      <c r="B3649">
        <v>406</v>
      </c>
      <c r="C3649" t="s">
        <v>1045</v>
      </c>
      <c r="D3649">
        <v>2114723</v>
      </c>
      <c r="E3649">
        <v>85628</v>
      </c>
      <c r="F3649">
        <v>48717</v>
      </c>
    </row>
    <row r="3650" spans="1:6">
      <c r="A3650" t="s">
        <v>4694</v>
      </c>
      <c r="B3650">
        <v>406</v>
      </c>
      <c r="C3650" t="s">
        <v>1047</v>
      </c>
      <c r="D3650">
        <v>587423</v>
      </c>
      <c r="E3650">
        <v>85628</v>
      </c>
      <c r="F3650">
        <v>48717</v>
      </c>
    </row>
    <row r="3651" spans="1:6">
      <c r="A3651" t="s">
        <v>4695</v>
      </c>
      <c r="B3651">
        <v>406</v>
      </c>
      <c r="C3651" t="s">
        <v>1049</v>
      </c>
      <c r="D3651">
        <v>176227</v>
      </c>
      <c r="E3651">
        <v>85628</v>
      </c>
      <c r="F3651">
        <v>48717</v>
      </c>
    </row>
    <row r="3652" spans="1:6">
      <c r="A3652" t="s">
        <v>4696</v>
      </c>
      <c r="B3652">
        <v>406</v>
      </c>
      <c r="C3652" t="s">
        <v>745</v>
      </c>
      <c r="D3652">
        <v>4699384</v>
      </c>
      <c r="E3652">
        <v>85628</v>
      </c>
      <c r="F3652">
        <v>48717</v>
      </c>
    </row>
    <row r="3653" spans="1:6">
      <c r="A3653" t="s">
        <v>4697</v>
      </c>
      <c r="B3653">
        <v>406</v>
      </c>
      <c r="C3653" t="s">
        <v>1052</v>
      </c>
      <c r="D3653">
        <v>10573614</v>
      </c>
      <c r="E3653">
        <v>85628</v>
      </c>
      <c r="F3653">
        <v>48717</v>
      </c>
    </row>
    <row r="3654" spans="1:6">
      <c r="A3654" t="s">
        <v>4698</v>
      </c>
      <c r="B3654">
        <v>406</v>
      </c>
      <c r="C3654" t="s">
        <v>164</v>
      </c>
      <c r="D3654">
        <v>122120061</v>
      </c>
      <c r="E3654">
        <v>91490</v>
      </c>
      <c r="F3654">
        <v>48717</v>
      </c>
    </row>
    <row r="3655" spans="1:6">
      <c r="A3655" t="s">
        <v>4699</v>
      </c>
      <c r="B3655">
        <v>406</v>
      </c>
      <c r="C3655" t="s">
        <v>651</v>
      </c>
      <c r="D3655">
        <v>61060031</v>
      </c>
      <c r="E3655">
        <v>91490</v>
      </c>
      <c r="F3655">
        <v>48717</v>
      </c>
    </row>
    <row r="3656" spans="1:6">
      <c r="A3656" t="s">
        <v>4700</v>
      </c>
      <c r="B3656">
        <v>407</v>
      </c>
      <c r="C3656" t="s">
        <v>154</v>
      </c>
      <c r="D3656">
        <v>1183885</v>
      </c>
      <c r="E3656">
        <v>86156</v>
      </c>
      <c r="F3656">
        <v>48883</v>
      </c>
    </row>
    <row r="3657" spans="1:6">
      <c r="A3657" t="s">
        <v>4701</v>
      </c>
      <c r="B3657">
        <v>407</v>
      </c>
      <c r="C3657" t="s">
        <v>1043</v>
      </c>
      <c r="D3657">
        <v>3551655</v>
      </c>
      <c r="E3657">
        <v>86156</v>
      </c>
      <c r="F3657">
        <v>48883</v>
      </c>
    </row>
    <row r="3658" spans="1:6">
      <c r="A3658" t="s">
        <v>4702</v>
      </c>
      <c r="B3658">
        <v>407</v>
      </c>
      <c r="C3658" t="s">
        <v>1045</v>
      </c>
      <c r="D3658">
        <v>2130993</v>
      </c>
      <c r="E3658">
        <v>86156</v>
      </c>
      <c r="F3658">
        <v>48883</v>
      </c>
    </row>
    <row r="3659" spans="1:6">
      <c r="A3659" t="s">
        <v>4703</v>
      </c>
      <c r="B3659">
        <v>407</v>
      </c>
      <c r="C3659" t="s">
        <v>1047</v>
      </c>
      <c r="D3659">
        <v>591943</v>
      </c>
      <c r="E3659">
        <v>86156</v>
      </c>
      <c r="F3659">
        <v>48883</v>
      </c>
    </row>
    <row r="3660" spans="1:6">
      <c r="A3660" t="s">
        <v>4704</v>
      </c>
      <c r="B3660">
        <v>407</v>
      </c>
      <c r="C3660" t="s">
        <v>1049</v>
      </c>
      <c r="D3660">
        <v>177583</v>
      </c>
      <c r="E3660">
        <v>86156</v>
      </c>
      <c r="F3660">
        <v>48883</v>
      </c>
    </row>
    <row r="3661" spans="1:6">
      <c r="A3661" t="s">
        <v>4705</v>
      </c>
      <c r="B3661">
        <v>407</v>
      </c>
      <c r="C3661" t="s">
        <v>745</v>
      </c>
      <c r="D3661">
        <v>4735540</v>
      </c>
      <c r="E3661">
        <v>86156</v>
      </c>
      <c r="F3661">
        <v>48883</v>
      </c>
    </row>
    <row r="3662" spans="1:6">
      <c r="A3662" t="s">
        <v>4706</v>
      </c>
      <c r="B3662">
        <v>407</v>
      </c>
      <c r="C3662" t="s">
        <v>1052</v>
      </c>
      <c r="D3662">
        <v>10654965</v>
      </c>
      <c r="E3662">
        <v>86156</v>
      </c>
      <c r="F3662">
        <v>48883</v>
      </c>
    </row>
    <row r="3663" spans="1:6">
      <c r="A3663" t="s">
        <v>4707</v>
      </c>
      <c r="B3663">
        <v>407</v>
      </c>
      <c r="C3663" t="s">
        <v>164</v>
      </c>
      <c r="D3663">
        <v>123133788</v>
      </c>
      <c r="E3663">
        <v>92037</v>
      </c>
      <c r="F3663">
        <v>48883</v>
      </c>
    </row>
    <row r="3664" spans="1:6">
      <c r="A3664" t="s">
        <v>4708</v>
      </c>
      <c r="B3664">
        <v>407</v>
      </c>
      <c r="C3664" t="s">
        <v>651</v>
      </c>
      <c r="D3664">
        <v>61566894</v>
      </c>
      <c r="E3664">
        <v>92037</v>
      </c>
      <c r="F3664">
        <v>48883</v>
      </c>
    </row>
    <row r="3665" spans="1:6">
      <c r="A3665" t="s">
        <v>4709</v>
      </c>
      <c r="B3665">
        <v>408</v>
      </c>
      <c r="C3665" t="s">
        <v>154</v>
      </c>
      <c r="D3665">
        <v>1192979</v>
      </c>
      <c r="E3665">
        <v>86687</v>
      </c>
      <c r="F3665">
        <v>49050</v>
      </c>
    </row>
    <row r="3666" spans="1:6">
      <c r="A3666" t="s">
        <v>4710</v>
      </c>
      <c r="B3666">
        <v>408</v>
      </c>
      <c r="C3666" t="s">
        <v>1043</v>
      </c>
      <c r="D3666">
        <v>3578937</v>
      </c>
      <c r="E3666">
        <v>86687</v>
      </c>
      <c r="F3666">
        <v>49050</v>
      </c>
    </row>
    <row r="3667" spans="1:6">
      <c r="A3667" t="s">
        <v>4711</v>
      </c>
      <c r="B3667">
        <v>408</v>
      </c>
      <c r="C3667" t="s">
        <v>1045</v>
      </c>
      <c r="D3667">
        <v>2147363</v>
      </c>
      <c r="E3667">
        <v>86687</v>
      </c>
      <c r="F3667">
        <v>49050</v>
      </c>
    </row>
    <row r="3668" spans="1:6">
      <c r="A3668" t="s">
        <v>4712</v>
      </c>
      <c r="B3668">
        <v>408</v>
      </c>
      <c r="C3668" t="s">
        <v>1047</v>
      </c>
      <c r="D3668">
        <v>596490</v>
      </c>
      <c r="E3668">
        <v>86687</v>
      </c>
      <c r="F3668">
        <v>49050</v>
      </c>
    </row>
    <row r="3669" spans="1:6">
      <c r="A3669" t="s">
        <v>4713</v>
      </c>
      <c r="B3669">
        <v>408</v>
      </c>
      <c r="C3669" t="s">
        <v>1049</v>
      </c>
      <c r="D3669">
        <v>178947</v>
      </c>
      <c r="E3669">
        <v>86687</v>
      </c>
      <c r="F3669">
        <v>49050</v>
      </c>
    </row>
    <row r="3670" spans="1:6">
      <c r="A3670" t="s">
        <v>4714</v>
      </c>
      <c r="B3670">
        <v>408</v>
      </c>
      <c r="C3670" t="s">
        <v>745</v>
      </c>
      <c r="D3670">
        <v>4771916</v>
      </c>
      <c r="E3670">
        <v>86687</v>
      </c>
      <c r="F3670">
        <v>49050</v>
      </c>
    </row>
    <row r="3671" spans="1:6">
      <c r="A3671" t="s">
        <v>4715</v>
      </c>
      <c r="B3671">
        <v>408</v>
      </c>
      <c r="C3671" t="s">
        <v>1052</v>
      </c>
      <c r="D3671">
        <v>10736811</v>
      </c>
      <c r="E3671">
        <v>86687</v>
      </c>
      <c r="F3671">
        <v>49050</v>
      </c>
    </row>
    <row r="3672" spans="1:6">
      <c r="A3672" t="s">
        <v>4716</v>
      </c>
      <c r="B3672">
        <v>408</v>
      </c>
      <c r="C3672" t="s">
        <v>164</v>
      </c>
      <c r="D3672">
        <v>124154400</v>
      </c>
      <c r="E3672">
        <v>92588</v>
      </c>
      <c r="F3672">
        <v>49050</v>
      </c>
    </row>
    <row r="3673" spans="1:6">
      <c r="A3673" t="s">
        <v>4717</v>
      </c>
      <c r="B3673">
        <v>408</v>
      </c>
      <c r="C3673" t="s">
        <v>651</v>
      </c>
      <c r="D3673">
        <v>62077200</v>
      </c>
      <c r="E3673">
        <v>92588</v>
      </c>
      <c r="F3673">
        <v>49050</v>
      </c>
    </row>
    <row r="3674" spans="1:6">
      <c r="A3674" t="s">
        <v>4718</v>
      </c>
      <c r="B3674">
        <v>409</v>
      </c>
      <c r="C3674" t="s">
        <v>154</v>
      </c>
      <c r="D3674">
        <v>1202129</v>
      </c>
      <c r="E3674">
        <v>87221</v>
      </c>
      <c r="F3674">
        <v>49216</v>
      </c>
    </row>
    <row r="3675" spans="1:6">
      <c r="A3675" t="s">
        <v>4719</v>
      </c>
      <c r="B3675">
        <v>409</v>
      </c>
      <c r="C3675" t="s">
        <v>1043</v>
      </c>
      <c r="D3675">
        <v>3606387</v>
      </c>
      <c r="E3675">
        <v>87221</v>
      </c>
      <c r="F3675">
        <v>49216</v>
      </c>
    </row>
    <row r="3676" spans="1:6">
      <c r="A3676" t="s">
        <v>4720</v>
      </c>
      <c r="B3676">
        <v>409</v>
      </c>
      <c r="C3676" t="s">
        <v>1045</v>
      </c>
      <c r="D3676">
        <v>2163833</v>
      </c>
      <c r="E3676">
        <v>87221</v>
      </c>
      <c r="F3676">
        <v>49216</v>
      </c>
    </row>
    <row r="3677" spans="1:6">
      <c r="A3677" t="s">
        <v>4721</v>
      </c>
      <c r="B3677">
        <v>409</v>
      </c>
      <c r="C3677" t="s">
        <v>1047</v>
      </c>
      <c r="D3677">
        <v>601065</v>
      </c>
      <c r="E3677">
        <v>87221</v>
      </c>
      <c r="F3677">
        <v>49216</v>
      </c>
    </row>
    <row r="3678" spans="1:6">
      <c r="A3678" t="s">
        <v>4722</v>
      </c>
      <c r="B3678">
        <v>409</v>
      </c>
      <c r="C3678" t="s">
        <v>1049</v>
      </c>
      <c r="D3678">
        <v>180320</v>
      </c>
      <c r="E3678">
        <v>87221</v>
      </c>
      <c r="F3678">
        <v>49216</v>
      </c>
    </row>
    <row r="3679" spans="1:6">
      <c r="A3679" t="s">
        <v>4723</v>
      </c>
      <c r="B3679">
        <v>409</v>
      </c>
      <c r="C3679" t="s">
        <v>745</v>
      </c>
      <c r="D3679">
        <v>4808516</v>
      </c>
      <c r="E3679">
        <v>87221</v>
      </c>
      <c r="F3679">
        <v>49216</v>
      </c>
    </row>
    <row r="3680" spans="1:6">
      <c r="A3680" t="s">
        <v>4724</v>
      </c>
      <c r="B3680">
        <v>409</v>
      </c>
      <c r="C3680" t="s">
        <v>1052</v>
      </c>
      <c r="D3680">
        <v>10819161</v>
      </c>
      <c r="E3680">
        <v>87221</v>
      </c>
      <c r="F3680">
        <v>49216</v>
      </c>
    </row>
    <row r="3681" spans="1:6">
      <c r="A3681" t="s">
        <v>4725</v>
      </c>
      <c r="B3681">
        <v>409</v>
      </c>
      <c r="C3681" t="s">
        <v>164</v>
      </c>
      <c r="D3681">
        <v>125181897</v>
      </c>
      <c r="E3681">
        <v>93141</v>
      </c>
      <c r="F3681">
        <v>49216</v>
      </c>
    </row>
    <row r="3682" spans="1:6">
      <c r="A3682" t="s">
        <v>4726</v>
      </c>
      <c r="B3682">
        <v>409</v>
      </c>
      <c r="C3682" t="s">
        <v>651</v>
      </c>
      <c r="D3682">
        <v>62590949</v>
      </c>
      <c r="E3682">
        <v>93141</v>
      </c>
      <c r="F3682">
        <v>49216</v>
      </c>
    </row>
    <row r="3683" spans="1:6">
      <c r="A3683" t="s">
        <v>4727</v>
      </c>
      <c r="B3683">
        <v>410</v>
      </c>
      <c r="C3683" t="s">
        <v>154</v>
      </c>
      <c r="D3683">
        <v>1211335</v>
      </c>
      <c r="E3683">
        <v>87758</v>
      </c>
      <c r="F3683">
        <v>49383</v>
      </c>
    </row>
    <row r="3684" spans="1:6">
      <c r="A3684" t="s">
        <v>4728</v>
      </c>
      <c r="B3684">
        <v>410</v>
      </c>
      <c r="C3684" t="s">
        <v>1043</v>
      </c>
      <c r="D3684">
        <v>3634005</v>
      </c>
      <c r="E3684">
        <v>87758</v>
      </c>
      <c r="F3684">
        <v>49383</v>
      </c>
    </row>
    <row r="3685" spans="1:6">
      <c r="A3685" t="s">
        <v>4729</v>
      </c>
      <c r="B3685">
        <v>410</v>
      </c>
      <c r="C3685" t="s">
        <v>1045</v>
      </c>
      <c r="D3685">
        <v>2180403</v>
      </c>
      <c r="E3685">
        <v>87758</v>
      </c>
      <c r="F3685">
        <v>49383</v>
      </c>
    </row>
    <row r="3686" spans="1:6">
      <c r="A3686" t="s">
        <v>4730</v>
      </c>
      <c r="B3686">
        <v>410</v>
      </c>
      <c r="C3686" t="s">
        <v>1047</v>
      </c>
      <c r="D3686">
        <v>605668</v>
      </c>
      <c r="E3686">
        <v>87758</v>
      </c>
      <c r="F3686">
        <v>49383</v>
      </c>
    </row>
    <row r="3687" spans="1:6">
      <c r="A3687" t="s">
        <v>4731</v>
      </c>
      <c r="B3687">
        <v>410</v>
      </c>
      <c r="C3687" t="s">
        <v>1049</v>
      </c>
      <c r="D3687">
        <v>181701</v>
      </c>
      <c r="E3687">
        <v>87758</v>
      </c>
      <c r="F3687">
        <v>49383</v>
      </c>
    </row>
    <row r="3688" spans="1:6">
      <c r="A3688" t="s">
        <v>4732</v>
      </c>
      <c r="B3688">
        <v>410</v>
      </c>
      <c r="C3688" t="s">
        <v>745</v>
      </c>
      <c r="D3688">
        <v>4845340</v>
      </c>
      <c r="E3688">
        <v>87758</v>
      </c>
      <c r="F3688">
        <v>49383</v>
      </c>
    </row>
    <row r="3689" spans="1:6">
      <c r="A3689" t="s">
        <v>4733</v>
      </c>
      <c r="B3689">
        <v>410</v>
      </c>
      <c r="C3689" t="s">
        <v>1052</v>
      </c>
      <c r="D3689">
        <v>10902015</v>
      </c>
      <c r="E3689">
        <v>87758</v>
      </c>
      <c r="F3689">
        <v>49383</v>
      </c>
    </row>
    <row r="3690" spans="1:6">
      <c r="A3690" t="s">
        <v>4734</v>
      </c>
      <c r="B3690">
        <v>410</v>
      </c>
      <c r="C3690" t="s">
        <v>164</v>
      </c>
      <c r="D3690">
        <v>126216330</v>
      </c>
      <c r="E3690">
        <v>93697</v>
      </c>
      <c r="F3690">
        <v>49383</v>
      </c>
    </row>
    <row r="3691" spans="1:6">
      <c r="A3691" t="s">
        <v>4735</v>
      </c>
      <c r="B3691">
        <v>410</v>
      </c>
      <c r="C3691" t="s">
        <v>651</v>
      </c>
      <c r="D3691">
        <v>63108165</v>
      </c>
      <c r="E3691">
        <v>93697</v>
      </c>
      <c r="F3691">
        <v>49383</v>
      </c>
    </row>
    <row r="3692" spans="1:6">
      <c r="A3692" t="s">
        <v>4736</v>
      </c>
      <c r="B3692">
        <v>411</v>
      </c>
      <c r="C3692" t="s">
        <v>154</v>
      </c>
      <c r="D3692">
        <v>1220597</v>
      </c>
      <c r="E3692">
        <v>88296</v>
      </c>
      <c r="F3692">
        <v>49550</v>
      </c>
    </row>
    <row r="3693" spans="1:6">
      <c r="A3693" t="s">
        <v>4737</v>
      </c>
      <c r="B3693">
        <v>411</v>
      </c>
      <c r="C3693" t="s">
        <v>1043</v>
      </c>
      <c r="D3693">
        <v>3661791</v>
      </c>
      <c r="E3693">
        <v>88296</v>
      </c>
      <c r="F3693">
        <v>49550</v>
      </c>
    </row>
    <row r="3694" spans="1:6">
      <c r="A3694" t="s">
        <v>4738</v>
      </c>
      <c r="B3694">
        <v>411</v>
      </c>
      <c r="C3694" t="s">
        <v>1045</v>
      </c>
      <c r="D3694">
        <v>2197075</v>
      </c>
      <c r="E3694">
        <v>88296</v>
      </c>
      <c r="F3694">
        <v>49550</v>
      </c>
    </row>
    <row r="3695" spans="1:6">
      <c r="A3695" t="s">
        <v>4739</v>
      </c>
      <c r="B3695">
        <v>411</v>
      </c>
      <c r="C3695" t="s">
        <v>1047</v>
      </c>
      <c r="D3695">
        <v>610299</v>
      </c>
      <c r="E3695">
        <v>88296</v>
      </c>
      <c r="F3695">
        <v>49550</v>
      </c>
    </row>
    <row r="3696" spans="1:6">
      <c r="A3696" t="s">
        <v>4740</v>
      </c>
      <c r="B3696">
        <v>411</v>
      </c>
      <c r="C3696" t="s">
        <v>1049</v>
      </c>
      <c r="D3696">
        <v>183090</v>
      </c>
      <c r="E3696">
        <v>88296</v>
      </c>
      <c r="F3696">
        <v>49550</v>
      </c>
    </row>
    <row r="3697" spans="1:6">
      <c r="A3697" t="s">
        <v>4741</v>
      </c>
      <c r="B3697">
        <v>411</v>
      </c>
      <c r="C3697" t="s">
        <v>745</v>
      </c>
      <c r="D3697">
        <v>4882388</v>
      </c>
      <c r="E3697">
        <v>88296</v>
      </c>
      <c r="F3697">
        <v>49550</v>
      </c>
    </row>
    <row r="3698" spans="1:6">
      <c r="A3698" t="s">
        <v>4742</v>
      </c>
      <c r="B3698">
        <v>411</v>
      </c>
      <c r="C3698" t="s">
        <v>1052</v>
      </c>
      <c r="D3698">
        <v>10985373</v>
      </c>
      <c r="E3698">
        <v>88296</v>
      </c>
      <c r="F3698">
        <v>49550</v>
      </c>
    </row>
    <row r="3699" spans="1:6">
      <c r="A3699" t="s">
        <v>4743</v>
      </c>
      <c r="B3699">
        <v>411</v>
      </c>
      <c r="C3699" t="s">
        <v>164</v>
      </c>
      <c r="D3699">
        <v>127257750</v>
      </c>
      <c r="E3699">
        <v>94255</v>
      </c>
      <c r="F3699">
        <v>49550</v>
      </c>
    </row>
    <row r="3700" spans="1:6">
      <c r="A3700" t="s">
        <v>4744</v>
      </c>
      <c r="B3700">
        <v>411</v>
      </c>
      <c r="C3700" t="s">
        <v>651</v>
      </c>
      <c r="D3700">
        <v>63628875</v>
      </c>
      <c r="E3700">
        <v>94255</v>
      </c>
      <c r="F3700">
        <v>49550</v>
      </c>
    </row>
    <row r="3701" spans="1:6">
      <c r="A3701" t="s">
        <v>4745</v>
      </c>
      <c r="B3701">
        <v>412</v>
      </c>
      <c r="C3701" t="s">
        <v>154</v>
      </c>
      <c r="D3701">
        <v>1229914</v>
      </c>
      <c r="E3701">
        <v>88839</v>
      </c>
      <c r="F3701">
        <v>49718</v>
      </c>
    </row>
    <row r="3702" spans="1:6">
      <c r="A3702" t="s">
        <v>4746</v>
      </c>
      <c r="B3702">
        <v>412</v>
      </c>
      <c r="C3702" t="s">
        <v>1043</v>
      </c>
      <c r="D3702">
        <v>3689742</v>
      </c>
      <c r="E3702">
        <v>88839</v>
      </c>
      <c r="F3702">
        <v>49718</v>
      </c>
    </row>
    <row r="3703" spans="1:6">
      <c r="A3703" t="s">
        <v>4747</v>
      </c>
      <c r="B3703">
        <v>412</v>
      </c>
      <c r="C3703" t="s">
        <v>1045</v>
      </c>
      <c r="D3703">
        <v>2213846</v>
      </c>
      <c r="E3703">
        <v>88839</v>
      </c>
      <c r="F3703">
        <v>49718</v>
      </c>
    </row>
    <row r="3704" spans="1:6">
      <c r="A3704" t="s">
        <v>4748</v>
      </c>
      <c r="B3704">
        <v>412</v>
      </c>
      <c r="C3704" t="s">
        <v>1047</v>
      </c>
      <c r="D3704">
        <v>614957</v>
      </c>
      <c r="E3704">
        <v>88839</v>
      </c>
      <c r="F3704">
        <v>49718</v>
      </c>
    </row>
    <row r="3705" spans="1:6">
      <c r="A3705" t="s">
        <v>4749</v>
      </c>
      <c r="B3705">
        <v>412</v>
      </c>
      <c r="C3705" t="s">
        <v>1049</v>
      </c>
      <c r="D3705">
        <v>184488</v>
      </c>
      <c r="E3705">
        <v>88839</v>
      </c>
      <c r="F3705">
        <v>49718</v>
      </c>
    </row>
    <row r="3706" spans="1:6">
      <c r="A3706" t="s">
        <v>4750</v>
      </c>
      <c r="B3706">
        <v>412</v>
      </c>
      <c r="C3706" t="s">
        <v>745</v>
      </c>
      <c r="D3706">
        <v>4919656</v>
      </c>
      <c r="E3706">
        <v>88839</v>
      </c>
      <c r="F3706">
        <v>49718</v>
      </c>
    </row>
    <row r="3707" spans="1:6">
      <c r="A3707" t="s">
        <v>4751</v>
      </c>
      <c r="B3707">
        <v>412</v>
      </c>
      <c r="C3707" t="s">
        <v>1052</v>
      </c>
      <c r="D3707">
        <v>11069226</v>
      </c>
      <c r="E3707">
        <v>88839</v>
      </c>
      <c r="F3707">
        <v>49718</v>
      </c>
    </row>
    <row r="3708" spans="1:6">
      <c r="A3708" t="s">
        <v>4752</v>
      </c>
      <c r="B3708">
        <v>412</v>
      </c>
      <c r="C3708" t="s">
        <v>164</v>
      </c>
      <c r="D3708">
        <v>128306157</v>
      </c>
      <c r="E3708">
        <v>94817</v>
      </c>
      <c r="F3708">
        <v>49718</v>
      </c>
    </row>
    <row r="3709" spans="1:6">
      <c r="A3709" t="s">
        <v>4753</v>
      </c>
      <c r="B3709">
        <v>412</v>
      </c>
      <c r="C3709" t="s">
        <v>651</v>
      </c>
      <c r="D3709">
        <v>64153079</v>
      </c>
      <c r="E3709">
        <v>94817</v>
      </c>
      <c r="F3709">
        <v>49718</v>
      </c>
    </row>
    <row r="3710" spans="1:6">
      <c r="A3710" t="s">
        <v>4754</v>
      </c>
      <c r="B3710">
        <v>413</v>
      </c>
      <c r="C3710" t="s">
        <v>154</v>
      </c>
      <c r="D3710">
        <v>1239289</v>
      </c>
      <c r="E3710">
        <v>89383</v>
      </c>
      <c r="F3710">
        <v>49885</v>
      </c>
    </row>
    <row r="3711" spans="1:6">
      <c r="A3711" t="s">
        <v>4755</v>
      </c>
      <c r="B3711">
        <v>413</v>
      </c>
      <c r="C3711" t="s">
        <v>1043</v>
      </c>
      <c r="D3711">
        <v>3717867</v>
      </c>
      <c r="E3711">
        <v>89383</v>
      </c>
      <c r="F3711">
        <v>49885</v>
      </c>
    </row>
    <row r="3712" spans="1:6">
      <c r="A3712" t="s">
        <v>4756</v>
      </c>
      <c r="B3712">
        <v>413</v>
      </c>
      <c r="C3712" t="s">
        <v>1045</v>
      </c>
      <c r="D3712">
        <v>2230721</v>
      </c>
      <c r="E3712">
        <v>89383</v>
      </c>
      <c r="F3712">
        <v>49885</v>
      </c>
    </row>
    <row r="3713" spans="1:6">
      <c r="A3713" t="s">
        <v>4757</v>
      </c>
      <c r="B3713">
        <v>413</v>
      </c>
      <c r="C3713" t="s">
        <v>1047</v>
      </c>
      <c r="D3713">
        <v>619645</v>
      </c>
      <c r="E3713">
        <v>89383</v>
      </c>
      <c r="F3713">
        <v>49885</v>
      </c>
    </row>
    <row r="3714" spans="1:6">
      <c r="A3714" t="s">
        <v>4758</v>
      </c>
      <c r="B3714">
        <v>413</v>
      </c>
      <c r="C3714" t="s">
        <v>1049</v>
      </c>
      <c r="D3714">
        <v>185894</v>
      </c>
      <c r="E3714">
        <v>89383</v>
      </c>
      <c r="F3714">
        <v>49885</v>
      </c>
    </row>
    <row r="3715" spans="1:6">
      <c r="A3715" t="s">
        <v>4759</v>
      </c>
      <c r="B3715">
        <v>413</v>
      </c>
      <c r="C3715" t="s">
        <v>745</v>
      </c>
      <c r="D3715">
        <v>4957156</v>
      </c>
      <c r="E3715">
        <v>89383</v>
      </c>
      <c r="F3715">
        <v>49885</v>
      </c>
    </row>
    <row r="3716" spans="1:6">
      <c r="A3716" t="s">
        <v>4760</v>
      </c>
      <c r="B3716">
        <v>413</v>
      </c>
      <c r="C3716" t="s">
        <v>1052</v>
      </c>
      <c r="D3716">
        <v>11153601</v>
      </c>
      <c r="E3716">
        <v>89383</v>
      </c>
      <c r="F3716">
        <v>49885</v>
      </c>
    </row>
    <row r="3717" spans="1:6">
      <c r="A3717" t="s">
        <v>4761</v>
      </c>
      <c r="B3717">
        <v>413</v>
      </c>
      <c r="C3717" t="s">
        <v>164</v>
      </c>
      <c r="D3717">
        <v>129361602</v>
      </c>
      <c r="E3717">
        <v>95381</v>
      </c>
      <c r="F3717">
        <v>49885</v>
      </c>
    </row>
    <row r="3718" spans="1:6">
      <c r="A3718" t="s">
        <v>4762</v>
      </c>
      <c r="B3718">
        <v>413</v>
      </c>
      <c r="C3718" t="s">
        <v>651</v>
      </c>
      <c r="D3718">
        <v>64680801</v>
      </c>
      <c r="E3718">
        <v>95381</v>
      </c>
      <c r="F3718">
        <v>49885</v>
      </c>
    </row>
    <row r="3719" spans="1:6">
      <c r="A3719" t="s">
        <v>4763</v>
      </c>
      <c r="B3719">
        <v>414</v>
      </c>
      <c r="C3719" t="s">
        <v>154</v>
      </c>
      <c r="D3719">
        <v>1248720</v>
      </c>
      <c r="E3719">
        <v>89931</v>
      </c>
      <c r="F3719">
        <v>50053</v>
      </c>
    </row>
    <row r="3720" spans="1:6">
      <c r="A3720" t="s">
        <v>4764</v>
      </c>
      <c r="B3720">
        <v>414</v>
      </c>
      <c r="C3720" t="s">
        <v>1043</v>
      </c>
      <c r="D3720">
        <v>3746160</v>
      </c>
      <c r="E3720">
        <v>89931</v>
      </c>
      <c r="F3720">
        <v>50053</v>
      </c>
    </row>
    <row r="3721" spans="1:6">
      <c r="A3721" t="s">
        <v>4765</v>
      </c>
      <c r="B3721">
        <v>414</v>
      </c>
      <c r="C3721" t="s">
        <v>1045</v>
      </c>
      <c r="D3721">
        <v>2247696</v>
      </c>
      <c r="E3721">
        <v>89931</v>
      </c>
      <c r="F3721">
        <v>50053</v>
      </c>
    </row>
    <row r="3722" spans="1:6">
      <c r="A3722" t="s">
        <v>4766</v>
      </c>
      <c r="B3722">
        <v>414</v>
      </c>
      <c r="C3722" t="s">
        <v>1047</v>
      </c>
      <c r="D3722">
        <v>624360</v>
      </c>
      <c r="E3722">
        <v>89931</v>
      </c>
      <c r="F3722">
        <v>50053</v>
      </c>
    </row>
    <row r="3723" spans="1:6">
      <c r="A3723" t="s">
        <v>4767</v>
      </c>
      <c r="B3723">
        <v>414</v>
      </c>
      <c r="C3723" t="s">
        <v>1049</v>
      </c>
      <c r="D3723">
        <v>187308</v>
      </c>
      <c r="E3723">
        <v>89931</v>
      </c>
      <c r="F3723">
        <v>50053</v>
      </c>
    </row>
    <row r="3724" spans="1:6">
      <c r="A3724" t="s">
        <v>4768</v>
      </c>
      <c r="B3724">
        <v>414</v>
      </c>
      <c r="C3724" t="s">
        <v>745</v>
      </c>
      <c r="D3724">
        <v>4994880</v>
      </c>
      <c r="E3724">
        <v>89931</v>
      </c>
      <c r="F3724">
        <v>50053</v>
      </c>
    </row>
    <row r="3725" spans="1:6">
      <c r="A3725" t="s">
        <v>4769</v>
      </c>
      <c r="B3725">
        <v>414</v>
      </c>
      <c r="C3725" t="s">
        <v>1052</v>
      </c>
      <c r="D3725">
        <v>11238480</v>
      </c>
      <c r="E3725">
        <v>89931</v>
      </c>
      <c r="F3725">
        <v>50053</v>
      </c>
    </row>
    <row r="3726" spans="1:6">
      <c r="A3726" t="s">
        <v>4770</v>
      </c>
      <c r="B3726">
        <v>414</v>
      </c>
      <c r="C3726" t="s">
        <v>164</v>
      </c>
      <c r="D3726">
        <v>130424136</v>
      </c>
      <c r="E3726">
        <v>95948</v>
      </c>
      <c r="F3726">
        <v>50053</v>
      </c>
    </row>
    <row r="3727" spans="1:6">
      <c r="A3727" t="s">
        <v>4771</v>
      </c>
      <c r="B3727">
        <v>414</v>
      </c>
      <c r="C3727" t="s">
        <v>651</v>
      </c>
      <c r="D3727">
        <v>65212068</v>
      </c>
      <c r="E3727">
        <v>95948</v>
      </c>
      <c r="F3727">
        <v>50053</v>
      </c>
    </row>
    <row r="3728" spans="1:6">
      <c r="A3728" t="s">
        <v>4772</v>
      </c>
      <c r="B3728">
        <v>415</v>
      </c>
      <c r="C3728" t="s">
        <v>154</v>
      </c>
      <c r="D3728">
        <v>1258208</v>
      </c>
      <c r="E3728">
        <v>90481</v>
      </c>
      <c r="F3728">
        <v>50221</v>
      </c>
    </row>
    <row r="3729" spans="1:6">
      <c r="A3729" t="s">
        <v>4773</v>
      </c>
      <c r="B3729">
        <v>415</v>
      </c>
      <c r="C3729" t="s">
        <v>1043</v>
      </c>
      <c r="D3729">
        <v>3774624</v>
      </c>
      <c r="E3729">
        <v>90481</v>
      </c>
      <c r="F3729">
        <v>50221</v>
      </c>
    </row>
    <row r="3730" spans="1:6">
      <c r="A3730" t="s">
        <v>4774</v>
      </c>
      <c r="B3730">
        <v>415</v>
      </c>
      <c r="C3730" t="s">
        <v>1045</v>
      </c>
      <c r="D3730">
        <v>2264775</v>
      </c>
      <c r="E3730">
        <v>90481</v>
      </c>
      <c r="F3730">
        <v>50221</v>
      </c>
    </row>
    <row r="3731" spans="1:6">
      <c r="A3731" t="s">
        <v>4775</v>
      </c>
      <c r="B3731">
        <v>415</v>
      </c>
      <c r="C3731" t="s">
        <v>1047</v>
      </c>
      <c r="D3731">
        <v>629104</v>
      </c>
      <c r="E3731">
        <v>90481</v>
      </c>
      <c r="F3731">
        <v>50221</v>
      </c>
    </row>
    <row r="3732" spans="1:6">
      <c r="A3732" t="s">
        <v>4776</v>
      </c>
      <c r="B3732">
        <v>415</v>
      </c>
      <c r="C3732" t="s">
        <v>1049</v>
      </c>
      <c r="D3732">
        <v>188732</v>
      </c>
      <c r="E3732">
        <v>90481</v>
      </c>
      <c r="F3732">
        <v>50221</v>
      </c>
    </row>
    <row r="3733" spans="1:6">
      <c r="A3733" t="s">
        <v>4777</v>
      </c>
      <c r="B3733">
        <v>415</v>
      </c>
      <c r="C3733" t="s">
        <v>745</v>
      </c>
      <c r="D3733">
        <v>5032832</v>
      </c>
      <c r="E3733">
        <v>90481</v>
      </c>
      <c r="F3733">
        <v>50221</v>
      </c>
    </row>
    <row r="3734" spans="1:6">
      <c r="A3734" t="s">
        <v>4778</v>
      </c>
      <c r="B3734">
        <v>415</v>
      </c>
      <c r="C3734" t="s">
        <v>1052</v>
      </c>
      <c r="D3734">
        <v>11323872</v>
      </c>
      <c r="E3734">
        <v>90481</v>
      </c>
      <c r="F3734">
        <v>50221</v>
      </c>
    </row>
    <row r="3735" spans="1:6">
      <c r="A3735" t="s">
        <v>4779</v>
      </c>
      <c r="B3735">
        <v>415</v>
      </c>
      <c r="C3735" t="s">
        <v>164</v>
      </c>
      <c r="D3735">
        <v>131493810</v>
      </c>
      <c r="E3735">
        <v>96518</v>
      </c>
      <c r="F3735">
        <v>50221</v>
      </c>
    </row>
    <row r="3736" spans="1:6">
      <c r="A3736" t="s">
        <v>4780</v>
      </c>
      <c r="B3736">
        <v>415</v>
      </c>
      <c r="C3736" t="s">
        <v>651</v>
      </c>
      <c r="D3736">
        <v>65746905</v>
      </c>
      <c r="E3736">
        <v>96518</v>
      </c>
      <c r="F3736">
        <v>50221</v>
      </c>
    </row>
    <row r="3737" spans="1:6">
      <c r="A3737" t="s">
        <v>4781</v>
      </c>
      <c r="B3737">
        <v>416</v>
      </c>
      <c r="C3737" t="s">
        <v>154</v>
      </c>
      <c r="D3737">
        <v>1267754</v>
      </c>
      <c r="E3737">
        <v>91034</v>
      </c>
      <c r="F3737">
        <v>50390</v>
      </c>
    </row>
    <row r="3738" spans="1:6">
      <c r="A3738" t="s">
        <v>4782</v>
      </c>
      <c r="B3738">
        <v>416</v>
      </c>
      <c r="C3738" t="s">
        <v>1043</v>
      </c>
      <c r="D3738">
        <v>3803262</v>
      </c>
      <c r="E3738">
        <v>91034</v>
      </c>
      <c r="F3738">
        <v>50390</v>
      </c>
    </row>
    <row r="3739" spans="1:6">
      <c r="A3739" t="s">
        <v>4783</v>
      </c>
      <c r="B3739">
        <v>416</v>
      </c>
      <c r="C3739" t="s">
        <v>1045</v>
      </c>
      <c r="D3739">
        <v>2281958</v>
      </c>
      <c r="E3739">
        <v>91034</v>
      </c>
      <c r="F3739">
        <v>50390</v>
      </c>
    </row>
    <row r="3740" spans="1:6">
      <c r="A3740" t="s">
        <v>4784</v>
      </c>
      <c r="B3740">
        <v>416</v>
      </c>
      <c r="C3740" t="s">
        <v>1047</v>
      </c>
      <c r="D3740">
        <v>633877</v>
      </c>
      <c r="E3740">
        <v>91034</v>
      </c>
      <c r="F3740">
        <v>50390</v>
      </c>
    </row>
    <row r="3741" spans="1:6">
      <c r="A3741" t="s">
        <v>4785</v>
      </c>
      <c r="B3741">
        <v>416</v>
      </c>
      <c r="C3741" t="s">
        <v>1049</v>
      </c>
      <c r="D3741">
        <v>190164</v>
      </c>
      <c r="E3741">
        <v>91034</v>
      </c>
      <c r="F3741">
        <v>50390</v>
      </c>
    </row>
    <row r="3742" spans="1:6">
      <c r="A3742" t="s">
        <v>4786</v>
      </c>
      <c r="B3742">
        <v>416</v>
      </c>
      <c r="C3742" t="s">
        <v>745</v>
      </c>
      <c r="D3742">
        <v>5071016</v>
      </c>
      <c r="E3742">
        <v>91034</v>
      </c>
      <c r="F3742">
        <v>50390</v>
      </c>
    </row>
    <row r="3743" spans="1:6">
      <c r="A3743" t="s">
        <v>4787</v>
      </c>
      <c r="B3743">
        <v>416</v>
      </c>
      <c r="C3743" t="s">
        <v>1052</v>
      </c>
      <c r="D3743">
        <v>11409786</v>
      </c>
      <c r="E3743">
        <v>91034</v>
      </c>
      <c r="F3743">
        <v>50390</v>
      </c>
    </row>
    <row r="3744" spans="1:6">
      <c r="A3744" t="s">
        <v>4788</v>
      </c>
      <c r="B3744">
        <v>416</v>
      </c>
      <c r="C3744" t="s">
        <v>164</v>
      </c>
      <c r="D3744">
        <v>132570675</v>
      </c>
      <c r="E3744">
        <v>97091</v>
      </c>
      <c r="F3744">
        <v>50390</v>
      </c>
    </row>
    <row r="3745" spans="1:6">
      <c r="A3745" t="s">
        <v>4789</v>
      </c>
      <c r="B3745">
        <v>416</v>
      </c>
      <c r="C3745" t="s">
        <v>651</v>
      </c>
      <c r="D3745">
        <v>66285338</v>
      </c>
      <c r="E3745">
        <v>97091</v>
      </c>
      <c r="F3745">
        <v>50390</v>
      </c>
    </row>
    <row r="3746" spans="1:6">
      <c r="A3746" t="s">
        <v>4790</v>
      </c>
      <c r="B3746">
        <v>417</v>
      </c>
      <c r="C3746" t="s">
        <v>154</v>
      </c>
      <c r="D3746">
        <v>1277357</v>
      </c>
      <c r="E3746">
        <v>91590</v>
      </c>
      <c r="F3746">
        <v>50558</v>
      </c>
    </row>
    <row r="3747" spans="1:6">
      <c r="A3747" t="s">
        <v>4791</v>
      </c>
      <c r="B3747">
        <v>417</v>
      </c>
      <c r="C3747" t="s">
        <v>1043</v>
      </c>
      <c r="D3747">
        <v>3832071</v>
      </c>
      <c r="E3747">
        <v>91590</v>
      </c>
      <c r="F3747">
        <v>50558</v>
      </c>
    </row>
    <row r="3748" spans="1:6">
      <c r="A3748" t="s">
        <v>4792</v>
      </c>
      <c r="B3748">
        <v>417</v>
      </c>
      <c r="C3748" t="s">
        <v>1045</v>
      </c>
      <c r="D3748">
        <v>2299243</v>
      </c>
      <c r="E3748">
        <v>91590</v>
      </c>
      <c r="F3748">
        <v>50558</v>
      </c>
    </row>
    <row r="3749" spans="1:6">
      <c r="A3749" t="s">
        <v>4793</v>
      </c>
      <c r="B3749">
        <v>417</v>
      </c>
      <c r="C3749" t="s">
        <v>1047</v>
      </c>
      <c r="D3749">
        <v>638679</v>
      </c>
      <c r="E3749">
        <v>91590</v>
      </c>
      <c r="F3749">
        <v>50558</v>
      </c>
    </row>
    <row r="3750" spans="1:6">
      <c r="A3750" t="s">
        <v>4794</v>
      </c>
      <c r="B3750">
        <v>417</v>
      </c>
      <c r="C3750" t="s">
        <v>1049</v>
      </c>
      <c r="D3750">
        <v>191604</v>
      </c>
      <c r="E3750">
        <v>91590</v>
      </c>
      <c r="F3750">
        <v>50558</v>
      </c>
    </row>
    <row r="3751" spans="1:6">
      <c r="A3751" t="s">
        <v>4795</v>
      </c>
      <c r="B3751">
        <v>417</v>
      </c>
      <c r="C3751" t="s">
        <v>745</v>
      </c>
      <c r="D3751">
        <v>5109428</v>
      </c>
      <c r="E3751">
        <v>91590</v>
      </c>
      <c r="F3751">
        <v>50558</v>
      </c>
    </row>
    <row r="3752" spans="1:6">
      <c r="A3752" t="s">
        <v>4796</v>
      </c>
      <c r="B3752">
        <v>417</v>
      </c>
      <c r="C3752" t="s">
        <v>1052</v>
      </c>
      <c r="D3752">
        <v>11496213</v>
      </c>
      <c r="E3752">
        <v>91590</v>
      </c>
      <c r="F3752">
        <v>50558</v>
      </c>
    </row>
    <row r="3753" spans="1:6">
      <c r="A3753" t="s">
        <v>4797</v>
      </c>
      <c r="B3753">
        <v>417</v>
      </c>
      <c r="C3753" t="s">
        <v>164</v>
      </c>
      <c r="D3753">
        <v>133654680</v>
      </c>
      <c r="E3753">
        <v>97666</v>
      </c>
      <c r="F3753">
        <v>50558</v>
      </c>
    </row>
    <row r="3754" spans="1:6">
      <c r="A3754" t="s">
        <v>4798</v>
      </c>
      <c r="B3754">
        <v>417</v>
      </c>
      <c r="C3754" t="s">
        <v>651</v>
      </c>
      <c r="D3754">
        <v>66827340</v>
      </c>
      <c r="E3754">
        <v>97666</v>
      </c>
      <c r="F3754">
        <v>50558</v>
      </c>
    </row>
    <row r="3755" spans="1:6">
      <c r="A3755" t="s">
        <v>4799</v>
      </c>
      <c r="B3755">
        <v>418</v>
      </c>
      <c r="C3755" t="s">
        <v>154</v>
      </c>
      <c r="D3755">
        <v>1287018</v>
      </c>
      <c r="E3755">
        <v>92149</v>
      </c>
      <c r="F3755">
        <v>50727</v>
      </c>
    </row>
    <row r="3756" spans="1:6">
      <c r="A3756" t="s">
        <v>4800</v>
      </c>
      <c r="B3756">
        <v>418</v>
      </c>
      <c r="C3756" t="s">
        <v>1043</v>
      </c>
      <c r="D3756">
        <v>3861054</v>
      </c>
      <c r="E3756">
        <v>92149</v>
      </c>
      <c r="F3756">
        <v>50727</v>
      </c>
    </row>
    <row r="3757" spans="1:6">
      <c r="A3757" t="s">
        <v>4801</v>
      </c>
      <c r="B3757">
        <v>418</v>
      </c>
      <c r="C3757" t="s">
        <v>1045</v>
      </c>
      <c r="D3757">
        <v>2316633</v>
      </c>
      <c r="E3757">
        <v>92149</v>
      </c>
      <c r="F3757">
        <v>50727</v>
      </c>
    </row>
    <row r="3758" spans="1:6">
      <c r="A3758" t="s">
        <v>4802</v>
      </c>
      <c r="B3758">
        <v>418</v>
      </c>
      <c r="C3758" t="s">
        <v>1047</v>
      </c>
      <c r="D3758">
        <v>643509</v>
      </c>
      <c r="E3758">
        <v>92149</v>
      </c>
      <c r="F3758">
        <v>50727</v>
      </c>
    </row>
    <row r="3759" spans="1:6">
      <c r="A3759" t="s">
        <v>4803</v>
      </c>
      <c r="B3759">
        <v>418</v>
      </c>
      <c r="C3759" t="s">
        <v>1049</v>
      </c>
      <c r="D3759">
        <v>193053</v>
      </c>
      <c r="E3759">
        <v>92149</v>
      </c>
      <c r="F3759">
        <v>50727</v>
      </c>
    </row>
    <row r="3760" spans="1:6">
      <c r="A3760" t="s">
        <v>4804</v>
      </c>
      <c r="B3760">
        <v>418</v>
      </c>
      <c r="C3760" t="s">
        <v>745</v>
      </c>
      <c r="D3760">
        <v>5148072</v>
      </c>
      <c r="E3760">
        <v>92149</v>
      </c>
      <c r="F3760">
        <v>50727</v>
      </c>
    </row>
    <row r="3761" spans="1:6">
      <c r="A3761" t="s">
        <v>4805</v>
      </c>
      <c r="B3761">
        <v>418</v>
      </c>
      <c r="C3761" t="s">
        <v>1052</v>
      </c>
      <c r="D3761">
        <v>11583162</v>
      </c>
      <c r="E3761">
        <v>92149</v>
      </c>
      <c r="F3761">
        <v>50727</v>
      </c>
    </row>
    <row r="3762" spans="1:6">
      <c r="A3762" t="s">
        <v>4806</v>
      </c>
      <c r="B3762">
        <v>418</v>
      </c>
      <c r="C3762" t="s">
        <v>164</v>
      </c>
      <c r="D3762">
        <v>134745978</v>
      </c>
      <c r="E3762">
        <v>98245</v>
      </c>
      <c r="F3762">
        <v>50727</v>
      </c>
    </row>
    <row r="3763" spans="1:6">
      <c r="A3763" t="s">
        <v>4807</v>
      </c>
      <c r="B3763">
        <v>418</v>
      </c>
      <c r="C3763" t="s">
        <v>651</v>
      </c>
      <c r="D3763">
        <v>67372989</v>
      </c>
      <c r="E3763">
        <v>98245</v>
      </c>
      <c r="F3763">
        <v>50727</v>
      </c>
    </row>
    <row r="3764" spans="1:6">
      <c r="A3764" t="s">
        <v>4808</v>
      </c>
      <c r="B3764">
        <v>419</v>
      </c>
      <c r="C3764" t="s">
        <v>154</v>
      </c>
      <c r="D3764">
        <v>1296738</v>
      </c>
      <c r="E3764">
        <v>92710</v>
      </c>
      <c r="F3764">
        <v>50896</v>
      </c>
    </row>
    <row r="3765" spans="1:6">
      <c r="A3765" t="s">
        <v>4809</v>
      </c>
      <c r="B3765">
        <v>419</v>
      </c>
      <c r="C3765" t="s">
        <v>1043</v>
      </c>
      <c r="D3765">
        <v>3890214</v>
      </c>
      <c r="E3765">
        <v>92710</v>
      </c>
      <c r="F3765">
        <v>50896</v>
      </c>
    </row>
    <row r="3766" spans="1:6">
      <c r="A3766" t="s">
        <v>4810</v>
      </c>
      <c r="B3766">
        <v>419</v>
      </c>
      <c r="C3766" t="s">
        <v>1045</v>
      </c>
      <c r="D3766">
        <v>2334129</v>
      </c>
      <c r="E3766">
        <v>92710</v>
      </c>
      <c r="F3766">
        <v>50896</v>
      </c>
    </row>
    <row r="3767" spans="1:6">
      <c r="A3767" t="s">
        <v>4811</v>
      </c>
      <c r="B3767">
        <v>419</v>
      </c>
      <c r="C3767" t="s">
        <v>1047</v>
      </c>
      <c r="D3767">
        <v>648369</v>
      </c>
      <c r="E3767">
        <v>92710</v>
      </c>
      <c r="F3767">
        <v>50896</v>
      </c>
    </row>
    <row r="3768" spans="1:6">
      <c r="A3768" t="s">
        <v>4812</v>
      </c>
      <c r="B3768">
        <v>419</v>
      </c>
      <c r="C3768" t="s">
        <v>1049</v>
      </c>
      <c r="D3768">
        <v>194511</v>
      </c>
      <c r="E3768">
        <v>92710</v>
      </c>
      <c r="F3768">
        <v>50896</v>
      </c>
    </row>
    <row r="3769" spans="1:6">
      <c r="A3769" t="s">
        <v>4813</v>
      </c>
      <c r="B3769">
        <v>419</v>
      </c>
      <c r="C3769" t="s">
        <v>745</v>
      </c>
      <c r="D3769">
        <v>5186952</v>
      </c>
      <c r="E3769">
        <v>92710</v>
      </c>
      <c r="F3769">
        <v>50896</v>
      </c>
    </row>
    <row r="3770" spans="1:6">
      <c r="A3770" t="s">
        <v>4814</v>
      </c>
      <c r="B3770">
        <v>419</v>
      </c>
      <c r="C3770" t="s">
        <v>1052</v>
      </c>
      <c r="D3770">
        <v>11670642</v>
      </c>
      <c r="E3770">
        <v>92710</v>
      </c>
      <c r="F3770">
        <v>50896</v>
      </c>
    </row>
    <row r="3771" spans="1:6">
      <c r="A3771" t="s">
        <v>4815</v>
      </c>
      <c r="B3771">
        <v>419</v>
      </c>
      <c r="C3771" t="s">
        <v>164</v>
      </c>
      <c r="D3771">
        <v>135844518</v>
      </c>
      <c r="E3771">
        <v>98826</v>
      </c>
      <c r="F3771">
        <v>50896</v>
      </c>
    </row>
    <row r="3772" spans="1:6">
      <c r="A3772" t="s">
        <v>4816</v>
      </c>
      <c r="B3772">
        <v>419</v>
      </c>
      <c r="C3772" t="s">
        <v>651</v>
      </c>
      <c r="D3772">
        <v>67922259</v>
      </c>
      <c r="E3772">
        <v>98826</v>
      </c>
      <c r="F3772">
        <v>50896</v>
      </c>
    </row>
    <row r="3773" spans="1:6">
      <c r="A3773" t="s">
        <v>4817</v>
      </c>
      <c r="B3773">
        <v>420</v>
      </c>
      <c r="C3773" t="s">
        <v>154</v>
      </c>
      <c r="D3773">
        <v>1306516</v>
      </c>
      <c r="E3773">
        <v>93276</v>
      </c>
      <c r="F3773">
        <v>51065</v>
      </c>
    </row>
    <row r="3774" spans="1:6">
      <c r="A3774" t="s">
        <v>4818</v>
      </c>
      <c r="B3774">
        <v>420</v>
      </c>
      <c r="C3774" t="s">
        <v>1043</v>
      </c>
      <c r="D3774">
        <v>3919548</v>
      </c>
      <c r="E3774">
        <v>93276</v>
      </c>
      <c r="F3774">
        <v>51065</v>
      </c>
    </row>
    <row r="3775" spans="1:6">
      <c r="A3775" t="s">
        <v>4819</v>
      </c>
      <c r="B3775">
        <v>420</v>
      </c>
      <c r="C3775" t="s">
        <v>1045</v>
      </c>
      <c r="D3775">
        <v>2351729</v>
      </c>
      <c r="E3775">
        <v>93276</v>
      </c>
      <c r="F3775">
        <v>51065</v>
      </c>
    </row>
    <row r="3776" spans="1:6">
      <c r="A3776" t="s">
        <v>4820</v>
      </c>
      <c r="B3776">
        <v>420</v>
      </c>
      <c r="C3776" t="s">
        <v>1047</v>
      </c>
      <c r="D3776">
        <v>653258</v>
      </c>
      <c r="E3776">
        <v>93276</v>
      </c>
      <c r="F3776">
        <v>51065</v>
      </c>
    </row>
    <row r="3777" spans="1:6">
      <c r="A3777" t="s">
        <v>4821</v>
      </c>
      <c r="B3777">
        <v>420</v>
      </c>
      <c r="C3777" t="s">
        <v>1049</v>
      </c>
      <c r="D3777">
        <v>195978</v>
      </c>
      <c r="E3777">
        <v>93276</v>
      </c>
      <c r="F3777">
        <v>51065</v>
      </c>
    </row>
    <row r="3778" spans="1:6">
      <c r="A3778" t="s">
        <v>4822</v>
      </c>
      <c r="B3778">
        <v>420</v>
      </c>
      <c r="C3778" t="s">
        <v>745</v>
      </c>
      <c r="D3778">
        <v>5226064</v>
      </c>
      <c r="E3778">
        <v>93276</v>
      </c>
      <c r="F3778">
        <v>51065</v>
      </c>
    </row>
    <row r="3779" spans="1:6">
      <c r="A3779" t="s">
        <v>4823</v>
      </c>
      <c r="B3779">
        <v>420</v>
      </c>
      <c r="C3779" t="s">
        <v>1052</v>
      </c>
      <c r="D3779">
        <v>11758644</v>
      </c>
      <c r="E3779">
        <v>93276</v>
      </c>
      <c r="F3779">
        <v>51065</v>
      </c>
    </row>
    <row r="3780" spans="1:6">
      <c r="A3780" t="s">
        <v>4824</v>
      </c>
      <c r="B3780">
        <v>420</v>
      </c>
      <c r="C3780" t="s">
        <v>164</v>
      </c>
      <c r="D3780">
        <v>136950402</v>
      </c>
      <c r="E3780">
        <v>99411</v>
      </c>
      <c r="F3780">
        <v>51065</v>
      </c>
    </row>
    <row r="3781" spans="1:6">
      <c r="A3781" t="s">
        <v>4825</v>
      </c>
      <c r="B3781">
        <v>420</v>
      </c>
      <c r="C3781" t="s">
        <v>651</v>
      </c>
      <c r="D3781">
        <v>68475201</v>
      </c>
      <c r="E3781">
        <v>99411</v>
      </c>
      <c r="F3781">
        <v>51065</v>
      </c>
    </row>
    <row r="3782" spans="1:6">
      <c r="A3782" t="s">
        <v>4826</v>
      </c>
      <c r="B3782">
        <v>421</v>
      </c>
      <c r="C3782" t="s">
        <v>154</v>
      </c>
      <c r="D3782">
        <v>1316352</v>
      </c>
      <c r="E3782">
        <v>93843</v>
      </c>
      <c r="F3782">
        <v>51235</v>
      </c>
    </row>
    <row r="3783" spans="1:6">
      <c r="A3783" t="s">
        <v>4827</v>
      </c>
      <c r="B3783">
        <v>421</v>
      </c>
      <c r="C3783" t="s">
        <v>1043</v>
      </c>
      <c r="D3783">
        <v>3949056</v>
      </c>
      <c r="E3783">
        <v>93843</v>
      </c>
      <c r="F3783">
        <v>51235</v>
      </c>
    </row>
    <row r="3784" spans="1:6">
      <c r="A3784" t="s">
        <v>4828</v>
      </c>
      <c r="B3784">
        <v>421</v>
      </c>
      <c r="C3784" t="s">
        <v>1045</v>
      </c>
      <c r="D3784">
        <v>2369434</v>
      </c>
      <c r="E3784">
        <v>93843</v>
      </c>
      <c r="F3784">
        <v>51235</v>
      </c>
    </row>
    <row r="3785" spans="1:6">
      <c r="A3785" t="s">
        <v>4829</v>
      </c>
      <c r="B3785">
        <v>421</v>
      </c>
      <c r="C3785" t="s">
        <v>1047</v>
      </c>
      <c r="D3785">
        <v>658176</v>
      </c>
      <c r="E3785">
        <v>93843</v>
      </c>
      <c r="F3785">
        <v>51235</v>
      </c>
    </row>
    <row r="3786" spans="1:6">
      <c r="A3786" t="s">
        <v>4830</v>
      </c>
      <c r="B3786">
        <v>421</v>
      </c>
      <c r="C3786" t="s">
        <v>1049</v>
      </c>
      <c r="D3786">
        <v>197453</v>
      </c>
      <c r="E3786">
        <v>93843</v>
      </c>
      <c r="F3786">
        <v>51235</v>
      </c>
    </row>
    <row r="3787" spans="1:6">
      <c r="A3787" t="s">
        <v>4831</v>
      </c>
      <c r="B3787">
        <v>421</v>
      </c>
      <c r="C3787" t="s">
        <v>745</v>
      </c>
      <c r="D3787">
        <v>5265408</v>
      </c>
      <c r="E3787">
        <v>93843</v>
      </c>
      <c r="F3787">
        <v>51235</v>
      </c>
    </row>
    <row r="3788" spans="1:6">
      <c r="A3788" t="s">
        <v>4832</v>
      </c>
      <c r="B3788">
        <v>421</v>
      </c>
      <c r="C3788" t="s">
        <v>1052</v>
      </c>
      <c r="D3788">
        <v>11847168</v>
      </c>
      <c r="E3788">
        <v>93843</v>
      </c>
      <c r="F3788">
        <v>51235</v>
      </c>
    </row>
    <row r="3789" spans="1:6">
      <c r="A3789" t="s">
        <v>4833</v>
      </c>
      <c r="B3789">
        <v>421</v>
      </c>
      <c r="C3789" t="s">
        <v>164</v>
      </c>
      <c r="D3789">
        <v>138063630</v>
      </c>
      <c r="E3789">
        <v>99998</v>
      </c>
      <c r="F3789">
        <v>51235</v>
      </c>
    </row>
    <row r="3790" spans="1:6">
      <c r="A3790" t="s">
        <v>4834</v>
      </c>
      <c r="B3790">
        <v>421</v>
      </c>
      <c r="C3790" t="s">
        <v>651</v>
      </c>
      <c r="D3790">
        <v>69031815</v>
      </c>
      <c r="E3790">
        <v>99998</v>
      </c>
      <c r="F3790">
        <v>51235</v>
      </c>
    </row>
    <row r="3791" spans="1:6">
      <c r="A3791" t="s">
        <v>4835</v>
      </c>
      <c r="B3791">
        <v>422</v>
      </c>
      <c r="C3791" t="s">
        <v>154</v>
      </c>
      <c r="D3791">
        <v>1326248</v>
      </c>
      <c r="E3791">
        <v>94413</v>
      </c>
      <c r="F3791">
        <v>51404</v>
      </c>
    </row>
    <row r="3792" spans="1:6">
      <c r="A3792" t="s">
        <v>4836</v>
      </c>
      <c r="B3792">
        <v>422</v>
      </c>
      <c r="C3792" t="s">
        <v>1043</v>
      </c>
      <c r="D3792">
        <v>3978744</v>
      </c>
      <c r="E3792">
        <v>94413</v>
      </c>
      <c r="F3792">
        <v>51404</v>
      </c>
    </row>
    <row r="3793" spans="1:6">
      <c r="A3793" t="s">
        <v>4837</v>
      </c>
      <c r="B3793">
        <v>422</v>
      </c>
      <c r="C3793" t="s">
        <v>1045</v>
      </c>
      <c r="D3793">
        <v>2387247</v>
      </c>
      <c r="E3793">
        <v>94413</v>
      </c>
      <c r="F3793">
        <v>51404</v>
      </c>
    </row>
    <row r="3794" spans="1:6">
      <c r="A3794" t="s">
        <v>4838</v>
      </c>
      <c r="B3794">
        <v>422</v>
      </c>
      <c r="C3794" t="s">
        <v>1047</v>
      </c>
      <c r="D3794">
        <v>663124</v>
      </c>
      <c r="E3794">
        <v>94413</v>
      </c>
      <c r="F3794">
        <v>51404</v>
      </c>
    </row>
    <row r="3795" spans="1:6">
      <c r="A3795" t="s">
        <v>4839</v>
      </c>
      <c r="B3795">
        <v>422</v>
      </c>
      <c r="C3795" t="s">
        <v>1049</v>
      </c>
      <c r="D3795">
        <v>198938</v>
      </c>
      <c r="E3795">
        <v>94413</v>
      </c>
      <c r="F3795">
        <v>51404</v>
      </c>
    </row>
    <row r="3796" spans="1:6">
      <c r="A3796" t="s">
        <v>4840</v>
      </c>
      <c r="B3796">
        <v>422</v>
      </c>
      <c r="C3796" t="s">
        <v>745</v>
      </c>
      <c r="D3796">
        <v>5304992</v>
      </c>
      <c r="E3796">
        <v>94413</v>
      </c>
      <c r="F3796">
        <v>51404</v>
      </c>
    </row>
    <row r="3797" spans="1:6">
      <c r="A3797" t="s">
        <v>4841</v>
      </c>
      <c r="B3797">
        <v>422</v>
      </c>
      <c r="C3797" t="s">
        <v>1052</v>
      </c>
      <c r="D3797">
        <v>11936232</v>
      </c>
      <c r="E3797">
        <v>94413</v>
      </c>
      <c r="F3797">
        <v>51404</v>
      </c>
    </row>
    <row r="3798" spans="1:6">
      <c r="A3798" t="s">
        <v>4842</v>
      </c>
      <c r="B3798">
        <v>422</v>
      </c>
      <c r="C3798" t="s">
        <v>164</v>
      </c>
      <c r="D3798">
        <v>139184304</v>
      </c>
      <c r="E3798">
        <v>100588</v>
      </c>
      <c r="F3798">
        <v>51404</v>
      </c>
    </row>
    <row r="3799" spans="1:6">
      <c r="A3799" t="s">
        <v>4843</v>
      </c>
      <c r="B3799">
        <v>422</v>
      </c>
      <c r="C3799" t="s">
        <v>651</v>
      </c>
      <c r="D3799">
        <v>69592152</v>
      </c>
      <c r="E3799">
        <v>100588</v>
      </c>
      <c r="F3799">
        <v>51404</v>
      </c>
    </row>
    <row r="3800" spans="1:6">
      <c r="A3800" t="s">
        <v>4844</v>
      </c>
      <c r="B3800">
        <v>423</v>
      </c>
      <c r="C3800" t="s">
        <v>154</v>
      </c>
      <c r="D3800">
        <v>1336202</v>
      </c>
      <c r="E3800">
        <v>94986</v>
      </c>
      <c r="F3800">
        <v>51574</v>
      </c>
    </row>
    <row r="3801" spans="1:6">
      <c r="A3801" t="s">
        <v>4845</v>
      </c>
      <c r="B3801">
        <v>423</v>
      </c>
      <c r="C3801" t="s">
        <v>1043</v>
      </c>
      <c r="D3801">
        <v>4008606</v>
      </c>
      <c r="E3801">
        <v>94986</v>
      </c>
      <c r="F3801">
        <v>51574</v>
      </c>
    </row>
    <row r="3802" spans="1:6">
      <c r="A3802" t="s">
        <v>4846</v>
      </c>
      <c r="B3802">
        <v>423</v>
      </c>
      <c r="C3802" t="s">
        <v>1045</v>
      </c>
      <c r="D3802">
        <v>2405164</v>
      </c>
      <c r="E3802">
        <v>94986</v>
      </c>
      <c r="F3802">
        <v>51574</v>
      </c>
    </row>
    <row r="3803" spans="1:6">
      <c r="A3803" t="s">
        <v>4847</v>
      </c>
      <c r="B3803">
        <v>423</v>
      </c>
      <c r="C3803" t="s">
        <v>1047</v>
      </c>
      <c r="D3803">
        <v>668101</v>
      </c>
      <c r="E3803">
        <v>94986</v>
      </c>
      <c r="F3803">
        <v>51574</v>
      </c>
    </row>
    <row r="3804" spans="1:6">
      <c r="A3804" t="s">
        <v>4848</v>
      </c>
      <c r="B3804">
        <v>423</v>
      </c>
      <c r="C3804" t="s">
        <v>1049</v>
      </c>
      <c r="D3804">
        <v>200431</v>
      </c>
      <c r="E3804">
        <v>94986</v>
      </c>
      <c r="F3804">
        <v>51574</v>
      </c>
    </row>
    <row r="3805" spans="1:6">
      <c r="A3805" t="s">
        <v>4849</v>
      </c>
      <c r="B3805">
        <v>423</v>
      </c>
      <c r="C3805" t="s">
        <v>745</v>
      </c>
      <c r="D3805">
        <v>5344808</v>
      </c>
      <c r="E3805">
        <v>94986</v>
      </c>
      <c r="F3805">
        <v>51574</v>
      </c>
    </row>
    <row r="3806" spans="1:6">
      <c r="A3806" t="s">
        <v>4850</v>
      </c>
      <c r="B3806">
        <v>423</v>
      </c>
      <c r="C3806" t="s">
        <v>1052</v>
      </c>
      <c r="D3806">
        <v>12025818</v>
      </c>
      <c r="E3806">
        <v>94986</v>
      </c>
      <c r="F3806">
        <v>51574</v>
      </c>
    </row>
    <row r="3807" spans="1:6">
      <c r="A3807" t="s">
        <v>4851</v>
      </c>
      <c r="B3807">
        <v>423</v>
      </c>
      <c r="C3807" t="s">
        <v>164</v>
      </c>
      <c r="D3807">
        <v>140312373</v>
      </c>
      <c r="E3807">
        <v>101181</v>
      </c>
      <c r="F3807">
        <v>51574</v>
      </c>
    </row>
    <row r="3808" spans="1:6">
      <c r="A3808" t="s">
        <v>4852</v>
      </c>
      <c r="B3808">
        <v>423</v>
      </c>
      <c r="C3808" t="s">
        <v>651</v>
      </c>
      <c r="D3808">
        <v>70156187</v>
      </c>
      <c r="E3808">
        <v>101181</v>
      </c>
      <c r="F3808">
        <v>51574</v>
      </c>
    </row>
    <row r="3809" spans="1:6">
      <c r="A3809" t="s">
        <v>4853</v>
      </c>
      <c r="B3809">
        <v>424</v>
      </c>
      <c r="C3809" t="s">
        <v>154</v>
      </c>
      <c r="D3809">
        <v>1346217</v>
      </c>
      <c r="E3809">
        <v>95562</v>
      </c>
      <c r="F3809">
        <v>51744</v>
      </c>
    </row>
    <row r="3810" spans="1:6">
      <c r="A3810" t="s">
        <v>4854</v>
      </c>
      <c r="B3810">
        <v>424</v>
      </c>
      <c r="C3810" t="s">
        <v>1043</v>
      </c>
      <c r="D3810">
        <v>4038651</v>
      </c>
      <c r="E3810">
        <v>95562</v>
      </c>
      <c r="F3810">
        <v>51744</v>
      </c>
    </row>
    <row r="3811" spans="1:6">
      <c r="A3811" t="s">
        <v>4855</v>
      </c>
      <c r="B3811">
        <v>424</v>
      </c>
      <c r="C3811" t="s">
        <v>1045</v>
      </c>
      <c r="D3811">
        <v>2423191</v>
      </c>
      <c r="E3811">
        <v>95562</v>
      </c>
      <c r="F3811">
        <v>51744</v>
      </c>
    </row>
    <row r="3812" spans="1:6">
      <c r="A3812" t="s">
        <v>4856</v>
      </c>
      <c r="B3812">
        <v>424</v>
      </c>
      <c r="C3812" t="s">
        <v>1047</v>
      </c>
      <c r="D3812">
        <v>673109</v>
      </c>
      <c r="E3812">
        <v>95562</v>
      </c>
      <c r="F3812">
        <v>51744</v>
      </c>
    </row>
    <row r="3813" spans="1:6">
      <c r="A3813" t="s">
        <v>4857</v>
      </c>
      <c r="B3813">
        <v>424</v>
      </c>
      <c r="C3813" t="s">
        <v>1049</v>
      </c>
      <c r="D3813">
        <v>201933</v>
      </c>
      <c r="E3813">
        <v>95562</v>
      </c>
      <c r="F3813">
        <v>51744</v>
      </c>
    </row>
    <row r="3814" spans="1:6">
      <c r="A3814" t="s">
        <v>4858</v>
      </c>
      <c r="B3814">
        <v>424</v>
      </c>
      <c r="C3814" t="s">
        <v>745</v>
      </c>
      <c r="D3814">
        <v>5384868</v>
      </c>
      <c r="E3814">
        <v>95562</v>
      </c>
      <c r="F3814">
        <v>51744</v>
      </c>
    </row>
    <row r="3815" spans="1:6">
      <c r="A3815" t="s">
        <v>4859</v>
      </c>
      <c r="B3815">
        <v>424</v>
      </c>
      <c r="C3815" t="s">
        <v>1052</v>
      </c>
      <c r="D3815">
        <v>12115953</v>
      </c>
      <c r="E3815">
        <v>95562</v>
      </c>
      <c r="F3815">
        <v>51744</v>
      </c>
    </row>
    <row r="3816" spans="1:6">
      <c r="A3816" t="s">
        <v>4860</v>
      </c>
      <c r="B3816">
        <v>424</v>
      </c>
      <c r="C3816" t="s">
        <v>164</v>
      </c>
      <c r="D3816">
        <v>141447939</v>
      </c>
      <c r="E3816">
        <v>101777</v>
      </c>
      <c r="F3816">
        <v>51744</v>
      </c>
    </row>
    <row r="3817" spans="1:6">
      <c r="A3817" t="s">
        <v>4861</v>
      </c>
      <c r="B3817">
        <v>424</v>
      </c>
      <c r="C3817" t="s">
        <v>651</v>
      </c>
      <c r="D3817">
        <v>70723970</v>
      </c>
      <c r="E3817">
        <v>101777</v>
      </c>
      <c r="F3817">
        <v>51744</v>
      </c>
    </row>
    <row r="3818" spans="1:6">
      <c r="A3818" t="s">
        <v>4862</v>
      </c>
      <c r="B3818">
        <v>425</v>
      </c>
      <c r="C3818" t="s">
        <v>154</v>
      </c>
      <c r="D3818">
        <v>1356291</v>
      </c>
      <c r="E3818">
        <v>96141</v>
      </c>
      <c r="F3818">
        <v>51915</v>
      </c>
    </row>
    <row r="3819" spans="1:6">
      <c r="A3819" t="s">
        <v>4863</v>
      </c>
      <c r="B3819">
        <v>425</v>
      </c>
      <c r="C3819" t="s">
        <v>1043</v>
      </c>
      <c r="D3819">
        <v>4068873</v>
      </c>
      <c r="E3819">
        <v>96141</v>
      </c>
      <c r="F3819">
        <v>51915</v>
      </c>
    </row>
    <row r="3820" spans="1:6">
      <c r="A3820" t="s">
        <v>4864</v>
      </c>
      <c r="B3820">
        <v>425</v>
      </c>
      <c r="C3820" t="s">
        <v>1045</v>
      </c>
      <c r="D3820">
        <v>2441324</v>
      </c>
      <c r="E3820">
        <v>96141</v>
      </c>
      <c r="F3820">
        <v>51915</v>
      </c>
    </row>
    <row r="3821" spans="1:6">
      <c r="A3821" t="s">
        <v>4865</v>
      </c>
      <c r="B3821">
        <v>425</v>
      </c>
      <c r="C3821" t="s">
        <v>1047</v>
      </c>
      <c r="D3821">
        <v>678146</v>
      </c>
      <c r="E3821">
        <v>96141</v>
      </c>
      <c r="F3821">
        <v>51915</v>
      </c>
    </row>
    <row r="3822" spans="1:6">
      <c r="A3822" t="s">
        <v>4866</v>
      </c>
      <c r="B3822">
        <v>425</v>
      </c>
      <c r="C3822" t="s">
        <v>1049</v>
      </c>
      <c r="D3822">
        <v>203444</v>
      </c>
      <c r="E3822">
        <v>96141</v>
      </c>
      <c r="F3822">
        <v>51915</v>
      </c>
    </row>
    <row r="3823" spans="1:6">
      <c r="A3823" t="s">
        <v>4867</v>
      </c>
      <c r="B3823">
        <v>425</v>
      </c>
      <c r="C3823" t="s">
        <v>745</v>
      </c>
      <c r="D3823">
        <v>5425164</v>
      </c>
      <c r="E3823">
        <v>96141</v>
      </c>
      <c r="F3823">
        <v>51915</v>
      </c>
    </row>
    <row r="3824" spans="1:6">
      <c r="A3824" t="s">
        <v>4868</v>
      </c>
      <c r="B3824">
        <v>425</v>
      </c>
      <c r="C3824" t="s">
        <v>1052</v>
      </c>
      <c r="D3824">
        <v>12206619</v>
      </c>
      <c r="E3824">
        <v>96141</v>
      </c>
      <c r="F3824">
        <v>51915</v>
      </c>
    </row>
    <row r="3825" spans="1:6">
      <c r="A3825" t="s">
        <v>4869</v>
      </c>
      <c r="B3825">
        <v>425</v>
      </c>
      <c r="C3825" t="s">
        <v>164</v>
      </c>
      <c r="D3825">
        <v>142591002</v>
      </c>
      <c r="E3825">
        <v>102376</v>
      </c>
      <c r="F3825">
        <v>51915</v>
      </c>
    </row>
    <row r="3826" spans="1:6">
      <c r="A3826" t="s">
        <v>4870</v>
      </c>
      <c r="B3826">
        <v>425</v>
      </c>
      <c r="C3826" t="s">
        <v>651</v>
      </c>
      <c r="D3826">
        <v>71295501</v>
      </c>
      <c r="E3826">
        <v>102376</v>
      </c>
      <c r="F3826">
        <v>51915</v>
      </c>
    </row>
    <row r="3827" spans="1:6">
      <c r="A3827" t="s">
        <v>4871</v>
      </c>
      <c r="B3827">
        <v>426</v>
      </c>
      <c r="C3827" t="s">
        <v>154</v>
      </c>
      <c r="D3827">
        <v>1366425</v>
      </c>
      <c r="E3827">
        <v>96723</v>
      </c>
      <c r="F3827">
        <v>52085</v>
      </c>
    </row>
    <row r="3828" spans="1:6">
      <c r="A3828" t="s">
        <v>4872</v>
      </c>
      <c r="B3828">
        <v>426</v>
      </c>
      <c r="C3828" t="s">
        <v>1043</v>
      </c>
      <c r="D3828">
        <v>4099275</v>
      </c>
      <c r="E3828">
        <v>96723</v>
      </c>
      <c r="F3828">
        <v>52085</v>
      </c>
    </row>
    <row r="3829" spans="1:6">
      <c r="A3829" t="s">
        <v>4873</v>
      </c>
      <c r="B3829">
        <v>426</v>
      </c>
      <c r="C3829" t="s">
        <v>1045</v>
      </c>
      <c r="D3829">
        <v>2459565</v>
      </c>
      <c r="E3829">
        <v>96723</v>
      </c>
      <c r="F3829">
        <v>52085</v>
      </c>
    </row>
    <row r="3830" spans="1:6">
      <c r="A3830" t="s">
        <v>4874</v>
      </c>
      <c r="B3830">
        <v>426</v>
      </c>
      <c r="C3830" t="s">
        <v>1047</v>
      </c>
      <c r="D3830">
        <v>683213</v>
      </c>
      <c r="E3830">
        <v>96723</v>
      </c>
      <c r="F3830">
        <v>52085</v>
      </c>
    </row>
    <row r="3831" spans="1:6">
      <c r="A3831" t="s">
        <v>4875</v>
      </c>
      <c r="B3831">
        <v>426</v>
      </c>
      <c r="C3831" t="s">
        <v>1049</v>
      </c>
      <c r="D3831">
        <v>204964</v>
      </c>
      <c r="E3831">
        <v>96723</v>
      </c>
      <c r="F3831">
        <v>52085</v>
      </c>
    </row>
    <row r="3832" spans="1:6">
      <c r="A3832" t="s">
        <v>4876</v>
      </c>
      <c r="B3832">
        <v>426</v>
      </c>
      <c r="C3832" t="s">
        <v>745</v>
      </c>
      <c r="D3832">
        <v>5465700</v>
      </c>
      <c r="E3832">
        <v>96723</v>
      </c>
      <c r="F3832">
        <v>52085</v>
      </c>
    </row>
    <row r="3833" spans="1:6">
      <c r="A3833" t="s">
        <v>4877</v>
      </c>
      <c r="B3833">
        <v>426</v>
      </c>
      <c r="C3833" t="s">
        <v>1052</v>
      </c>
      <c r="D3833">
        <v>12297825</v>
      </c>
      <c r="E3833">
        <v>96723</v>
      </c>
      <c r="F3833">
        <v>52085</v>
      </c>
    </row>
    <row r="3834" spans="1:6">
      <c r="A3834" t="s">
        <v>4878</v>
      </c>
      <c r="B3834">
        <v>426</v>
      </c>
      <c r="C3834" t="s">
        <v>164</v>
      </c>
      <c r="D3834">
        <v>143741664</v>
      </c>
      <c r="E3834">
        <v>102978</v>
      </c>
      <c r="F3834">
        <v>52085</v>
      </c>
    </row>
    <row r="3835" spans="1:6">
      <c r="A3835" t="s">
        <v>4879</v>
      </c>
      <c r="B3835">
        <v>426</v>
      </c>
      <c r="C3835" t="s">
        <v>651</v>
      </c>
      <c r="D3835">
        <v>71870832</v>
      </c>
      <c r="E3835">
        <v>102978</v>
      </c>
      <c r="F3835">
        <v>52085</v>
      </c>
    </row>
    <row r="3836" spans="1:6">
      <c r="A3836" t="s">
        <v>4880</v>
      </c>
      <c r="B3836">
        <v>427</v>
      </c>
      <c r="C3836" t="s">
        <v>154</v>
      </c>
      <c r="D3836">
        <v>1376620</v>
      </c>
      <c r="E3836">
        <v>97307</v>
      </c>
      <c r="F3836">
        <v>52256</v>
      </c>
    </row>
    <row r="3837" spans="1:6">
      <c r="A3837" t="s">
        <v>4881</v>
      </c>
      <c r="B3837">
        <v>427</v>
      </c>
      <c r="C3837" t="s">
        <v>1043</v>
      </c>
      <c r="D3837">
        <v>4129860</v>
      </c>
      <c r="E3837">
        <v>97307</v>
      </c>
      <c r="F3837">
        <v>52256</v>
      </c>
    </row>
    <row r="3838" spans="1:6">
      <c r="A3838" t="s">
        <v>4882</v>
      </c>
      <c r="B3838">
        <v>427</v>
      </c>
      <c r="C3838" t="s">
        <v>1045</v>
      </c>
      <c r="D3838">
        <v>2477916</v>
      </c>
      <c r="E3838">
        <v>97307</v>
      </c>
      <c r="F3838">
        <v>52256</v>
      </c>
    </row>
    <row r="3839" spans="1:6">
      <c r="A3839" t="s">
        <v>4883</v>
      </c>
      <c r="B3839">
        <v>427</v>
      </c>
      <c r="C3839" t="s">
        <v>1047</v>
      </c>
      <c r="D3839">
        <v>688310</v>
      </c>
      <c r="E3839">
        <v>97307</v>
      </c>
      <c r="F3839">
        <v>52256</v>
      </c>
    </row>
    <row r="3840" spans="1:6">
      <c r="A3840" t="s">
        <v>4884</v>
      </c>
      <c r="B3840">
        <v>427</v>
      </c>
      <c r="C3840" t="s">
        <v>1049</v>
      </c>
      <c r="D3840">
        <v>206493</v>
      </c>
      <c r="E3840">
        <v>97307</v>
      </c>
      <c r="F3840">
        <v>52256</v>
      </c>
    </row>
    <row r="3841" spans="1:6">
      <c r="A3841" t="s">
        <v>4885</v>
      </c>
      <c r="B3841">
        <v>427</v>
      </c>
      <c r="C3841" t="s">
        <v>745</v>
      </c>
      <c r="D3841">
        <v>5506480</v>
      </c>
      <c r="E3841">
        <v>97307</v>
      </c>
      <c r="F3841">
        <v>52256</v>
      </c>
    </row>
    <row r="3842" spans="1:6">
      <c r="A3842" t="s">
        <v>4886</v>
      </c>
      <c r="B3842">
        <v>427</v>
      </c>
      <c r="C3842" t="s">
        <v>1052</v>
      </c>
      <c r="D3842">
        <v>12389580</v>
      </c>
      <c r="E3842">
        <v>97307</v>
      </c>
      <c r="F3842">
        <v>52256</v>
      </c>
    </row>
    <row r="3843" spans="1:6">
      <c r="A3843" t="s">
        <v>4887</v>
      </c>
      <c r="B3843">
        <v>427</v>
      </c>
      <c r="C3843" t="s">
        <v>164</v>
      </c>
      <c r="D3843">
        <v>144899925</v>
      </c>
      <c r="E3843">
        <v>103582</v>
      </c>
      <c r="F3843">
        <v>52256</v>
      </c>
    </row>
    <row r="3844" spans="1:6">
      <c r="A3844" t="s">
        <v>4888</v>
      </c>
      <c r="B3844">
        <v>427</v>
      </c>
      <c r="C3844" t="s">
        <v>651</v>
      </c>
      <c r="D3844">
        <v>72449963</v>
      </c>
      <c r="E3844">
        <v>103582</v>
      </c>
      <c r="F3844">
        <v>52256</v>
      </c>
    </row>
    <row r="3845" spans="1:6">
      <c r="A3845" t="s">
        <v>4889</v>
      </c>
      <c r="B3845">
        <v>428</v>
      </c>
      <c r="C3845" t="s">
        <v>154</v>
      </c>
      <c r="D3845">
        <v>1386876</v>
      </c>
      <c r="E3845">
        <v>97895</v>
      </c>
      <c r="F3845">
        <v>52427</v>
      </c>
    </row>
    <row r="3846" spans="1:6">
      <c r="A3846" t="s">
        <v>4890</v>
      </c>
      <c r="B3846">
        <v>428</v>
      </c>
      <c r="C3846" t="s">
        <v>1043</v>
      </c>
      <c r="D3846">
        <v>4160628</v>
      </c>
      <c r="E3846">
        <v>97895</v>
      </c>
      <c r="F3846">
        <v>52427</v>
      </c>
    </row>
    <row r="3847" spans="1:6">
      <c r="A3847" t="s">
        <v>4891</v>
      </c>
      <c r="B3847">
        <v>428</v>
      </c>
      <c r="C3847" t="s">
        <v>1045</v>
      </c>
      <c r="D3847">
        <v>2496377</v>
      </c>
      <c r="E3847">
        <v>97895</v>
      </c>
      <c r="F3847">
        <v>52427</v>
      </c>
    </row>
    <row r="3848" spans="1:6">
      <c r="A3848" t="s">
        <v>4892</v>
      </c>
      <c r="B3848">
        <v>428</v>
      </c>
      <c r="C3848" t="s">
        <v>1047</v>
      </c>
      <c r="D3848">
        <v>693438</v>
      </c>
      <c r="E3848">
        <v>97895</v>
      </c>
      <c r="F3848">
        <v>52427</v>
      </c>
    </row>
    <row r="3849" spans="1:6">
      <c r="A3849" t="s">
        <v>4893</v>
      </c>
      <c r="B3849">
        <v>428</v>
      </c>
      <c r="C3849" t="s">
        <v>1049</v>
      </c>
      <c r="D3849">
        <v>208032</v>
      </c>
      <c r="E3849">
        <v>97895</v>
      </c>
      <c r="F3849">
        <v>52427</v>
      </c>
    </row>
    <row r="3850" spans="1:6">
      <c r="A3850" t="s">
        <v>4894</v>
      </c>
      <c r="B3850">
        <v>428</v>
      </c>
      <c r="C3850" t="s">
        <v>745</v>
      </c>
      <c r="D3850">
        <v>5547504</v>
      </c>
      <c r="E3850">
        <v>97895</v>
      </c>
      <c r="F3850">
        <v>52427</v>
      </c>
    </row>
    <row r="3851" spans="1:6">
      <c r="A3851" t="s">
        <v>4895</v>
      </c>
      <c r="B3851">
        <v>428</v>
      </c>
      <c r="C3851" t="s">
        <v>1052</v>
      </c>
      <c r="D3851">
        <v>12481884</v>
      </c>
      <c r="E3851">
        <v>97895</v>
      </c>
      <c r="F3851">
        <v>52427</v>
      </c>
    </row>
    <row r="3852" spans="1:6">
      <c r="A3852" t="s">
        <v>4896</v>
      </c>
      <c r="B3852">
        <v>428</v>
      </c>
      <c r="C3852" t="s">
        <v>164</v>
      </c>
      <c r="D3852">
        <v>146065785</v>
      </c>
      <c r="E3852">
        <v>104190</v>
      </c>
      <c r="F3852">
        <v>52427</v>
      </c>
    </row>
    <row r="3853" spans="1:6">
      <c r="A3853" t="s">
        <v>4897</v>
      </c>
      <c r="B3853">
        <v>428</v>
      </c>
      <c r="C3853" t="s">
        <v>651</v>
      </c>
      <c r="D3853">
        <v>73032893</v>
      </c>
      <c r="E3853">
        <v>104190</v>
      </c>
      <c r="F3853">
        <v>52427</v>
      </c>
    </row>
    <row r="3854" spans="1:6">
      <c r="A3854" t="s">
        <v>4898</v>
      </c>
      <c r="B3854">
        <v>429</v>
      </c>
      <c r="C3854" t="s">
        <v>154</v>
      </c>
      <c r="D3854">
        <v>1397192</v>
      </c>
      <c r="E3854">
        <v>98486</v>
      </c>
      <c r="F3854">
        <v>52599</v>
      </c>
    </row>
    <row r="3855" spans="1:6">
      <c r="A3855" t="s">
        <v>4899</v>
      </c>
      <c r="B3855">
        <v>429</v>
      </c>
      <c r="C3855" t="s">
        <v>1043</v>
      </c>
      <c r="D3855">
        <v>4191576</v>
      </c>
      <c r="E3855">
        <v>98486</v>
      </c>
      <c r="F3855">
        <v>52599</v>
      </c>
    </row>
    <row r="3856" spans="1:6">
      <c r="A3856" t="s">
        <v>4900</v>
      </c>
      <c r="B3856">
        <v>429</v>
      </c>
      <c r="C3856" t="s">
        <v>1045</v>
      </c>
      <c r="D3856">
        <v>2514946</v>
      </c>
      <c r="E3856">
        <v>98486</v>
      </c>
      <c r="F3856">
        <v>52599</v>
      </c>
    </row>
    <row r="3857" spans="1:6">
      <c r="A3857" t="s">
        <v>4901</v>
      </c>
      <c r="B3857">
        <v>429</v>
      </c>
      <c r="C3857" t="s">
        <v>1047</v>
      </c>
      <c r="D3857">
        <v>698596</v>
      </c>
      <c r="E3857">
        <v>98486</v>
      </c>
      <c r="F3857">
        <v>52599</v>
      </c>
    </row>
    <row r="3858" spans="1:6">
      <c r="A3858" t="s">
        <v>4902</v>
      </c>
      <c r="B3858">
        <v>429</v>
      </c>
      <c r="C3858" t="s">
        <v>1049</v>
      </c>
      <c r="D3858">
        <v>209579</v>
      </c>
      <c r="E3858">
        <v>98486</v>
      </c>
      <c r="F3858">
        <v>52599</v>
      </c>
    </row>
    <row r="3859" spans="1:6">
      <c r="A3859" t="s">
        <v>4903</v>
      </c>
      <c r="B3859">
        <v>429</v>
      </c>
      <c r="C3859" t="s">
        <v>745</v>
      </c>
      <c r="D3859">
        <v>5588768</v>
      </c>
      <c r="E3859">
        <v>98486</v>
      </c>
      <c r="F3859">
        <v>52599</v>
      </c>
    </row>
    <row r="3860" spans="1:6">
      <c r="A3860" t="s">
        <v>4904</v>
      </c>
      <c r="B3860">
        <v>429</v>
      </c>
      <c r="C3860" t="s">
        <v>1052</v>
      </c>
      <c r="D3860">
        <v>12574728</v>
      </c>
      <c r="E3860">
        <v>98486</v>
      </c>
      <c r="F3860">
        <v>52599</v>
      </c>
    </row>
    <row r="3861" spans="1:6">
      <c r="A3861" t="s">
        <v>4905</v>
      </c>
      <c r="B3861">
        <v>429</v>
      </c>
      <c r="C3861" t="s">
        <v>164</v>
      </c>
      <c r="D3861">
        <v>147239397</v>
      </c>
      <c r="E3861">
        <v>104801</v>
      </c>
      <c r="F3861">
        <v>52599</v>
      </c>
    </row>
    <row r="3862" spans="1:6">
      <c r="A3862" t="s">
        <v>4906</v>
      </c>
      <c r="B3862">
        <v>429</v>
      </c>
      <c r="C3862" t="s">
        <v>651</v>
      </c>
      <c r="D3862">
        <v>73619699</v>
      </c>
      <c r="E3862">
        <v>104801</v>
      </c>
      <c r="F3862">
        <v>52599</v>
      </c>
    </row>
    <row r="3863" spans="1:6">
      <c r="A3863" t="s">
        <v>4907</v>
      </c>
      <c r="B3863">
        <v>430</v>
      </c>
      <c r="C3863" t="s">
        <v>154</v>
      </c>
      <c r="D3863">
        <v>1407570</v>
      </c>
      <c r="E3863">
        <v>99080</v>
      </c>
      <c r="F3863">
        <v>52770</v>
      </c>
    </row>
    <row r="3864" spans="1:6">
      <c r="A3864" t="s">
        <v>4908</v>
      </c>
      <c r="B3864">
        <v>430</v>
      </c>
      <c r="C3864" t="s">
        <v>1043</v>
      </c>
      <c r="D3864">
        <v>4222710</v>
      </c>
      <c r="E3864">
        <v>99080</v>
      </c>
      <c r="F3864">
        <v>52770</v>
      </c>
    </row>
    <row r="3865" spans="1:6">
      <c r="A3865" t="s">
        <v>4909</v>
      </c>
      <c r="B3865">
        <v>430</v>
      </c>
      <c r="C3865" t="s">
        <v>1045</v>
      </c>
      <c r="D3865">
        <v>2533626</v>
      </c>
      <c r="E3865">
        <v>99080</v>
      </c>
      <c r="F3865">
        <v>52770</v>
      </c>
    </row>
    <row r="3866" spans="1:6">
      <c r="A3866" t="s">
        <v>4910</v>
      </c>
      <c r="B3866">
        <v>430</v>
      </c>
      <c r="C3866" t="s">
        <v>1047</v>
      </c>
      <c r="D3866">
        <v>703785</v>
      </c>
      <c r="E3866">
        <v>99080</v>
      </c>
      <c r="F3866">
        <v>52770</v>
      </c>
    </row>
    <row r="3867" spans="1:6">
      <c r="A3867" t="s">
        <v>4911</v>
      </c>
      <c r="B3867">
        <v>430</v>
      </c>
      <c r="C3867" t="s">
        <v>1049</v>
      </c>
      <c r="D3867">
        <v>211136</v>
      </c>
      <c r="E3867">
        <v>99080</v>
      </c>
      <c r="F3867">
        <v>52770</v>
      </c>
    </row>
    <row r="3868" spans="1:6">
      <c r="A3868" t="s">
        <v>4912</v>
      </c>
      <c r="B3868">
        <v>430</v>
      </c>
      <c r="C3868" t="s">
        <v>745</v>
      </c>
      <c r="D3868">
        <v>5630280</v>
      </c>
      <c r="E3868">
        <v>99080</v>
      </c>
      <c r="F3868">
        <v>52770</v>
      </c>
    </row>
    <row r="3869" spans="1:6">
      <c r="A3869" t="s">
        <v>4913</v>
      </c>
      <c r="B3869">
        <v>430</v>
      </c>
      <c r="C3869" t="s">
        <v>1052</v>
      </c>
      <c r="D3869">
        <v>12668130</v>
      </c>
      <c r="E3869">
        <v>99080</v>
      </c>
      <c r="F3869">
        <v>52770</v>
      </c>
    </row>
    <row r="3870" spans="1:6">
      <c r="A3870" t="s">
        <v>4914</v>
      </c>
      <c r="B3870">
        <v>430</v>
      </c>
      <c r="C3870" t="s">
        <v>164</v>
      </c>
      <c r="D3870">
        <v>148420659</v>
      </c>
      <c r="E3870">
        <v>105415</v>
      </c>
      <c r="F3870">
        <v>52770</v>
      </c>
    </row>
    <row r="3871" spans="1:6">
      <c r="A3871" t="s">
        <v>4915</v>
      </c>
      <c r="B3871">
        <v>430</v>
      </c>
      <c r="C3871" t="s">
        <v>651</v>
      </c>
      <c r="D3871">
        <v>74210330</v>
      </c>
      <c r="E3871">
        <v>105415</v>
      </c>
      <c r="F3871">
        <v>52770</v>
      </c>
    </row>
    <row r="3872" spans="1:6">
      <c r="A3872" t="s">
        <v>4916</v>
      </c>
      <c r="B3872">
        <v>431</v>
      </c>
      <c r="C3872" t="s">
        <v>154</v>
      </c>
      <c r="D3872">
        <v>1418009</v>
      </c>
      <c r="E3872">
        <v>99677</v>
      </c>
      <c r="F3872">
        <v>52942</v>
      </c>
    </row>
    <row r="3873" spans="1:6">
      <c r="A3873" t="s">
        <v>4917</v>
      </c>
      <c r="B3873">
        <v>431</v>
      </c>
      <c r="C3873" t="s">
        <v>1043</v>
      </c>
      <c r="D3873">
        <v>4254027</v>
      </c>
      <c r="E3873">
        <v>99677</v>
      </c>
      <c r="F3873">
        <v>52942</v>
      </c>
    </row>
    <row r="3874" spans="1:6">
      <c r="A3874" t="s">
        <v>4918</v>
      </c>
      <c r="B3874">
        <v>431</v>
      </c>
      <c r="C3874" t="s">
        <v>1045</v>
      </c>
      <c r="D3874">
        <v>2552417</v>
      </c>
      <c r="E3874">
        <v>99677</v>
      </c>
      <c r="F3874">
        <v>52942</v>
      </c>
    </row>
    <row r="3875" spans="1:6">
      <c r="A3875" t="s">
        <v>4919</v>
      </c>
      <c r="B3875">
        <v>431</v>
      </c>
      <c r="C3875" t="s">
        <v>1047</v>
      </c>
      <c r="D3875">
        <v>709005</v>
      </c>
      <c r="E3875">
        <v>99677</v>
      </c>
      <c r="F3875">
        <v>52942</v>
      </c>
    </row>
    <row r="3876" spans="1:6">
      <c r="A3876" t="s">
        <v>4920</v>
      </c>
      <c r="B3876">
        <v>431</v>
      </c>
      <c r="C3876" t="s">
        <v>1049</v>
      </c>
      <c r="D3876">
        <v>212702</v>
      </c>
      <c r="E3876">
        <v>99677</v>
      </c>
      <c r="F3876">
        <v>52942</v>
      </c>
    </row>
    <row r="3877" spans="1:6">
      <c r="A3877" t="s">
        <v>4921</v>
      </c>
      <c r="B3877">
        <v>431</v>
      </c>
      <c r="C3877" t="s">
        <v>745</v>
      </c>
      <c r="D3877">
        <v>5672036</v>
      </c>
      <c r="E3877">
        <v>99677</v>
      </c>
      <c r="F3877">
        <v>52942</v>
      </c>
    </row>
    <row r="3878" spans="1:6">
      <c r="A3878" t="s">
        <v>4922</v>
      </c>
      <c r="B3878">
        <v>431</v>
      </c>
      <c r="C3878" t="s">
        <v>1052</v>
      </c>
      <c r="D3878">
        <v>12762081</v>
      </c>
      <c r="E3878">
        <v>99677</v>
      </c>
      <c r="F3878">
        <v>52942</v>
      </c>
    </row>
    <row r="3879" spans="1:6">
      <c r="A3879" t="s">
        <v>4923</v>
      </c>
      <c r="B3879">
        <v>431</v>
      </c>
      <c r="C3879" t="s">
        <v>164</v>
      </c>
      <c r="D3879">
        <v>149609775</v>
      </c>
      <c r="E3879">
        <v>106032</v>
      </c>
      <c r="F3879">
        <v>52942</v>
      </c>
    </row>
    <row r="3880" spans="1:6">
      <c r="A3880" t="s">
        <v>4924</v>
      </c>
      <c r="B3880">
        <v>431</v>
      </c>
      <c r="C3880" t="s">
        <v>651</v>
      </c>
      <c r="D3880">
        <v>74804888</v>
      </c>
      <c r="E3880">
        <v>106032</v>
      </c>
      <c r="F3880">
        <v>52942</v>
      </c>
    </row>
    <row r="3881" spans="1:6">
      <c r="A3881" t="s">
        <v>4925</v>
      </c>
      <c r="B3881">
        <v>432</v>
      </c>
      <c r="C3881" t="s">
        <v>154</v>
      </c>
      <c r="D3881">
        <v>1428511</v>
      </c>
      <c r="E3881">
        <v>100277</v>
      </c>
      <c r="F3881">
        <v>53114</v>
      </c>
    </row>
    <row r="3882" spans="1:6">
      <c r="A3882" t="s">
        <v>4926</v>
      </c>
      <c r="B3882">
        <v>432</v>
      </c>
      <c r="C3882" t="s">
        <v>1043</v>
      </c>
      <c r="D3882">
        <v>4285533</v>
      </c>
      <c r="E3882">
        <v>100277</v>
      </c>
      <c r="F3882">
        <v>53114</v>
      </c>
    </row>
    <row r="3883" spans="1:6">
      <c r="A3883" t="s">
        <v>4927</v>
      </c>
      <c r="B3883">
        <v>432</v>
      </c>
      <c r="C3883" t="s">
        <v>1045</v>
      </c>
      <c r="D3883">
        <v>2571320</v>
      </c>
      <c r="E3883">
        <v>100277</v>
      </c>
      <c r="F3883">
        <v>53114</v>
      </c>
    </row>
    <row r="3884" spans="1:6">
      <c r="A3884" t="s">
        <v>4928</v>
      </c>
      <c r="B3884">
        <v>432</v>
      </c>
      <c r="C3884" t="s">
        <v>1047</v>
      </c>
      <c r="D3884">
        <v>714256</v>
      </c>
      <c r="E3884">
        <v>100277</v>
      </c>
      <c r="F3884">
        <v>53114</v>
      </c>
    </row>
    <row r="3885" spans="1:6">
      <c r="A3885" t="s">
        <v>4929</v>
      </c>
      <c r="B3885">
        <v>432</v>
      </c>
      <c r="C3885" t="s">
        <v>1049</v>
      </c>
      <c r="D3885">
        <v>214277</v>
      </c>
      <c r="E3885">
        <v>100277</v>
      </c>
      <c r="F3885">
        <v>53114</v>
      </c>
    </row>
    <row r="3886" spans="1:6">
      <c r="A3886" t="s">
        <v>4930</v>
      </c>
      <c r="B3886">
        <v>432</v>
      </c>
      <c r="C3886" t="s">
        <v>745</v>
      </c>
      <c r="D3886">
        <v>5714044</v>
      </c>
      <c r="E3886">
        <v>100277</v>
      </c>
      <c r="F3886">
        <v>53114</v>
      </c>
    </row>
    <row r="3887" spans="1:6">
      <c r="A3887" t="s">
        <v>4931</v>
      </c>
      <c r="B3887">
        <v>432</v>
      </c>
      <c r="C3887" t="s">
        <v>1052</v>
      </c>
      <c r="D3887">
        <v>12856599</v>
      </c>
      <c r="E3887">
        <v>100277</v>
      </c>
      <c r="F3887">
        <v>53114</v>
      </c>
    </row>
    <row r="3888" spans="1:6">
      <c r="A3888" t="s">
        <v>4932</v>
      </c>
      <c r="B3888">
        <v>432</v>
      </c>
      <c r="C3888" t="s">
        <v>164</v>
      </c>
      <c r="D3888">
        <v>150806643</v>
      </c>
      <c r="E3888">
        <v>106652</v>
      </c>
      <c r="F3888">
        <v>53114</v>
      </c>
    </row>
    <row r="3889" spans="1:6">
      <c r="A3889" t="s">
        <v>4933</v>
      </c>
      <c r="B3889">
        <v>432</v>
      </c>
      <c r="C3889" t="s">
        <v>651</v>
      </c>
      <c r="D3889">
        <v>75403322</v>
      </c>
      <c r="E3889">
        <v>106652</v>
      </c>
      <c r="F3889">
        <v>53114</v>
      </c>
    </row>
    <row r="3890" spans="1:6">
      <c r="A3890" t="s">
        <v>4934</v>
      </c>
      <c r="B3890">
        <v>433</v>
      </c>
      <c r="C3890" t="s">
        <v>154</v>
      </c>
      <c r="D3890">
        <v>1439074</v>
      </c>
      <c r="E3890">
        <v>100880</v>
      </c>
      <c r="F3890">
        <v>53286</v>
      </c>
    </row>
    <row r="3891" spans="1:6">
      <c r="A3891" t="s">
        <v>4935</v>
      </c>
      <c r="B3891">
        <v>433</v>
      </c>
      <c r="C3891" t="s">
        <v>1043</v>
      </c>
      <c r="D3891">
        <v>4317222</v>
      </c>
      <c r="E3891">
        <v>100880</v>
      </c>
      <c r="F3891">
        <v>53286</v>
      </c>
    </row>
    <row r="3892" spans="1:6">
      <c r="A3892" t="s">
        <v>4936</v>
      </c>
      <c r="B3892">
        <v>433</v>
      </c>
      <c r="C3892" t="s">
        <v>1045</v>
      </c>
      <c r="D3892">
        <v>2590334</v>
      </c>
      <c r="E3892">
        <v>100880</v>
      </c>
      <c r="F3892">
        <v>53286</v>
      </c>
    </row>
    <row r="3893" spans="1:6">
      <c r="A3893" t="s">
        <v>4937</v>
      </c>
      <c r="B3893">
        <v>433</v>
      </c>
      <c r="C3893" t="s">
        <v>1047</v>
      </c>
      <c r="D3893">
        <v>719537</v>
      </c>
      <c r="E3893">
        <v>100880</v>
      </c>
      <c r="F3893">
        <v>53286</v>
      </c>
    </row>
    <row r="3894" spans="1:6">
      <c r="A3894" t="s">
        <v>4938</v>
      </c>
      <c r="B3894">
        <v>433</v>
      </c>
      <c r="C3894" t="s">
        <v>1049</v>
      </c>
      <c r="D3894">
        <v>215862</v>
      </c>
      <c r="E3894">
        <v>100880</v>
      </c>
      <c r="F3894">
        <v>53286</v>
      </c>
    </row>
    <row r="3895" spans="1:6">
      <c r="A3895" t="s">
        <v>4939</v>
      </c>
      <c r="B3895">
        <v>433</v>
      </c>
      <c r="C3895" t="s">
        <v>745</v>
      </c>
      <c r="D3895">
        <v>5756296</v>
      </c>
      <c r="E3895">
        <v>100880</v>
      </c>
      <c r="F3895">
        <v>53286</v>
      </c>
    </row>
    <row r="3896" spans="1:6">
      <c r="A3896" t="s">
        <v>4940</v>
      </c>
      <c r="B3896">
        <v>433</v>
      </c>
      <c r="C3896" t="s">
        <v>1052</v>
      </c>
      <c r="D3896">
        <v>12951666</v>
      </c>
      <c r="E3896">
        <v>100880</v>
      </c>
      <c r="F3896">
        <v>53286</v>
      </c>
    </row>
    <row r="3897" spans="1:6">
      <c r="A3897" t="s">
        <v>4941</v>
      </c>
      <c r="B3897">
        <v>433</v>
      </c>
      <c r="C3897" t="s">
        <v>164</v>
      </c>
      <c r="D3897">
        <v>152011365</v>
      </c>
      <c r="E3897">
        <v>107275</v>
      </c>
      <c r="F3897">
        <v>53286</v>
      </c>
    </row>
    <row r="3898" spans="1:6">
      <c r="A3898" t="s">
        <v>4942</v>
      </c>
      <c r="B3898">
        <v>433</v>
      </c>
      <c r="C3898" t="s">
        <v>651</v>
      </c>
      <c r="D3898">
        <v>76005683</v>
      </c>
      <c r="E3898">
        <v>107275</v>
      </c>
      <c r="F3898">
        <v>53286</v>
      </c>
    </row>
    <row r="3899" spans="1:6">
      <c r="A3899" t="s">
        <v>4943</v>
      </c>
      <c r="B3899">
        <v>434</v>
      </c>
      <c r="C3899" t="s">
        <v>154</v>
      </c>
      <c r="D3899">
        <v>1449700</v>
      </c>
      <c r="E3899">
        <v>101486</v>
      </c>
      <c r="F3899">
        <v>53458</v>
      </c>
    </row>
    <row r="3900" spans="1:6">
      <c r="A3900" t="s">
        <v>4944</v>
      </c>
      <c r="B3900">
        <v>434</v>
      </c>
      <c r="C3900" t="s">
        <v>1043</v>
      </c>
      <c r="D3900">
        <v>4349100</v>
      </c>
      <c r="E3900">
        <v>101486</v>
      </c>
      <c r="F3900">
        <v>53458</v>
      </c>
    </row>
    <row r="3901" spans="1:6">
      <c r="A3901" t="s">
        <v>4945</v>
      </c>
      <c r="B3901">
        <v>434</v>
      </c>
      <c r="C3901" t="s">
        <v>1045</v>
      </c>
      <c r="D3901">
        <v>2609460</v>
      </c>
      <c r="E3901">
        <v>101486</v>
      </c>
      <c r="F3901">
        <v>53458</v>
      </c>
    </row>
    <row r="3902" spans="1:6">
      <c r="A3902" t="s">
        <v>4946</v>
      </c>
      <c r="B3902">
        <v>434</v>
      </c>
      <c r="C3902" t="s">
        <v>1047</v>
      </c>
      <c r="D3902">
        <v>724850</v>
      </c>
      <c r="E3902">
        <v>101486</v>
      </c>
      <c r="F3902">
        <v>53458</v>
      </c>
    </row>
    <row r="3903" spans="1:6">
      <c r="A3903" t="s">
        <v>4947</v>
      </c>
      <c r="B3903">
        <v>434</v>
      </c>
      <c r="C3903" t="s">
        <v>1049</v>
      </c>
      <c r="D3903">
        <v>217455</v>
      </c>
      <c r="E3903">
        <v>101486</v>
      </c>
      <c r="F3903">
        <v>53458</v>
      </c>
    </row>
    <row r="3904" spans="1:6">
      <c r="A3904" t="s">
        <v>4948</v>
      </c>
      <c r="B3904">
        <v>434</v>
      </c>
      <c r="C3904" t="s">
        <v>745</v>
      </c>
      <c r="D3904">
        <v>5798800</v>
      </c>
      <c r="E3904">
        <v>101486</v>
      </c>
      <c r="F3904">
        <v>53458</v>
      </c>
    </row>
    <row r="3905" spans="1:6">
      <c r="A3905" t="s">
        <v>4949</v>
      </c>
      <c r="B3905">
        <v>434</v>
      </c>
      <c r="C3905" t="s">
        <v>1052</v>
      </c>
      <c r="D3905">
        <v>13047300</v>
      </c>
      <c r="E3905">
        <v>101486</v>
      </c>
      <c r="F3905">
        <v>53458</v>
      </c>
    </row>
    <row r="3906" spans="1:6">
      <c r="A3906" t="s">
        <v>4950</v>
      </c>
      <c r="B3906">
        <v>434</v>
      </c>
      <c r="C3906" t="s">
        <v>164</v>
      </c>
      <c r="D3906">
        <v>153223992</v>
      </c>
      <c r="E3906">
        <v>107902</v>
      </c>
      <c r="F3906">
        <v>53458</v>
      </c>
    </row>
    <row r="3907" spans="1:6">
      <c r="A3907" t="s">
        <v>4951</v>
      </c>
      <c r="B3907">
        <v>434</v>
      </c>
      <c r="C3907" t="s">
        <v>651</v>
      </c>
      <c r="D3907">
        <v>76611996</v>
      </c>
      <c r="E3907">
        <v>107902</v>
      </c>
      <c r="F3907">
        <v>53458</v>
      </c>
    </row>
    <row r="3908" spans="1:6">
      <c r="A3908" t="s">
        <v>4952</v>
      </c>
      <c r="B3908">
        <v>435</v>
      </c>
      <c r="C3908" t="s">
        <v>154</v>
      </c>
      <c r="D3908">
        <v>1460388</v>
      </c>
      <c r="E3908">
        <v>102095</v>
      </c>
      <c r="F3908">
        <v>53631</v>
      </c>
    </row>
    <row r="3909" spans="1:6">
      <c r="A3909" t="s">
        <v>4953</v>
      </c>
      <c r="B3909">
        <v>435</v>
      </c>
      <c r="C3909" t="s">
        <v>1043</v>
      </c>
      <c r="D3909">
        <v>4381164</v>
      </c>
      <c r="E3909">
        <v>102095</v>
      </c>
      <c r="F3909">
        <v>53631</v>
      </c>
    </row>
    <row r="3910" spans="1:6">
      <c r="A3910" t="s">
        <v>4954</v>
      </c>
      <c r="B3910">
        <v>435</v>
      </c>
      <c r="C3910" t="s">
        <v>1045</v>
      </c>
      <c r="D3910">
        <v>2628699</v>
      </c>
      <c r="E3910">
        <v>102095</v>
      </c>
      <c r="F3910">
        <v>53631</v>
      </c>
    </row>
    <row r="3911" spans="1:6">
      <c r="A3911" t="s">
        <v>4955</v>
      </c>
      <c r="B3911">
        <v>435</v>
      </c>
      <c r="C3911" t="s">
        <v>1047</v>
      </c>
      <c r="D3911">
        <v>730194</v>
      </c>
      <c r="E3911">
        <v>102095</v>
      </c>
      <c r="F3911">
        <v>53631</v>
      </c>
    </row>
    <row r="3912" spans="1:6">
      <c r="A3912" t="s">
        <v>4956</v>
      </c>
      <c r="B3912">
        <v>435</v>
      </c>
      <c r="C3912" t="s">
        <v>1049</v>
      </c>
      <c r="D3912">
        <v>219059</v>
      </c>
      <c r="E3912">
        <v>102095</v>
      </c>
      <c r="F3912">
        <v>53631</v>
      </c>
    </row>
    <row r="3913" spans="1:6">
      <c r="A3913" t="s">
        <v>4957</v>
      </c>
      <c r="B3913">
        <v>435</v>
      </c>
      <c r="C3913" t="s">
        <v>745</v>
      </c>
      <c r="D3913">
        <v>5841552</v>
      </c>
      <c r="E3913">
        <v>102095</v>
      </c>
      <c r="F3913">
        <v>53631</v>
      </c>
    </row>
    <row r="3914" spans="1:6">
      <c r="A3914" t="s">
        <v>4958</v>
      </c>
      <c r="B3914">
        <v>435</v>
      </c>
      <c r="C3914" t="s">
        <v>1052</v>
      </c>
      <c r="D3914">
        <v>13143492</v>
      </c>
      <c r="E3914">
        <v>102095</v>
      </c>
      <c r="F3914">
        <v>53631</v>
      </c>
    </row>
    <row r="3915" spans="1:6">
      <c r="A3915" t="s">
        <v>4959</v>
      </c>
      <c r="B3915">
        <v>435</v>
      </c>
      <c r="C3915" t="s">
        <v>164</v>
      </c>
      <c r="D3915">
        <v>154444575</v>
      </c>
      <c r="E3915">
        <v>108531</v>
      </c>
      <c r="F3915">
        <v>53631</v>
      </c>
    </row>
    <row r="3916" spans="1:6">
      <c r="A3916" t="s">
        <v>4960</v>
      </c>
      <c r="B3916">
        <v>435</v>
      </c>
      <c r="C3916" t="s">
        <v>651</v>
      </c>
      <c r="D3916">
        <v>77222288</v>
      </c>
      <c r="E3916">
        <v>108531</v>
      </c>
      <c r="F3916">
        <v>53631</v>
      </c>
    </row>
    <row r="3917" spans="1:6">
      <c r="A3917" t="s">
        <v>4961</v>
      </c>
      <c r="B3917">
        <v>436</v>
      </c>
      <c r="C3917" t="s">
        <v>154</v>
      </c>
      <c r="D3917">
        <v>1471140</v>
      </c>
      <c r="E3917">
        <v>102707</v>
      </c>
      <c r="F3917">
        <v>53804</v>
      </c>
    </row>
    <row r="3918" spans="1:6">
      <c r="A3918" t="s">
        <v>4962</v>
      </c>
      <c r="B3918">
        <v>436</v>
      </c>
      <c r="C3918" t="s">
        <v>1043</v>
      </c>
      <c r="D3918">
        <v>4413420</v>
      </c>
      <c r="E3918">
        <v>102707</v>
      </c>
      <c r="F3918">
        <v>53804</v>
      </c>
    </row>
    <row r="3919" spans="1:6">
      <c r="A3919" t="s">
        <v>4963</v>
      </c>
      <c r="B3919">
        <v>436</v>
      </c>
      <c r="C3919" t="s">
        <v>1045</v>
      </c>
      <c r="D3919">
        <v>2648052</v>
      </c>
      <c r="E3919">
        <v>102707</v>
      </c>
      <c r="F3919">
        <v>53804</v>
      </c>
    </row>
    <row r="3920" spans="1:6">
      <c r="A3920" t="s">
        <v>4964</v>
      </c>
      <c r="B3920">
        <v>436</v>
      </c>
      <c r="C3920" t="s">
        <v>1047</v>
      </c>
      <c r="D3920">
        <v>735570</v>
      </c>
      <c r="E3920">
        <v>102707</v>
      </c>
      <c r="F3920">
        <v>53804</v>
      </c>
    </row>
    <row r="3921" spans="1:6">
      <c r="A3921" t="s">
        <v>4965</v>
      </c>
      <c r="B3921">
        <v>436</v>
      </c>
      <c r="C3921" t="s">
        <v>1049</v>
      </c>
      <c r="D3921">
        <v>220671</v>
      </c>
      <c r="E3921">
        <v>102707</v>
      </c>
      <c r="F3921">
        <v>53804</v>
      </c>
    </row>
    <row r="3922" spans="1:6">
      <c r="A3922" t="s">
        <v>4966</v>
      </c>
      <c r="B3922">
        <v>436</v>
      </c>
      <c r="C3922" t="s">
        <v>745</v>
      </c>
      <c r="D3922">
        <v>5884560</v>
      </c>
      <c r="E3922">
        <v>102707</v>
      </c>
      <c r="F3922">
        <v>53804</v>
      </c>
    </row>
    <row r="3923" spans="1:6">
      <c r="A3923" t="s">
        <v>4967</v>
      </c>
      <c r="B3923">
        <v>436</v>
      </c>
      <c r="C3923" t="s">
        <v>1052</v>
      </c>
      <c r="D3923">
        <v>13240260</v>
      </c>
      <c r="E3923">
        <v>102707</v>
      </c>
      <c r="F3923">
        <v>53804</v>
      </c>
    </row>
    <row r="3924" spans="1:6">
      <c r="A3924" t="s">
        <v>4968</v>
      </c>
      <c r="B3924">
        <v>436</v>
      </c>
      <c r="C3924" t="s">
        <v>164</v>
      </c>
      <c r="D3924">
        <v>155673114</v>
      </c>
      <c r="E3924">
        <v>109163</v>
      </c>
      <c r="F3924">
        <v>53804</v>
      </c>
    </row>
    <row r="3925" spans="1:6">
      <c r="A3925" t="s">
        <v>4969</v>
      </c>
      <c r="B3925">
        <v>436</v>
      </c>
      <c r="C3925" t="s">
        <v>651</v>
      </c>
      <c r="D3925">
        <v>77836557</v>
      </c>
      <c r="E3925">
        <v>109163</v>
      </c>
      <c r="F3925">
        <v>53804</v>
      </c>
    </row>
    <row r="3926" spans="1:6">
      <c r="A3926" t="s">
        <v>4970</v>
      </c>
      <c r="B3926">
        <v>437</v>
      </c>
      <c r="C3926" t="s">
        <v>154</v>
      </c>
      <c r="D3926">
        <v>1481955</v>
      </c>
      <c r="E3926">
        <v>103322</v>
      </c>
      <c r="F3926">
        <v>53977</v>
      </c>
    </row>
    <row r="3927" spans="1:6">
      <c r="A3927" t="s">
        <v>4971</v>
      </c>
      <c r="B3927">
        <v>437</v>
      </c>
      <c r="C3927" t="s">
        <v>1043</v>
      </c>
      <c r="D3927">
        <v>4445865</v>
      </c>
      <c r="E3927">
        <v>103322</v>
      </c>
      <c r="F3927">
        <v>53977</v>
      </c>
    </row>
    <row r="3928" spans="1:6">
      <c r="A3928" t="s">
        <v>4972</v>
      </c>
      <c r="B3928">
        <v>437</v>
      </c>
      <c r="C3928" t="s">
        <v>1045</v>
      </c>
      <c r="D3928">
        <v>2667519</v>
      </c>
      <c r="E3928">
        <v>103322</v>
      </c>
      <c r="F3928">
        <v>53977</v>
      </c>
    </row>
    <row r="3929" spans="1:6">
      <c r="A3929" t="s">
        <v>4973</v>
      </c>
      <c r="B3929">
        <v>437</v>
      </c>
      <c r="C3929" t="s">
        <v>1047</v>
      </c>
      <c r="D3929">
        <v>740978</v>
      </c>
      <c r="E3929">
        <v>103322</v>
      </c>
      <c r="F3929">
        <v>53977</v>
      </c>
    </row>
    <row r="3930" spans="1:6">
      <c r="A3930" t="s">
        <v>4974</v>
      </c>
      <c r="B3930">
        <v>437</v>
      </c>
      <c r="C3930" t="s">
        <v>1049</v>
      </c>
      <c r="D3930">
        <v>222294</v>
      </c>
      <c r="E3930">
        <v>103322</v>
      </c>
      <c r="F3930">
        <v>53977</v>
      </c>
    </row>
    <row r="3931" spans="1:6">
      <c r="A3931" t="s">
        <v>4975</v>
      </c>
      <c r="B3931">
        <v>437</v>
      </c>
      <c r="C3931" t="s">
        <v>745</v>
      </c>
      <c r="D3931">
        <v>5927820</v>
      </c>
      <c r="E3931">
        <v>103322</v>
      </c>
      <c r="F3931">
        <v>53977</v>
      </c>
    </row>
    <row r="3932" spans="1:6">
      <c r="A3932" t="s">
        <v>4976</v>
      </c>
      <c r="B3932">
        <v>437</v>
      </c>
      <c r="C3932" t="s">
        <v>1052</v>
      </c>
      <c r="D3932">
        <v>13337595</v>
      </c>
      <c r="E3932">
        <v>103322</v>
      </c>
      <c r="F3932">
        <v>53977</v>
      </c>
    </row>
    <row r="3933" spans="1:6">
      <c r="A3933" t="s">
        <v>4977</v>
      </c>
      <c r="B3933">
        <v>437</v>
      </c>
      <c r="C3933" t="s">
        <v>164</v>
      </c>
      <c r="D3933">
        <v>156909711</v>
      </c>
      <c r="E3933">
        <v>109799</v>
      </c>
      <c r="F3933">
        <v>53977</v>
      </c>
    </row>
    <row r="3934" spans="1:6">
      <c r="A3934" t="s">
        <v>4978</v>
      </c>
      <c r="B3934">
        <v>437</v>
      </c>
      <c r="C3934" t="s">
        <v>651</v>
      </c>
      <c r="D3934">
        <v>78454856</v>
      </c>
      <c r="E3934">
        <v>109799</v>
      </c>
      <c r="F3934">
        <v>53977</v>
      </c>
    </row>
    <row r="3935" spans="1:6">
      <c r="A3935" t="s">
        <v>4979</v>
      </c>
      <c r="B3935">
        <v>438</v>
      </c>
      <c r="C3935" t="s">
        <v>154</v>
      </c>
      <c r="D3935">
        <v>1492834</v>
      </c>
      <c r="E3935">
        <v>103940</v>
      </c>
      <c r="F3935">
        <v>54150</v>
      </c>
    </row>
    <row r="3936" spans="1:6">
      <c r="A3936" t="s">
        <v>4980</v>
      </c>
      <c r="B3936">
        <v>438</v>
      </c>
      <c r="C3936" t="s">
        <v>1043</v>
      </c>
      <c r="D3936">
        <v>4478502</v>
      </c>
      <c r="E3936">
        <v>103940</v>
      </c>
      <c r="F3936">
        <v>54150</v>
      </c>
    </row>
    <row r="3937" spans="1:6">
      <c r="A3937" t="s">
        <v>4981</v>
      </c>
      <c r="B3937">
        <v>438</v>
      </c>
      <c r="C3937" t="s">
        <v>1045</v>
      </c>
      <c r="D3937">
        <v>2687102</v>
      </c>
      <c r="E3937">
        <v>103940</v>
      </c>
      <c r="F3937">
        <v>54150</v>
      </c>
    </row>
    <row r="3938" spans="1:6">
      <c r="A3938" t="s">
        <v>4982</v>
      </c>
      <c r="B3938">
        <v>438</v>
      </c>
      <c r="C3938" t="s">
        <v>1047</v>
      </c>
      <c r="D3938">
        <v>746417</v>
      </c>
      <c r="E3938">
        <v>103940</v>
      </c>
      <c r="F3938">
        <v>54150</v>
      </c>
    </row>
    <row r="3939" spans="1:6">
      <c r="A3939" t="s">
        <v>4983</v>
      </c>
      <c r="B3939">
        <v>438</v>
      </c>
      <c r="C3939" t="s">
        <v>1049</v>
      </c>
      <c r="D3939">
        <v>223926</v>
      </c>
      <c r="E3939">
        <v>103940</v>
      </c>
      <c r="F3939">
        <v>54150</v>
      </c>
    </row>
    <row r="3940" spans="1:6">
      <c r="A3940" t="s">
        <v>4984</v>
      </c>
      <c r="B3940">
        <v>438</v>
      </c>
      <c r="C3940" t="s">
        <v>745</v>
      </c>
      <c r="D3940">
        <v>5971336</v>
      </c>
      <c r="E3940">
        <v>103940</v>
      </c>
      <c r="F3940">
        <v>54150</v>
      </c>
    </row>
    <row r="3941" spans="1:6">
      <c r="A3941" t="s">
        <v>4985</v>
      </c>
      <c r="B3941">
        <v>438</v>
      </c>
      <c r="C3941" t="s">
        <v>1052</v>
      </c>
      <c r="D3941">
        <v>13435506</v>
      </c>
      <c r="E3941">
        <v>103940</v>
      </c>
      <c r="F3941">
        <v>54150</v>
      </c>
    </row>
    <row r="3942" spans="1:6">
      <c r="A3942" t="s">
        <v>4986</v>
      </c>
      <c r="B3942">
        <v>438</v>
      </c>
      <c r="C3942" t="s">
        <v>164</v>
      </c>
      <c r="D3942">
        <v>158154315</v>
      </c>
      <c r="E3942">
        <v>110437</v>
      </c>
      <c r="F3942">
        <v>54150</v>
      </c>
    </row>
    <row r="3943" spans="1:6">
      <c r="A3943" t="s">
        <v>4987</v>
      </c>
      <c r="B3943">
        <v>438</v>
      </c>
      <c r="C3943" t="s">
        <v>651</v>
      </c>
      <c r="D3943">
        <v>79077158</v>
      </c>
      <c r="E3943">
        <v>110437</v>
      </c>
      <c r="F3943">
        <v>54150</v>
      </c>
    </row>
    <row r="3944" spans="1:6">
      <c r="A3944" t="s">
        <v>4988</v>
      </c>
      <c r="B3944">
        <v>439</v>
      </c>
      <c r="C3944" t="s">
        <v>154</v>
      </c>
      <c r="D3944">
        <v>1503776</v>
      </c>
      <c r="E3944">
        <v>104562</v>
      </c>
      <c r="F3944">
        <v>54324</v>
      </c>
    </row>
    <row r="3945" spans="1:6">
      <c r="A3945" t="s">
        <v>4989</v>
      </c>
      <c r="B3945">
        <v>439</v>
      </c>
      <c r="C3945" t="s">
        <v>1043</v>
      </c>
      <c r="D3945">
        <v>4511328</v>
      </c>
      <c r="E3945">
        <v>104562</v>
      </c>
      <c r="F3945">
        <v>54324</v>
      </c>
    </row>
    <row r="3946" spans="1:6">
      <c r="A3946" t="s">
        <v>4990</v>
      </c>
      <c r="B3946">
        <v>439</v>
      </c>
      <c r="C3946" t="s">
        <v>1045</v>
      </c>
      <c r="D3946">
        <v>2706797</v>
      </c>
      <c r="E3946">
        <v>104562</v>
      </c>
      <c r="F3946">
        <v>54324</v>
      </c>
    </row>
    <row r="3947" spans="1:6">
      <c r="A3947" t="s">
        <v>4991</v>
      </c>
      <c r="B3947">
        <v>439</v>
      </c>
      <c r="C3947" t="s">
        <v>1047</v>
      </c>
      <c r="D3947">
        <v>751888</v>
      </c>
      <c r="E3947">
        <v>104562</v>
      </c>
      <c r="F3947">
        <v>54324</v>
      </c>
    </row>
    <row r="3948" spans="1:6">
      <c r="A3948" t="s">
        <v>4992</v>
      </c>
      <c r="B3948">
        <v>439</v>
      </c>
      <c r="C3948" t="s">
        <v>1049</v>
      </c>
      <c r="D3948">
        <v>225567</v>
      </c>
      <c r="E3948">
        <v>104562</v>
      </c>
      <c r="F3948">
        <v>54324</v>
      </c>
    </row>
    <row r="3949" spans="1:6">
      <c r="A3949" t="s">
        <v>4993</v>
      </c>
      <c r="B3949">
        <v>439</v>
      </c>
      <c r="C3949" t="s">
        <v>745</v>
      </c>
      <c r="D3949">
        <v>6015104</v>
      </c>
      <c r="E3949">
        <v>104562</v>
      </c>
      <c r="F3949">
        <v>54324</v>
      </c>
    </row>
    <row r="3950" spans="1:6">
      <c r="A3950" t="s">
        <v>4994</v>
      </c>
      <c r="B3950">
        <v>439</v>
      </c>
      <c r="C3950" t="s">
        <v>1052</v>
      </c>
      <c r="D3950">
        <v>13533984</v>
      </c>
      <c r="E3950">
        <v>104562</v>
      </c>
      <c r="F3950">
        <v>54324</v>
      </c>
    </row>
    <row r="3951" spans="1:6">
      <c r="A3951" t="s">
        <v>4995</v>
      </c>
      <c r="B3951">
        <v>439</v>
      </c>
      <c r="C3951" t="s">
        <v>164</v>
      </c>
      <c r="D3951">
        <v>159407079</v>
      </c>
      <c r="E3951">
        <v>111079</v>
      </c>
      <c r="F3951">
        <v>54324</v>
      </c>
    </row>
    <row r="3952" spans="1:6">
      <c r="A3952" t="s">
        <v>4996</v>
      </c>
      <c r="B3952">
        <v>439</v>
      </c>
      <c r="C3952" t="s">
        <v>651</v>
      </c>
      <c r="D3952">
        <v>79703540</v>
      </c>
      <c r="E3952">
        <v>111079</v>
      </c>
      <c r="F3952">
        <v>54324</v>
      </c>
    </row>
    <row r="3953" spans="1:6">
      <c r="A3953" t="s">
        <v>4997</v>
      </c>
      <c r="B3953">
        <v>440</v>
      </c>
      <c r="C3953" t="s">
        <v>154</v>
      </c>
      <c r="D3953">
        <v>1514783</v>
      </c>
      <c r="E3953">
        <v>105186</v>
      </c>
      <c r="F3953">
        <v>54498</v>
      </c>
    </row>
    <row r="3954" spans="1:6">
      <c r="A3954" t="s">
        <v>4998</v>
      </c>
      <c r="B3954">
        <v>440</v>
      </c>
      <c r="C3954" t="s">
        <v>1043</v>
      </c>
      <c r="D3954">
        <v>4544349</v>
      </c>
      <c r="E3954">
        <v>105186</v>
      </c>
      <c r="F3954">
        <v>54498</v>
      </c>
    </row>
    <row r="3955" spans="1:6">
      <c r="A3955" t="s">
        <v>4999</v>
      </c>
      <c r="B3955">
        <v>440</v>
      </c>
      <c r="C3955" t="s">
        <v>1045</v>
      </c>
      <c r="D3955">
        <v>2726610</v>
      </c>
      <c r="E3955">
        <v>105186</v>
      </c>
      <c r="F3955">
        <v>54498</v>
      </c>
    </row>
    <row r="3956" spans="1:6">
      <c r="A3956" t="s">
        <v>5000</v>
      </c>
      <c r="B3956">
        <v>440</v>
      </c>
      <c r="C3956" t="s">
        <v>1047</v>
      </c>
      <c r="D3956">
        <v>757392</v>
      </c>
      <c r="E3956">
        <v>105186</v>
      </c>
      <c r="F3956">
        <v>54498</v>
      </c>
    </row>
    <row r="3957" spans="1:6">
      <c r="A3957" t="s">
        <v>5001</v>
      </c>
      <c r="B3957">
        <v>440</v>
      </c>
      <c r="C3957" t="s">
        <v>1049</v>
      </c>
      <c r="D3957">
        <v>227218</v>
      </c>
      <c r="E3957">
        <v>105186</v>
      </c>
      <c r="F3957">
        <v>54498</v>
      </c>
    </row>
    <row r="3958" spans="1:6">
      <c r="A3958" t="s">
        <v>5002</v>
      </c>
      <c r="B3958">
        <v>440</v>
      </c>
      <c r="C3958" t="s">
        <v>745</v>
      </c>
      <c r="D3958">
        <v>6059132</v>
      </c>
      <c r="E3958">
        <v>105186</v>
      </c>
      <c r="F3958">
        <v>54498</v>
      </c>
    </row>
    <row r="3959" spans="1:6">
      <c r="A3959" t="s">
        <v>5003</v>
      </c>
      <c r="B3959">
        <v>440</v>
      </c>
      <c r="C3959" t="s">
        <v>1052</v>
      </c>
      <c r="D3959">
        <v>13633047</v>
      </c>
      <c r="E3959">
        <v>105186</v>
      </c>
      <c r="F3959">
        <v>54498</v>
      </c>
    </row>
    <row r="3960" spans="1:6">
      <c r="A3960" t="s">
        <v>5004</v>
      </c>
      <c r="B3960">
        <v>440</v>
      </c>
      <c r="C3960" t="s">
        <v>164</v>
      </c>
      <c r="D3960">
        <v>160668003</v>
      </c>
      <c r="E3960">
        <v>111724</v>
      </c>
      <c r="F3960">
        <v>54498</v>
      </c>
    </row>
    <row r="3961" spans="1:6">
      <c r="A3961" t="s">
        <v>5005</v>
      </c>
      <c r="B3961">
        <v>440</v>
      </c>
      <c r="C3961" t="s">
        <v>651</v>
      </c>
      <c r="D3961">
        <v>80334002</v>
      </c>
      <c r="E3961">
        <v>111724</v>
      </c>
      <c r="F3961">
        <v>54498</v>
      </c>
    </row>
    <row r="3962" spans="1:6">
      <c r="A3962" t="s">
        <v>5006</v>
      </c>
      <c r="B3962">
        <v>441</v>
      </c>
      <c r="C3962" t="s">
        <v>154</v>
      </c>
      <c r="D3962">
        <v>1525854</v>
      </c>
      <c r="E3962">
        <v>105814</v>
      </c>
      <c r="F3962">
        <v>54672</v>
      </c>
    </row>
    <row r="3963" spans="1:6">
      <c r="A3963" t="s">
        <v>5007</v>
      </c>
      <c r="B3963">
        <v>441</v>
      </c>
      <c r="C3963" t="s">
        <v>1043</v>
      </c>
      <c r="D3963">
        <v>4577562</v>
      </c>
      <c r="E3963">
        <v>105814</v>
      </c>
      <c r="F3963">
        <v>54672</v>
      </c>
    </row>
    <row r="3964" spans="1:6">
      <c r="A3964" t="s">
        <v>5008</v>
      </c>
      <c r="B3964">
        <v>441</v>
      </c>
      <c r="C3964" t="s">
        <v>1045</v>
      </c>
      <c r="D3964">
        <v>2746538</v>
      </c>
      <c r="E3964">
        <v>105814</v>
      </c>
      <c r="F3964">
        <v>54672</v>
      </c>
    </row>
    <row r="3965" spans="1:6">
      <c r="A3965" t="s">
        <v>5009</v>
      </c>
      <c r="B3965">
        <v>441</v>
      </c>
      <c r="C3965" t="s">
        <v>1047</v>
      </c>
      <c r="D3965">
        <v>762927</v>
      </c>
      <c r="E3965">
        <v>105814</v>
      </c>
      <c r="F3965">
        <v>54672</v>
      </c>
    </row>
    <row r="3966" spans="1:6">
      <c r="A3966" t="s">
        <v>5010</v>
      </c>
      <c r="B3966">
        <v>441</v>
      </c>
      <c r="C3966" t="s">
        <v>1049</v>
      </c>
      <c r="D3966">
        <v>228879</v>
      </c>
      <c r="E3966">
        <v>105814</v>
      </c>
      <c r="F3966">
        <v>54672</v>
      </c>
    </row>
    <row r="3967" spans="1:6">
      <c r="A3967" t="s">
        <v>5011</v>
      </c>
      <c r="B3967">
        <v>441</v>
      </c>
      <c r="C3967" t="s">
        <v>745</v>
      </c>
      <c r="D3967">
        <v>6103416</v>
      </c>
      <c r="E3967">
        <v>105814</v>
      </c>
      <c r="F3967">
        <v>54672</v>
      </c>
    </row>
    <row r="3968" spans="1:6">
      <c r="A3968" t="s">
        <v>5012</v>
      </c>
      <c r="B3968">
        <v>441</v>
      </c>
      <c r="C3968" t="s">
        <v>1052</v>
      </c>
      <c r="D3968">
        <v>13732686</v>
      </c>
      <c r="E3968">
        <v>105814</v>
      </c>
      <c r="F3968">
        <v>54672</v>
      </c>
    </row>
    <row r="3969" spans="1:6">
      <c r="A3969" t="s">
        <v>5013</v>
      </c>
      <c r="B3969">
        <v>441</v>
      </c>
      <c r="C3969" t="s">
        <v>164</v>
      </c>
      <c r="D3969">
        <v>161937087</v>
      </c>
      <c r="E3969">
        <v>112373</v>
      </c>
      <c r="F3969">
        <v>54672</v>
      </c>
    </row>
    <row r="3970" spans="1:6">
      <c r="A3970" t="s">
        <v>5014</v>
      </c>
      <c r="B3970">
        <v>441</v>
      </c>
      <c r="C3970" t="s">
        <v>651</v>
      </c>
      <c r="D3970">
        <v>80968544</v>
      </c>
      <c r="E3970">
        <v>112373</v>
      </c>
      <c r="F3970">
        <v>54672</v>
      </c>
    </row>
    <row r="3971" spans="1:6">
      <c r="A3971" t="s">
        <v>5015</v>
      </c>
      <c r="B3971">
        <v>442</v>
      </c>
      <c r="C3971" t="s">
        <v>154</v>
      </c>
      <c r="D3971">
        <v>1536990</v>
      </c>
      <c r="E3971">
        <v>106445</v>
      </c>
      <c r="F3971">
        <v>54846</v>
      </c>
    </row>
    <row r="3972" spans="1:6">
      <c r="A3972" t="s">
        <v>5016</v>
      </c>
      <c r="B3972">
        <v>442</v>
      </c>
      <c r="C3972" t="s">
        <v>1043</v>
      </c>
      <c r="D3972">
        <v>4610970</v>
      </c>
      <c r="E3972">
        <v>106445</v>
      </c>
      <c r="F3972">
        <v>54846</v>
      </c>
    </row>
    <row r="3973" spans="1:6">
      <c r="A3973" t="s">
        <v>5017</v>
      </c>
      <c r="B3973">
        <v>442</v>
      </c>
      <c r="C3973" t="s">
        <v>1045</v>
      </c>
      <c r="D3973">
        <v>2766582</v>
      </c>
      <c r="E3973">
        <v>106445</v>
      </c>
      <c r="F3973">
        <v>54846</v>
      </c>
    </row>
    <row r="3974" spans="1:6">
      <c r="A3974" t="s">
        <v>5018</v>
      </c>
      <c r="B3974">
        <v>442</v>
      </c>
      <c r="C3974" t="s">
        <v>1047</v>
      </c>
      <c r="D3974">
        <v>768495</v>
      </c>
      <c r="E3974">
        <v>106445</v>
      </c>
      <c r="F3974">
        <v>54846</v>
      </c>
    </row>
    <row r="3975" spans="1:6">
      <c r="A3975" t="s">
        <v>5019</v>
      </c>
      <c r="B3975">
        <v>442</v>
      </c>
      <c r="C3975" t="s">
        <v>1049</v>
      </c>
      <c r="D3975">
        <v>230549</v>
      </c>
      <c r="E3975">
        <v>106445</v>
      </c>
      <c r="F3975">
        <v>54846</v>
      </c>
    </row>
    <row r="3976" spans="1:6">
      <c r="A3976" t="s">
        <v>5020</v>
      </c>
      <c r="B3976">
        <v>442</v>
      </c>
      <c r="C3976" t="s">
        <v>745</v>
      </c>
      <c r="D3976">
        <v>6147960</v>
      </c>
      <c r="E3976">
        <v>106445</v>
      </c>
      <c r="F3976">
        <v>54846</v>
      </c>
    </row>
    <row r="3977" spans="1:6">
      <c r="A3977" t="s">
        <v>5021</v>
      </c>
      <c r="B3977">
        <v>442</v>
      </c>
      <c r="C3977" t="s">
        <v>1052</v>
      </c>
      <c r="D3977">
        <v>13832910</v>
      </c>
      <c r="E3977">
        <v>106445</v>
      </c>
      <c r="F3977">
        <v>54846</v>
      </c>
    </row>
    <row r="3978" spans="1:6">
      <c r="A3978" t="s">
        <v>5022</v>
      </c>
      <c r="B3978">
        <v>442</v>
      </c>
      <c r="C3978" t="s">
        <v>164</v>
      </c>
      <c r="D3978">
        <v>163214382</v>
      </c>
      <c r="E3978">
        <v>113024</v>
      </c>
      <c r="F3978">
        <v>54846</v>
      </c>
    </row>
    <row r="3979" spans="1:6">
      <c r="A3979" t="s">
        <v>5023</v>
      </c>
      <c r="B3979">
        <v>442</v>
      </c>
      <c r="C3979" t="s">
        <v>651</v>
      </c>
      <c r="D3979">
        <v>81607191</v>
      </c>
      <c r="E3979">
        <v>113024</v>
      </c>
      <c r="F3979">
        <v>54846</v>
      </c>
    </row>
    <row r="3980" spans="1:6">
      <c r="A3980" t="s">
        <v>5024</v>
      </c>
      <c r="B3980">
        <v>443</v>
      </c>
      <c r="C3980" t="s">
        <v>154</v>
      </c>
      <c r="D3980">
        <v>1548191</v>
      </c>
      <c r="E3980">
        <v>107079</v>
      </c>
      <c r="F3980">
        <v>55020</v>
      </c>
    </row>
    <row r="3981" spans="1:6">
      <c r="A3981" t="s">
        <v>5025</v>
      </c>
      <c r="B3981">
        <v>443</v>
      </c>
      <c r="C3981" t="s">
        <v>1043</v>
      </c>
      <c r="D3981">
        <v>4644573</v>
      </c>
      <c r="E3981">
        <v>107079</v>
      </c>
      <c r="F3981">
        <v>55020</v>
      </c>
    </row>
    <row r="3982" spans="1:6">
      <c r="A3982" t="s">
        <v>5026</v>
      </c>
      <c r="B3982">
        <v>443</v>
      </c>
      <c r="C3982" t="s">
        <v>1045</v>
      </c>
      <c r="D3982">
        <v>2786744</v>
      </c>
      <c r="E3982">
        <v>107079</v>
      </c>
      <c r="F3982">
        <v>55020</v>
      </c>
    </row>
    <row r="3983" spans="1:6">
      <c r="A3983" t="s">
        <v>5027</v>
      </c>
      <c r="B3983">
        <v>443</v>
      </c>
      <c r="C3983" t="s">
        <v>1047</v>
      </c>
      <c r="D3983">
        <v>774096</v>
      </c>
      <c r="E3983">
        <v>107079</v>
      </c>
      <c r="F3983">
        <v>55020</v>
      </c>
    </row>
    <row r="3984" spans="1:6">
      <c r="A3984" t="s">
        <v>5028</v>
      </c>
      <c r="B3984">
        <v>443</v>
      </c>
      <c r="C3984" t="s">
        <v>1049</v>
      </c>
      <c r="D3984">
        <v>232229</v>
      </c>
      <c r="E3984">
        <v>107079</v>
      </c>
      <c r="F3984">
        <v>55020</v>
      </c>
    </row>
    <row r="3985" spans="1:6">
      <c r="A3985" t="s">
        <v>5029</v>
      </c>
      <c r="B3985">
        <v>443</v>
      </c>
      <c r="C3985" t="s">
        <v>745</v>
      </c>
      <c r="D3985">
        <v>6192764</v>
      </c>
      <c r="E3985">
        <v>107079</v>
      </c>
      <c r="F3985">
        <v>55020</v>
      </c>
    </row>
    <row r="3986" spans="1:6">
      <c r="A3986" t="s">
        <v>5030</v>
      </c>
      <c r="B3986">
        <v>443</v>
      </c>
      <c r="C3986" t="s">
        <v>1052</v>
      </c>
      <c r="D3986">
        <v>13933719</v>
      </c>
      <c r="E3986">
        <v>107079</v>
      </c>
      <c r="F3986">
        <v>55020</v>
      </c>
    </row>
    <row r="3987" spans="1:6">
      <c r="A3987" t="s">
        <v>5031</v>
      </c>
      <c r="B3987">
        <v>443</v>
      </c>
      <c r="C3987" t="s">
        <v>164</v>
      </c>
      <c r="D3987">
        <v>164500041</v>
      </c>
      <c r="E3987">
        <v>113679</v>
      </c>
      <c r="F3987">
        <v>55020</v>
      </c>
    </row>
    <row r="3988" spans="1:6">
      <c r="A3988" t="s">
        <v>5032</v>
      </c>
      <c r="B3988">
        <v>443</v>
      </c>
      <c r="C3988" t="s">
        <v>651</v>
      </c>
      <c r="D3988">
        <v>82250021</v>
      </c>
      <c r="E3988">
        <v>113679</v>
      </c>
      <c r="F3988">
        <v>55020</v>
      </c>
    </row>
    <row r="3989" spans="1:6">
      <c r="A3989" t="s">
        <v>5033</v>
      </c>
      <c r="B3989">
        <v>444</v>
      </c>
      <c r="C3989" t="s">
        <v>154</v>
      </c>
      <c r="D3989">
        <v>1559458</v>
      </c>
      <c r="E3989">
        <v>107716</v>
      </c>
      <c r="F3989">
        <v>55195</v>
      </c>
    </row>
    <row r="3990" spans="1:6">
      <c r="A3990" t="s">
        <v>5034</v>
      </c>
      <c r="B3990">
        <v>444</v>
      </c>
      <c r="C3990" t="s">
        <v>1043</v>
      </c>
      <c r="D3990">
        <v>4678374</v>
      </c>
      <c r="E3990">
        <v>107716</v>
      </c>
      <c r="F3990">
        <v>55195</v>
      </c>
    </row>
    <row r="3991" spans="1:6">
      <c r="A3991" t="s">
        <v>5035</v>
      </c>
      <c r="B3991">
        <v>444</v>
      </c>
      <c r="C3991" t="s">
        <v>1045</v>
      </c>
      <c r="D3991">
        <v>2807025</v>
      </c>
      <c r="E3991">
        <v>107716</v>
      </c>
      <c r="F3991">
        <v>55195</v>
      </c>
    </row>
    <row r="3992" spans="1:6">
      <c r="A3992" t="s">
        <v>5036</v>
      </c>
      <c r="B3992">
        <v>444</v>
      </c>
      <c r="C3992" t="s">
        <v>1047</v>
      </c>
      <c r="D3992">
        <v>779729</v>
      </c>
      <c r="E3992">
        <v>107716</v>
      </c>
      <c r="F3992">
        <v>55195</v>
      </c>
    </row>
    <row r="3993" spans="1:6">
      <c r="A3993" t="s">
        <v>5037</v>
      </c>
      <c r="B3993">
        <v>444</v>
      </c>
      <c r="C3993" t="s">
        <v>1049</v>
      </c>
      <c r="D3993">
        <v>233919</v>
      </c>
      <c r="E3993">
        <v>107716</v>
      </c>
      <c r="F3993">
        <v>55195</v>
      </c>
    </row>
    <row r="3994" spans="1:6">
      <c r="A3994" t="s">
        <v>5038</v>
      </c>
      <c r="B3994">
        <v>444</v>
      </c>
      <c r="C3994" t="s">
        <v>745</v>
      </c>
      <c r="D3994">
        <v>6237832</v>
      </c>
      <c r="E3994">
        <v>107716</v>
      </c>
      <c r="F3994">
        <v>55195</v>
      </c>
    </row>
    <row r="3995" spans="1:6">
      <c r="A3995" t="s">
        <v>5039</v>
      </c>
      <c r="B3995">
        <v>444</v>
      </c>
      <c r="C3995" t="s">
        <v>1052</v>
      </c>
      <c r="D3995">
        <v>14035122</v>
      </c>
      <c r="E3995">
        <v>107716</v>
      </c>
      <c r="F3995">
        <v>55195</v>
      </c>
    </row>
    <row r="3996" spans="1:6">
      <c r="A3996" t="s">
        <v>5040</v>
      </c>
      <c r="B3996">
        <v>444</v>
      </c>
      <c r="C3996" t="s">
        <v>164</v>
      </c>
      <c r="D3996">
        <v>165793962</v>
      </c>
      <c r="E3996">
        <v>114336</v>
      </c>
      <c r="F3996">
        <v>55195</v>
      </c>
    </row>
    <row r="3997" spans="1:6">
      <c r="A3997" t="s">
        <v>5041</v>
      </c>
      <c r="B3997">
        <v>444</v>
      </c>
      <c r="C3997" t="s">
        <v>651</v>
      </c>
      <c r="D3997">
        <v>82896981</v>
      </c>
      <c r="E3997">
        <v>114336</v>
      </c>
      <c r="F3997">
        <v>55195</v>
      </c>
    </row>
    <row r="3998" spans="1:6">
      <c r="A3998" t="s">
        <v>5042</v>
      </c>
      <c r="B3998">
        <v>445</v>
      </c>
      <c r="C3998" t="s">
        <v>154</v>
      </c>
      <c r="D3998">
        <v>1570790</v>
      </c>
      <c r="E3998">
        <v>108356</v>
      </c>
      <c r="F3998">
        <v>55370</v>
      </c>
    </row>
    <row r="3999" spans="1:6">
      <c r="A3999" t="s">
        <v>5043</v>
      </c>
      <c r="B3999">
        <v>445</v>
      </c>
      <c r="C3999" t="s">
        <v>1043</v>
      </c>
      <c r="D3999">
        <v>4712370</v>
      </c>
      <c r="E3999">
        <v>108356</v>
      </c>
      <c r="F3999">
        <v>55370</v>
      </c>
    </row>
    <row r="4000" spans="1:6">
      <c r="A4000" t="s">
        <v>5044</v>
      </c>
      <c r="B4000">
        <v>445</v>
      </c>
      <c r="C4000" t="s">
        <v>1045</v>
      </c>
      <c r="D4000">
        <v>2827422</v>
      </c>
      <c r="E4000">
        <v>108356</v>
      </c>
      <c r="F4000">
        <v>55370</v>
      </c>
    </row>
    <row r="4001" spans="1:6">
      <c r="A4001" t="s">
        <v>5045</v>
      </c>
      <c r="B4001">
        <v>445</v>
      </c>
      <c r="C4001" t="s">
        <v>1047</v>
      </c>
      <c r="D4001">
        <v>785395</v>
      </c>
      <c r="E4001">
        <v>108356</v>
      </c>
      <c r="F4001">
        <v>55370</v>
      </c>
    </row>
    <row r="4002" spans="1:6">
      <c r="A4002" t="s">
        <v>5046</v>
      </c>
      <c r="B4002">
        <v>445</v>
      </c>
      <c r="C4002" t="s">
        <v>1049</v>
      </c>
      <c r="D4002">
        <v>235619</v>
      </c>
      <c r="E4002">
        <v>108356</v>
      </c>
      <c r="F4002">
        <v>55370</v>
      </c>
    </row>
    <row r="4003" spans="1:6">
      <c r="A4003" t="s">
        <v>5047</v>
      </c>
      <c r="B4003">
        <v>445</v>
      </c>
      <c r="C4003" t="s">
        <v>745</v>
      </c>
      <c r="D4003">
        <v>6283160</v>
      </c>
      <c r="E4003">
        <v>108356</v>
      </c>
      <c r="F4003">
        <v>55370</v>
      </c>
    </row>
    <row r="4004" spans="1:6">
      <c r="A4004" t="s">
        <v>5048</v>
      </c>
      <c r="B4004">
        <v>445</v>
      </c>
      <c r="C4004" t="s">
        <v>1052</v>
      </c>
      <c r="D4004">
        <v>14137110</v>
      </c>
      <c r="E4004">
        <v>108356</v>
      </c>
      <c r="F4004">
        <v>55370</v>
      </c>
    </row>
    <row r="4005" spans="1:6">
      <c r="A4005" t="s">
        <v>5049</v>
      </c>
      <c r="B4005">
        <v>445</v>
      </c>
      <c r="C4005" t="s">
        <v>164</v>
      </c>
      <c r="D4005">
        <v>167096247</v>
      </c>
      <c r="E4005">
        <v>114997</v>
      </c>
      <c r="F4005">
        <v>55370</v>
      </c>
    </row>
    <row r="4006" spans="1:6">
      <c r="A4006" t="s">
        <v>5050</v>
      </c>
      <c r="B4006">
        <v>445</v>
      </c>
      <c r="C4006" t="s">
        <v>651</v>
      </c>
      <c r="D4006">
        <v>83548124</v>
      </c>
      <c r="E4006">
        <v>114997</v>
      </c>
      <c r="F4006">
        <v>55370</v>
      </c>
    </row>
    <row r="4007" spans="1:6">
      <c r="A4007" t="s">
        <v>5051</v>
      </c>
      <c r="B4007">
        <v>446</v>
      </c>
      <c r="C4007" t="s">
        <v>154</v>
      </c>
      <c r="D4007">
        <v>1582189</v>
      </c>
      <c r="E4007">
        <v>109000</v>
      </c>
      <c r="F4007">
        <v>55545</v>
      </c>
    </row>
    <row r="4008" spans="1:6">
      <c r="A4008" t="s">
        <v>5052</v>
      </c>
      <c r="B4008">
        <v>446</v>
      </c>
      <c r="C4008" t="s">
        <v>1043</v>
      </c>
      <c r="D4008">
        <v>4746567</v>
      </c>
      <c r="E4008">
        <v>109000</v>
      </c>
      <c r="F4008">
        <v>55545</v>
      </c>
    </row>
    <row r="4009" spans="1:6">
      <c r="A4009" t="s">
        <v>5053</v>
      </c>
      <c r="B4009">
        <v>446</v>
      </c>
      <c r="C4009" t="s">
        <v>1045</v>
      </c>
      <c r="D4009">
        <v>2847941</v>
      </c>
      <c r="E4009">
        <v>109000</v>
      </c>
      <c r="F4009">
        <v>55545</v>
      </c>
    </row>
    <row r="4010" spans="1:6">
      <c r="A4010" t="s">
        <v>5054</v>
      </c>
      <c r="B4010">
        <v>446</v>
      </c>
      <c r="C4010" t="s">
        <v>1047</v>
      </c>
      <c r="D4010">
        <v>791095</v>
      </c>
      <c r="E4010">
        <v>109000</v>
      </c>
      <c r="F4010">
        <v>55545</v>
      </c>
    </row>
    <row r="4011" spans="1:6">
      <c r="A4011" t="s">
        <v>5055</v>
      </c>
      <c r="B4011">
        <v>446</v>
      </c>
      <c r="C4011" t="s">
        <v>1049</v>
      </c>
      <c r="D4011">
        <v>237329</v>
      </c>
      <c r="E4011">
        <v>109000</v>
      </c>
      <c r="F4011">
        <v>55545</v>
      </c>
    </row>
    <row r="4012" spans="1:6">
      <c r="A4012" t="s">
        <v>5056</v>
      </c>
      <c r="B4012">
        <v>446</v>
      </c>
      <c r="C4012" t="s">
        <v>745</v>
      </c>
      <c r="D4012">
        <v>6328756</v>
      </c>
      <c r="E4012">
        <v>109000</v>
      </c>
      <c r="F4012">
        <v>55545</v>
      </c>
    </row>
    <row r="4013" spans="1:6">
      <c r="A4013" t="s">
        <v>5057</v>
      </c>
      <c r="B4013">
        <v>446</v>
      </c>
      <c r="C4013" t="s">
        <v>1052</v>
      </c>
      <c r="D4013">
        <v>14239701</v>
      </c>
      <c r="E4013">
        <v>109000</v>
      </c>
      <c r="F4013">
        <v>55545</v>
      </c>
    </row>
    <row r="4014" spans="1:6">
      <c r="A4014" t="s">
        <v>5058</v>
      </c>
      <c r="B4014">
        <v>446</v>
      </c>
      <c r="C4014" t="s">
        <v>164</v>
      </c>
      <c r="D4014">
        <v>168406998</v>
      </c>
      <c r="E4014">
        <v>115662</v>
      </c>
      <c r="F4014">
        <v>55545</v>
      </c>
    </row>
    <row r="4015" spans="1:6">
      <c r="A4015" t="s">
        <v>5059</v>
      </c>
      <c r="B4015">
        <v>446</v>
      </c>
      <c r="C4015" t="s">
        <v>651</v>
      </c>
      <c r="D4015">
        <v>84203499</v>
      </c>
      <c r="E4015">
        <v>115662</v>
      </c>
      <c r="F4015">
        <v>55545</v>
      </c>
    </row>
    <row r="4016" spans="1:6">
      <c r="A4016" t="s">
        <v>5060</v>
      </c>
      <c r="B4016">
        <v>447</v>
      </c>
      <c r="C4016" t="s">
        <v>154</v>
      </c>
      <c r="D4016">
        <v>1593654</v>
      </c>
      <c r="E4016">
        <v>109647</v>
      </c>
      <c r="F4016">
        <v>55720</v>
      </c>
    </row>
    <row r="4017" spans="1:6">
      <c r="A4017" t="s">
        <v>5061</v>
      </c>
      <c r="B4017">
        <v>447</v>
      </c>
      <c r="C4017" t="s">
        <v>1043</v>
      </c>
      <c r="D4017">
        <v>4780962</v>
      </c>
      <c r="E4017">
        <v>109647</v>
      </c>
      <c r="F4017">
        <v>55720</v>
      </c>
    </row>
    <row r="4018" spans="1:6">
      <c r="A4018" t="s">
        <v>5062</v>
      </c>
      <c r="B4018">
        <v>447</v>
      </c>
      <c r="C4018" t="s">
        <v>1045</v>
      </c>
      <c r="D4018">
        <v>2868578</v>
      </c>
      <c r="E4018">
        <v>109647</v>
      </c>
      <c r="F4018">
        <v>55720</v>
      </c>
    </row>
    <row r="4019" spans="1:6">
      <c r="A4019" t="s">
        <v>5063</v>
      </c>
      <c r="B4019">
        <v>447</v>
      </c>
      <c r="C4019" t="s">
        <v>1047</v>
      </c>
      <c r="D4019">
        <v>796827</v>
      </c>
      <c r="E4019">
        <v>109647</v>
      </c>
      <c r="F4019">
        <v>55720</v>
      </c>
    </row>
    <row r="4020" spans="1:6">
      <c r="A4020" t="s">
        <v>5064</v>
      </c>
      <c r="B4020">
        <v>447</v>
      </c>
      <c r="C4020" t="s">
        <v>1049</v>
      </c>
      <c r="D4020">
        <v>239049</v>
      </c>
      <c r="E4020">
        <v>109647</v>
      </c>
      <c r="F4020">
        <v>55720</v>
      </c>
    </row>
    <row r="4021" spans="1:6">
      <c r="A4021" t="s">
        <v>5065</v>
      </c>
      <c r="B4021">
        <v>447</v>
      </c>
      <c r="C4021" t="s">
        <v>745</v>
      </c>
      <c r="D4021">
        <v>6374616</v>
      </c>
      <c r="E4021">
        <v>109647</v>
      </c>
      <c r="F4021">
        <v>55720</v>
      </c>
    </row>
    <row r="4022" spans="1:6">
      <c r="A4022" t="s">
        <v>5066</v>
      </c>
      <c r="B4022">
        <v>447</v>
      </c>
      <c r="C4022" t="s">
        <v>1052</v>
      </c>
      <c r="D4022">
        <v>14342886</v>
      </c>
      <c r="E4022">
        <v>109647</v>
      </c>
      <c r="F4022">
        <v>55720</v>
      </c>
    </row>
    <row r="4023" spans="1:6">
      <c r="A4023" t="s">
        <v>5067</v>
      </c>
      <c r="B4023">
        <v>447</v>
      </c>
      <c r="C4023" t="s">
        <v>164</v>
      </c>
      <c r="D4023">
        <v>169726164</v>
      </c>
      <c r="E4023">
        <v>116329</v>
      </c>
      <c r="F4023">
        <v>55720</v>
      </c>
    </row>
    <row r="4024" spans="1:6">
      <c r="A4024" t="s">
        <v>5068</v>
      </c>
      <c r="B4024">
        <v>447</v>
      </c>
      <c r="C4024" t="s">
        <v>651</v>
      </c>
      <c r="D4024">
        <v>84863082</v>
      </c>
      <c r="E4024">
        <v>116329</v>
      </c>
      <c r="F4024">
        <v>55720</v>
      </c>
    </row>
    <row r="4025" spans="1:6">
      <c r="A4025" t="s">
        <v>5069</v>
      </c>
      <c r="B4025">
        <v>448</v>
      </c>
      <c r="C4025" t="s">
        <v>154</v>
      </c>
      <c r="D4025">
        <v>1605185</v>
      </c>
      <c r="E4025">
        <v>110297</v>
      </c>
      <c r="F4025">
        <v>55896</v>
      </c>
    </row>
    <row r="4026" spans="1:6">
      <c r="A4026" t="s">
        <v>5070</v>
      </c>
      <c r="B4026">
        <v>448</v>
      </c>
      <c r="C4026" t="s">
        <v>1043</v>
      </c>
      <c r="D4026">
        <v>4815555</v>
      </c>
      <c r="E4026">
        <v>110297</v>
      </c>
      <c r="F4026">
        <v>55896</v>
      </c>
    </row>
    <row r="4027" spans="1:6">
      <c r="A4027" t="s">
        <v>5071</v>
      </c>
      <c r="B4027">
        <v>448</v>
      </c>
      <c r="C4027" t="s">
        <v>1045</v>
      </c>
      <c r="D4027">
        <v>2889333</v>
      </c>
      <c r="E4027">
        <v>110297</v>
      </c>
      <c r="F4027">
        <v>55896</v>
      </c>
    </row>
    <row r="4028" spans="1:6">
      <c r="A4028" t="s">
        <v>5072</v>
      </c>
      <c r="B4028">
        <v>448</v>
      </c>
      <c r="C4028" t="s">
        <v>1047</v>
      </c>
      <c r="D4028">
        <v>802593</v>
      </c>
      <c r="E4028">
        <v>110297</v>
      </c>
      <c r="F4028">
        <v>55896</v>
      </c>
    </row>
    <row r="4029" spans="1:6">
      <c r="A4029" t="s">
        <v>5073</v>
      </c>
      <c r="B4029">
        <v>448</v>
      </c>
      <c r="C4029" t="s">
        <v>1049</v>
      </c>
      <c r="D4029">
        <v>240778</v>
      </c>
      <c r="E4029">
        <v>110297</v>
      </c>
      <c r="F4029">
        <v>55896</v>
      </c>
    </row>
    <row r="4030" spans="1:6">
      <c r="A4030" t="s">
        <v>5074</v>
      </c>
      <c r="B4030">
        <v>448</v>
      </c>
      <c r="C4030" t="s">
        <v>745</v>
      </c>
      <c r="D4030">
        <v>6420740</v>
      </c>
      <c r="E4030">
        <v>110297</v>
      </c>
      <c r="F4030">
        <v>55896</v>
      </c>
    </row>
    <row r="4031" spans="1:6">
      <c r="A4031" t="s">
        <v>5075</v>
      </c>
      <c r="B4031">
        <v>448</v>
      </c>
      <c r="C4031" t="s">
        <v>1052</v>
      </c>
      <c r="D4031">
        <v>14446665</v>
      </c>
      <c r="E4031">
        <v>110297</v>
      </c>
      <c r="F4031">
        <v>55896</v>
      </c>
    </row>
    <row r="4032" spans="1:6">
      <c r="A4032" t="s">
        <v>5076</v>
      </c>
      <c r="B4032">
        <v>448</v>
      </c>
      <c r="C4032" t="s">
        <v>164</v>
      </c>
      <c r="D4032">
        <v>171053898</v>
      </c>
      <c r="E4032">
        <v>117000</v>
      </c>
      <c r="F4032">
        <v>55896</v>
      </c>
    </row>
    <row r="4033" spans="1:6">
      <c r="A4033" t="s">
        <v>5077</v>
      </c>
      <c r="B4033">
        <v>448</v>
      </c>
      <c r="C4033" t="s">
        <v>651</v>
      </c>
      <c r="D4033">
        <v>85526949</v>
      </c>
      <c r="E4033">
        <v>117000</v>
      </c>
      <c r="F4033">
        <v>55896</v>
      </c>
    </row>
    <row r="4034" spans="1:6">
      <c r="A4034" t="s">
        <v>5078</v>
      </c>
      <c r="B4034">
        <v>449</v>
      </c>
      <c r="C4034" t="s">
        <v>154</v>
      </c>
      <c r="D4034">
        <v>1616784</v>
      </c>
      <c r="E4034">
        <v>110951</v>
      </c>
      <c r="F4034">
        <v>56072</v>
      </c>
    </row>
    <row r="4035" spans="1:6">
      <c r="A4035" t="s">
        <v>5079</v>
      </c>
      <c r="B4035">
        <v>449</v>
      </c>
      <c r="C4035" t="s">
        <v>1043</v>
      </c>
      <c r="D4035">
        <v>4850352</v>
      </c>
      <c r="E4035">
        <v>110951</v>
      </c>
      <c r="F4035">
        <v>56072</v>
      </c>
    </row>
    <row r="4036" spans="1:6">
      <c r="A4036" t="s">
        <v>5080</v>
      </c>
      <c r="B4036">
        <v>449</v>
      </c>
      <c r="C4036" t="s">
        <v>1045</v>
      </c>
      <c r="D4036">
        <v>2910212</v>
      </c>
      <c r="E4036">
        <v>110951</v>
      </c>
      <c r="F4036">
        <v>56072</v>
      </c>
    </row>
    <row r="4037" spans="1:6">
      <c r="A4037" t="s">
        <v>5081</v>
      </c>
      <c r="B4037">
        <v>449</v>
      </c>
      <c r="C4037" t="s">
        <v>1047</v>
      </c>
      <c r="D4037">
        <v>808392</v>
      </c>
      <c r="E4037">
        <v>110951</v>
      </c>
      <c r="F4037">
        <v>56072</v>
      </c>
    </row>
    <row r="4038" spans="1:6">
      <c r="A4038" t="s">
        <v>5082</v>
      </c>
      <c r="B4038">
        <v>449</v>
      </c>
      <c r="C4038" t="s">
        <v>1049</v>
      </c>
      <c r="D4038">
        <v>242518</v>
      </c>
      <c r="E4038">
        <v>110951</v>
      </c>
      <c r="F4038">
        <v>56072</v>
      </c>
    </row>
    <row r="4039" spans="1:6">
      <c r="A4039" t="s">
        <v>5083</v>
      </c>
      <c r="B4039">
        <v>449</v>
      </c>
      <c r="C4039" t="s">
        <v>745</v>
      </c>
      <c r="D4039">
        <v>6467136</v>
      </c>
      <c r="E4039">
        <v>110951</v>
      </c>
      <c r="F4039">
        <v>56072</v>
      </c>
    </row>
    <row r="4040" spans="1:6">
      <c r="A4040" t="s">
        <v>5084</v>
      </c>
      <c r="B4040">
        <v>449</v>
      </c>
      <c r="C4040" t="s">
        <v>1052</v>
      </c>
      <c r="D4040">
        <v>14551056</v>
      </c>
      <c r="E4040">
        <v>110951</v>
      </c>
      <c r="F4040">
        <v>56072</v>
      </c>
    </row>
    <row r="4041" spans="1:6">
      <c r="A4041" t="s">
        <v>5085</v>
      </c>
      <c r="B4041">
        <v>449</v>
      </c>
      <c r="C4041" t="s">
        <v>164</v>
      </c>
      <c r="D4041">
        <v>172390149</v>
      </c>
      <c r="E4041">
        <v>117675</v>
      </c>
      <c r="F4041">
        <v>56072</v>
      </c>
    </row>
    <row r="4042" spans="1:6">
      <c r="A4042" t="s">
        <v>5086</v>
      </c>
      <c r="B4042">
        <v>449</v>
      </c>
      <c r="C4042" t="s">
        <v>651</v>
      </c>
      <c r="D4042">
        <v>86195075</v>
      </c>
      <c r="E4042">
        <v>117675</v>
      </c>
      <c r="F4042">
        <v>56072</v>
      </c>
    </row>
    <row r="4043" spans="1:6">
      <c r="A4043" t="s">
        <v>5087</v>
      </c>
      <c r="B4043">
        <v>450</v>
      </c>
      <c r="C4043" t="s">
        <v>154</v>
      </c>
      <c r="D4043">
        <v>1628449</v>
      </c>
      <c r="E4043">
        <v>111607</v>
      </c>
      <c r="F4043">
        <v>56248</v>
      </c>
    </row>
    <row r="4044" spans="1:6">
      <c r="A4044" t="s">
        <v>5088</v>
      </c>
      <c r="B4044">
        <v>450</v>
      </c>
      <c r="C4044" t="s">
        <v>1043</v>
      </c>
      <c r="D4044">
        <v>4885347</v>
      </c>
      <c r="E4044">
        <v>111607</v>
      </c>
      <c r="F4044">
        <v>56248</v>
      </c>
    </row>
    <row r="4045" spans="1:6">
      <c r="A4045" t="s">
        <v>5089</v>
      </c>
      <c r="B4045">
        <v>450</v>
      </c>
      <c r="C4045" t="s">
        <v>1045</v>
      </c>
      <c r="D4045">
        <v>2931209</v>
      </c>
      <c r="E4045">
        <v>111607</v>
      </c>
      <c r="F4045">
        <v>56248</v>
      </c>
    </row>
    <row r="4046" spans="1:6">
      <c r="A4046" t="s">
        <v>5090</v>
      </c>
      <c r="B4046">
        <v>450</v>
      </c>
      <c r="C4046" t="s">
        <v>1047</v>
      </c>
      <c r="D4046">
        <v>814225</v>
      </c>
      <c r="E4046">
        <v>111607</v>
      </c>
      <c r="F4046">
        <v>56248</v>
      </c>
    </row>
    <row r="4047" spans="1:6">
      <c r="A4047" t="s">
        <v>5091</v>
      </c>
      <c r="B4047">
        <v>450</v>
      </c>
      <c r="C4047" t="s">
        <v>1049</v>
      </c>
      <c r="D4047">
        <v>244268</v>
      </c>
      <c r="E4047">
        <v>111607</v>
      </c>
      <c r="F4047">
        <v>56248</v>
      </c>
    </row>
    <row r="4048" spans="1:6">
      <c r="A4048" t="s">
        <v>5092</v>
      </c>
      <c r="B4048">
        <v>450</v>
      </c>
      <c r="C4048" t="s">
        <v>745</v>
      </c>
      <c r="D4048">
        <v>6513796</v>
      </c>
      <c r="E4048">
        <v>111607</v>
      </c>
      <c r="F4048">
        <v>56248</v>
      </c>
    </row>
    <row r="4049" spans="1:6">
      <c r="A4049" t="s">
        <v>5093</v>
      </c>
      <c r="B4049">
        <v>450</v>
      </c>
      <c r="C4049" t="s">
        <v>1052</v>
      </c>
      <c r="D4049">
        <v>14656041</v>
      </c>
      <c r="E4049">
        <v>111607</v>
      </c>
      <c r="F4049">
        <v>56248</v>
      </c>
    </row>
    <row r="4050" spans="1:6">
      <c r="A4050" t="s">
        <v>5094</v>
      </c>
      <c r="B4050">
        <v>450</v>
      </c>
      <c r="C4050" t="s">
        <v>164</v>
      </c>
      <c r="D4050">
        <v>173734968</v>
      </c>
      <c r="E4050">
        <v>118352</v>
      </c>
      <c r="F4050">
        <v>56248</v>
      </c>
    </row>
    <row r="4051" spans="1:6">
      <c r="A4051" t="s">
        <v>5095</v>
      </c>
      <c r="B4051">
        <v>450</v>
      </c>
      <c r="C4051" t="s">
        <v>651</v>
      </c>
      <c r="D4051">
        <v>86867484</v>
      </c>
      <c r="E4051">
        <v>118352</v>
      </c>
      <c r="F4051">
        <v>56248</v>
      </c>
    </row>
    <row r="4052" spans="1:6">
      <c r="A4052" t="s">
        <v>5096</v>
      </c>
      <c r="B4052">
        <v>451</v>
      </c>
      <c r="C4052" t="s">
        <v>154</v>
      </c>
      <c r="D4052">
        <v>1640183</v>
      </c>
      <c r="E4052">
        <v>112267</v>
      </c>
      <c r="F4052">
        <v>56424</v>
      </c>
    </row>
    <row r="4053" spans="1:6">
      <c r="A4053" t="s">
        <v>5097</v>
      </c>
      <c r="B4053">
        <v>451</v>
      </c>
      <c r="C4053" t="s">
        <v>1043</v>
      </c>
      <c r="D4053">
        <v>4920549</v>
      </c>
      <c r="E4053">
        <v>112267</v>
      </c>
      <c r="F4053">
        <v>56424</v>
      </c>
    </row>
    <row r="4054" spans="1:6">
      <c r="A4054" t="s">
        <v>5098</v>
      </c>
      <c r="B4054">
        <v>451</v>
      </c>
      <c r="C4054" t="s">
        <v>1045</v>
      </c>
      <c r="D4054">
        <v>2952330</v>
      </c>
      <c r="E4054">
        <v>112267</v>
      </c>
      <c r="F4054">
        <v>56424</v>
      </c>
    </row>
    <row r="4055" spans="1:6">
      <c r="A4055" t="s">
        <v>5099</v>
      </c>
      <c r="B4055">
        <v>451</v>
      </c>
      <c r="C4055" t="s">
        <v>1047</v>
      </c>
      <c r="D4055">
        <v>820092</v>
      </c>
      <c r="E4055">
        <v>112267</v>
      </c>
      <c r="F4055">
        <v>56424</v>
      </c>
    </row>
    <row r="4056" spans="1:6">
      <c r="A4056" t="s">
        <v>5100</v>
      </c>
      <c r="B4056">
        <v>451</v>
      </c>
      <c r="C4056" t="s">
        <v>1049</v>
      </c>
      <c r="D4056">
        <v>246028</v>
      </c>
      <c r="E4056">
        <v>112267</v>
      </c>
      <c r="F4056">
        <v>56424</v>
      </c>
    </row>
    <row r="4057" spans="1:6">
      <c r="A4057" t="s">
        <v>5101</v>
      </c>
      <c r="B4057">
        <v>451</v>
      </c>
      <c r="C4057" t="s">
        <v>745</v>
      </c>
      <c r="D4057">
        <v>6560732</v>
      </c>
      <c r="E4057">
        <v>112267</v>
      </c>
      <c r="F4057">
        <v>56424</v>
      </c>
    </row>
    <row r="4058" spans="1:6">
      <c r="A4058" t="s">
        <v>5102</v>
      </c>
      <c r="B4058">
        <v>451</v>
      </c>
      <c r="C4058" t="s">
        <v>1052</v>
      </c>
      <c r="D4058">
        <v>14761647</v>
      </c>
      <c r="E4058">
        <v>112267</v>
      </c>
      <c r="F4058">
        <v>56424</v>
      </c>
    </row>
    <row r="4059" spans="1:6">
      <c r="A4059" t="s">
        <v>5103</v>
      </c>
      <c r="B4059">
        <v>451</v>
      </c>
      <c r="C4059" t="s">
        <v>164</v>
      </c>
      <c r="D4059">
        <v>175088457</v>
      </c>
      <c r="E4059">
        <v>119033</v>
      </c>
      <c r="F4059">
        <v>56424</v>
      </c>
    </row>
    <row r="4060" spans="1:6">
      <c r="A4060" t="s">
        <v>5104</v>
      </c>
      <c r="B4060">
        <v>451</v>
      </c>
      <c r="C4060" t="s">
        <v>651</v>
      </c>
      <c r="D4060">
        <v>87544229</v>
      </c>
      <c r="E4060">
        <v>119033</v>
      </c>
      <c r="F4060">
        <v>56424</v>
      </c>
    </row>
    <row r="4061" spans="1:6">
      <c r="A4061" t="s">
        <v>5105</v>
      </c>
      <c r="B4061">
        <v>452</v>
      </c>
      <c r="C4061" t="s">
        <v>154</v>
      </c>
      <c r="D4061">
        <v>1651984</v>
      </c>
      <c r="E4061">
        <v>112930</v>
      </c>
      <c r="F4061">
        <v>56601</v>
      </c>
    </row>
    <row r="4062" spans="1:6">
      <c r="A4062" t="s">
        <v>5106</v>
      </c>
      <c r="B4062">
        <v>452</v>
      </c>
      <c r="C4062" t="s">
        <v>1043</v>
      </c>
      <c r="D4062">
        <v>4955952</v>
      </c>
      <c r="E4062">
        <v>112930</v>
      </c>
      <c r="F4062">
        <v>56601</v>
      </c>
    </row>
    <row r="4063" spans="1:6">
      <c r="A4063" t="s">
        <v>5107</v>
      </c>
      <c r="B4063">
        <v>452</v>
      </c>
      <c r="C4063" t="s">
        <v>1045</v>
      </c>
      <c r="D4063">
        <v>2973572</v>
      </c>
      <c r="E4063">
        <v>112930</v>
      </c>
      <c r="F4063">
        <v>56601</v>
      </c>
    </row>
    <row r="4064" spans="1:6">
      <c r="A4064" t="s">
        <v>5108</v>
      </c>
      <c r="B4064">
        <v>452</v>
      </c>
      <c r="C4064" t="s">
        <v>1047</v>
      </c>
      <c r="D4064">
        <v>825992</v>
      </c>
      <c r="E4064">
        <v>112930</v>
      </c>
      <c r="F4064">
        <v>56601</v>
      </c>
    </row>
    <row r="4065" spans="1:6">
      <c r="A4065" t="s">
        <v>5109</v>
      </c>
      <c r="B4065">
        <v>452</v>
      </c>
      <c r="C4065" t="s">
        <v>1049</v>
      </c>
      <c r="D4065">
        <v>247798</v>
      </c>
      <c r="E4065">
        <v>112930</v>
      </c>
      <c r="F4065">
        <v>56601</v>
      </c>
    </row>
    <row r="4066" spans="1:6">
      <c r="A4066" t="s">
        <v>5110</v>
      </c>
      <c r="B4066">
        <v>452</v>
      </c>
      <c r="C4066" t="s">
        <v>745</v>
      </c>
      <c r="D4066">
        <v>6607936</v>
      </c>
      <c r="E4066">
        <v>112930</v>
      </c>
      <c r="F4066">
        <v>56601</v>
      </c>
    </row>
    <row r="4067" spans="1:6">
      <c r="A4067" t="s">
        <v>5111</v>
      </c>
      <c r="B4067">
        <v>452</v>
      </c>
      <c r="C4067" t="s">
        <v>1052</v>
      </c>
      <c r="D4067">
        <v>14867856</v>
      </c>
      <c r="E4067">
        <v>112930</v>
      </c>
      <c r="F4067">
        <v>56601</v>
      </c>
    </row>
    <row r="4068" spans="1:6">
      <c r="A4068" t="s">
        <v>5112</v>
      </c>
      <c r="B4068">
        <v>452</v>
      </c>
      <c r="C4068" t="s">
        <v>164</v>
      </c>
      <c r="D4068">
        <v>176450616</v>
      </c>
      <c r="E4068">
        <v>119717</v>
      </c>
      <c r="F4068">
        <v>56601</v>
      </c>
    </row>
    <row r="4069" spans="1:6">
      <c r="A4069" t="s">
        <v>5113</v>
      </c>
      <c r="B4069">
        <v>452</v>
      </c>
      <c r="C4069" t="s">
        <v>651</v>
      </c>
      <c r="D4069">
        <v>88225308</v>
      </c>
      <c r="E4069">
        <v>119717</v>
      </c>
      <c r="F4069">
        <v>56601</v>
      </c>
    </row>
    <row r="4070" spans="1:6">
      <c r="A4070" t="s">
        <v>5114</v>
      </c>
      <c r="B4070">
        <v>453</v>
      </c>
      <c r="C4070" t="s">
        <v>154</v>
      </c>
      <c r="D4070">
        <v>1663853</v>
      </c>
      <c r="E4070">
        <v>113597</v>
      </c>
      <c r="F4070">
        <v>56777</v>
      </c>
    </row>
    <row r="4071" spans="1:6">
      <c r="A4071" t="s">
        <v>5115</v>
      </c>
      <c r="B4071">
        <v>453</v>
      </c>
      <c r="C4071" t="s">
        <v>1043</v>
      </c>
      <c r="D4071">
        <v>4991559</v>
      </c>
      <c r="E4071">
        <v>113597</v>
      </c>
      <c r="F4071">
        <v>56777</v>
      </c>
    </row>
    <row r="4072" spans="1:6">
      <c r="A4072" t="s">
        <v>5116</v>
      </c>
      <c r="B4072">
        <v>453</v>
      </c>
      <c r="C4072" t="s">
        <v>1045</v>
      </c>
      <c r="D4072">
        <v>2994936</v>
      </c>
      <c r="E4072">
        <v>113597</v>
      </c>
      <c r="F4072">
        <v>56777</v>
      </c>
    </row>
    <row r="4073" spans="1:6">
      <c r="A4073" t="s">
        <v>5117</v>
      </c>
      <c r="B4073">
        <v>453</v>
      </c>
      <c r="C4073" t="s">
        <v>1047</v>
      </c>
      <c r="D4073">
        <v>831927</v>
      </c>
      <c r="E4073">
        <v>113597</v>
      </c>
      <c r="F4073">
        <v>56777</v>
      </c>
    </row>
    <row r="4074" spans="1:6">
      <c r="A4074" t="s">
        <v>5118</v>
      </c>
      <c r="B4074">
        <v>453</v>
      </c>
      <c r="C4074" t="s">
        <v>1049</v>
      </c>
      <c r="D4074">
        <v>249578</v>
      </c>
      <c r="E4074">
        <v>113597</v>
      </c>
      <c r="F4074">
        <v>56777</v>
      </c>
    </row>
    <row r="4075" spans="1:6">
      <c r="A4075" t="s">
        <v>5119</v>
      </c>
      <c r="B4075">
        <v>453</v>
      </c>
      <c r="C4075" t="s">
        <v>745</v>
      </c>
      <c r="D4075">
        <v>6655412</v>
      </c>
      <c r="E4075">
        <v>113597</v>
      </c>
      <c r="F4075">
        <v>56777</v>
      </c>
    </row>
    <row r="4076" spans="1:6">
      <c r="A4076" t="s">
        <v>5120</v>
      </c>
      <c r="B4076">
        <v>453</v>
      </c>
      <c r="C4076" t="s">
        <v>1052</v>
      </c>
      <c r="D4076">
        <v>14974677</v>
      </c>
      <c r="E4076">
        <v>113597</v>
      </c>
      <c r="F4076">
        <v>56777</v>
      </c>
    </row>
    <row r="4077" spans="1:6">
      <c r="A4077" t="s">
        <v>5121</v>
      </c>
      <c r="B4077">
        <v>453</v>
      </c>
      <c r="C4077" t="s">
        <v>164</v>
      </c>
      <c r="D4077">
        <v>177821496</v>
      </c>
      <c r="E4077">
        <v>120405</v>
      </c>
      <c r="F4077">
        <v>56777</v>
      </c>
    </row>
    <row r="4078" spans="1:6">
      <c r="A4078" t="s">
        <v>5122</v>
      </c>
      <c r="B4078">
        <v>453</v>
      </c>
      <c r="C4078" t="s">
        <v>651</v>
      </c>
      <c r="D4078">
        <v>88910748</v>
      </c>
      <c r="E4078">
        <v>120405</v>
      </c>
      <c r="F4078">
        <v>56777</v>
      </c>
    </row>
    <row r="4079" spans="1:6">
      <c r="A4079" t="s">
        <v>5123</v>
      </c>
      <c r="B4079">
        <v>454</v>
      </c>
      <c r="C4079" t="s">
        <v>154</v>
      </c>
      <c r="D4079">
        <v>1675791</v>
      </c>
      <c r="E4079">
        <v>114267</v>
      </c>
      <c r="F4079">
        <v>56954</v>
      </c>
    </row>
    <row r="4080" spans="1:6">
      <c r="A4080" t="s">
        <v>5124</v>
      </c>
      <c r="B4080">
        <v>454</v>
      </c>
      <c r="C4080" t="s">
        <v>1043</v>
      </c>
      <c r="D4080">
        <v>5027373</v>
      </c>
      <c r="E4080">
        <v>114267</v>
      </c>
      <c r="F4080">
        <v>56954</v>
      </c>
    </row>
    <row r="4081" spans="1:6">
      <c r="A4081" t="s">
        <v>5125</v>
      </c>
      <c r="B4081">
        <v>454</v>
      </c>
      <c r="C4081" t="s">
        <v>1045</v>
      </c>
      <c r="D4081">
        <v>3016424</v>
      </c>
      <c r="E4081">
        <v>114267</v>
      </c>
      <c r="F4081">
        <v>56954</v>
      </c>
    </row>
    <row r="4082" spans="1:6">
      <c r="A4082" t="s">
        <v>5126</v>
      </c>
      <c r="B4082">
        <v>454</v>
      </c>
      <c r="C4082" t="s">
        <v>1047</v>
      </c>
      <c r="D4082">
        <v>837896</v>
      </c>
      <c r="E4082">
        <v>114267</v>
      </c>
      <c r="F4082">
        <v>56954</v>
      </c>
    </row>
    <row r="4083" spans="1:6">
      <c r="A4083" t="s">
        <v>5127</v>
      </c>
      <c r="B4083">
        <v>454</v>
      </c>
      <c r="C4083" t="s">
        <v>1049</v>
      </c>
      <c r="D4083">
        <v>251369</v>
      </c>
      <c r="E4083">
        <v>114267</v>
      </c>
      <c r="F4083">
        <v>56954</v>
      </c>
    </row>
    <row r="4084" spans="1:6">
      <c r="A4084" t="s">
        <v>5128</v>
      </c>
      <c r="B4084">
        <v>454</v>
      </c>
      <c r="C4084" t="s">
        <v>745</v>
      </c>
      <c r="D4084">
        <v>6703164</v>
      </c>
      <c r="E4084">
        <v>114267</v>
      </c>
      <c r="F4084">
        <v>56954</v>
      </c>
    </row>
    <row r="4085" spans="1:6">
      <c r="A4085" t="s">
        <v>5129</v>
      </c>
      <c r="B4085">
        <v>454</v>
      </c>
      <c r="C4085" t="s">
        <v>1052</v>
      </c>
      <c r="D4085">
        <v>15082119</v>
      </c>
      <c r="E4085">
        <v>114267</v>
      </c>
      <c r="F4085">
        <v>56954</v>
      </c>
    </row>
    <row r="4086" spans="1:6">
      <c r="A4086" t="s">
        <v>5130</v>
      </c>
      <c r="B4086">
        <v>454</v>
      </c>
      <c r="C4086" t="s">
        <v>164</v>
      </c>
      <c r="D4086">
        <v>179201199</v>
      </c>
      <c r="E4086">
        <v>121096</v>
      </c>
      <c r="F4086">
        <v>56954</v>
      </c>
    </row>
    <row r="4087" spans="1:6">
      <c r="A4087" t="s">
        <v>5131</v>
      </c>
      <c r="B4087">
        <v>454</v>
      </c>
      <c r="C4087" t="s">
        <v>651</v>
      </c>
      <c r="D4087">
        <v>89600600</v>
      </c>
      <c r="E4087">
        <v>121096</v>
      </c>
      <c r="F4087">
        <v>56954</v>
      </c>
    </row>
    <row r="4088" spans="1:6">
      <c r="A4088" t="s">
        <v>5132</v>
      </c>
      <c r="B4088">
        <v>455</v>
      </c>
      <c r="C4088" t="s">
        <v>154</v>
      </c>
      <c r="D4088">
        <v>1687798</v>
      </c>
      <c r="E4088">
        <v>114940</v>
      </c>
      <c r="F4088">
        <v>57131</v>
      </c>
    </row>
    <row r="4089" spans="1:6">
      <c r="A4089" t="s">
        <v>5133</v>
      </c>
      <c r="B4089">
        <v>455</v>
      </c>
      <c r="C4089" t="s">
        <v>1043</v>
      </c>
      <c r="D4089">
        <v>5063394</v>
      </c>
      <c r="E4089">
        <v>114940</v>
      </c>
      <c r="F4089">
        <v>57131</v>
      </c>
    </row>
    <row r="4090" spans="1:6">
      <c r="A4090" t="s">
        <v>5134</v>
      </c>
      <c r="B4090">
        <v>455</v>
      </c>
      <c r="C4090" t="s">
        <v>1045</v>
      </c>
      <c r="D4090">
        <v>3038037</v>
      </c>
      <c r="E4090">
        <v>114940</v>
      </c>
      <c r="F4090">
        <v>57131</v>
      </c>
    </row>
    <row r="4091" spans="1:6">
      <c r="A4091" t="s">
        <v>5135</v>
      </c>
      <c r="B4091">
        <v>455</v>
      </c>
      <c r="C4091" t="s">
        <v>1047</v>
      </c>
      <c r="D4091">
        <v>843899</v>
      </c>
      <c r="E4091">
        <v>114940</v>
      </c>
      <c r="F4091">
        <v>57131</v>
      </c>
    </row>
    <row r="4092" spans="1:6">
      <c r="A4092" t="s">
        <v>5136</v>
      </c>
      <c r="B4092">
        <v>455</v>
      </c>
      <c r="C4092" t="s">
        <v>1049</v>
      </c>
      <c r="D4092">
        <v>253170</v>
      </c>
      <c r="E4092">
        <v>114940</v>
      </c>
      <c r="F4092">
        <v>57131</v>
      </c>
    </row>
    <row r="4093" spans="1:6">
      <c r="A4093" t="s">
        <v>5137</v>
      </c>
      <c r="B4093">
        <v>455</v>
      </c>
      <c r="C4093" t="s">
        <v>745</v>
      </c>
      <c r="D4093">
        <v>6751192</v>
      </c>
      <c r="E4093">
        <v>114940</v>
      </c>
      <c r="F4093">
        <v>57131</v>
      </c>
    </row>
    <row r="4094" spans="1:6">
      <c r="A4094" t="s">
        <v>5138</v>
      </c>
      <c r="B4094">
        <v>455</v>
      </c>
      <c r="C4094" t="s">
        <v>1052</v>
      </c>
      <c r="D4094">
        <v>15190182</v>
      </c>
      <c r="E4094">
        <v>114940</v>
      </c>
      <c r="F4094">
        <v>57131</v>
      </c>
    </row>
    <row r="4095" spans="1:6">
      <c r="A4095" t="s">
        <v>5139</v>
      </c>
      <c r="B4095">
        <v>455</v>
      </c>
      <c r="C4095" t="s">
        <v>164</v>
      </c>
      <c r="D4095">
        <v>180589674</v>
      </c>
      <c r="E4095">
        <v>121790</v>
      </c>
      <c r="F4095">
        <v>57131</v>
      </c>
    </row>
    <row r="4096" spans="1:6">
      <c r="A4096" t="s">
        <v>5140</v>
      </c>
      <c r="B4096">
        <v>455</v>
      </c>
      <c r="C4096" t="s">
        <v>651</v>
      </c>
      <c r="D4096">
        <v>90294837</v>
      </c>
      <c r="E4096">
        <v>121790</v>
      </c>
      <c r="F4096">
        <v>57131</v>
      </c>
    </row>
    <row r="4097" spans="1:6">
      <c r="A4097" t="s">
        <v>5141</v>
      </c>
      <c r="B4097">
        <v>456</v>
      </c>
      <c r="C4097" t="s">
        <v>154</v>
      </c>
      <c r="D4097">
        <v>1699874</v>
      </c>
      <c r="E4097">
        <v>115617</v>
      </c>
      <c r="F4097">
        <v>57309</v>
      </c>
    </row>
    <row r="4098" spans="1:6">
      <c r="A4098" t="s">
        <v>5142</v>
      </c>
      <c r="B4098">
        <v>456</v>
      </c>
      <c r="C4098" t="s">
        <v>1043</v>
      </c>
      <c r="D4098">
        <v>5099622</v>
      </c>
      <c r="E4098">
        <v>115617</v>
      </c>
      <c r="F4098">
        <v>57309</v>
      </c>
    </row>
    <row r="4099" spans="1:6">
      <c r="A4099" t="s">
        <v>5143</v>
      </c>
      <c r="B4099">
        <v>456</v>
      </c>
      <c r="C4099" t="s">
        <v>1045</v>
      </c>
      <c r="D4099">
        <v>3059774</v>
      </c>
      <c r="E4099">
        <v>115617</v>
      </c>
      <c r="F4099">
        <v>57309</v>
      </c>
    </row>
    <row r="4100" spans="1:6">
      <c r="A4100" t="s">
        <v>5144</v>
      </c>
      <c r="B4100">
        <v>456</v>
      </c>
      <c r="C4100" t="s">
        <v>1047</v>
      </c>
      <c r="D4100">
        <v>849937</v>
      </c>
      <c r="E4100">
        <v>115617</v>
      </c>
      <c r="F4100">
        <v>57309</v>
      </c>
    </row>
    <row r="4101" spans="1:6">
      <c r="A4101" t="s">
        <v>5145</v>
      </c>
      <c r="B4101">
        <v>456</v>
      </c>
      <c r="C4101" t="s">
        <v>1049</v>
      </c>
      <c r="D4101">
        <v>254982</v>
      </c>
      <c r="E4101">
        <v>115617</v>
      </c>
      <c r="F4101">
        <v>57309</v>
      </c>
    </row>
    <row r="4102" spans="1:6">
      <c r="A4102" t="s">
        <v>5146</v>
      </c>
      <c r="B4102">
        <v>456</v>
      </c>
      <c r="C4102" t="s">
        <v>745</v>
      </c>
      <c r="D4102">
        <v>6799496</v>
      </c>
      <c r="E4102">
        <v>115617</v>
      </c>
      <c r="F4102">
        <v>57309</v>
      </c>
    </row>
    <row r="4103" spans="1:6">
      <c r="A4103" t="s">
        <v>5147</v>
      </c>
      <c r="B4103">
        <v>456</v>
      </c>
      <c r="C4103" t="s">
        <v>1052</v>
      </c>
      <c r="D4103">
        <v>15298866</v>
      </c>
      <c r="E4103">
        <v>115617</v>
      </c>
      <c r="F4103">
        <v>57309</v>
      </c>
    </row>
    <row r="4104" spans="1:6">
      <c r="A4104" t="s">
        <v>5148</v>
      </c>
      <c r="B4104">
        <v>456</v>
      </c>
      <c r="C4104" t="s">
        <v>164</v>
      </c>
      <c r="D4104">
        <v>181987074</v>
      </c>
      <c r="E4104">
        <v>122488</v>
      </c>
      <c r="F4104">
        <v>57309</v>
      </c>
    </row>
    <row r="4105" spans="1:6">
      <c r="A4105" t="s">
        <v>5149</v>
      </c>
      <c r="B4105">
        <v>456</v>
      </c>
      <c r="C4105" t="s">
        <v>651</v>
      </c>
      <c r="D4105">
        <v>90993537</v>
      </c>
      <c r="E4105">
        <v>122488</v>
      </c>
      <c r="F4105">
        <v>57309</v>
      </c>
    </row>
    <row r="4106" spans="1:6">
      <c r="A4106" t="s">
        <v>5150</v>
      </c>
      <c r="B4106">
        <v>457</v>
      </c>
      <c r="C4106" t="s">
        <v>154</v>
      </c>
      <c r="D4106">
        <v>1712020</v>
      </c>
      <c r="E4106">
        <v>116297</v>
      </c>
      <c r="F4106">
        <v>57486</v>
      </c>
    </row>
    <row r="4107" spans="1:6">
      <c r="A4107" t="s">
        <v>5151</v>
      </c>
      <c r="B4107">
        <v>457</v>
      </c>
      <c r="C4107" t="s">
        <v>1043</v>
      </c>
      <c r="D4107">
        <v>5136060</v>
      </c>
      <c r="E4107">
        <v>116297</v>
      </c>
      <c r="F4107">
        <v>57486</v>
      </c>
    </row>
    <row r="4108" spans="1:6">
      <c r="A4108" t="s">
        <v>5152</v>
      </c>
      <c r="B4108">
        <v>457</v>
      </c>
      <c r="C4108" t="s">
        <v>1045</v>
      </c>
      <c r="D4108">
        <v>3081636</v>
      </c>
      <c r="E4108">
        <v>116297</v>
      </c>
      <c r="F4108">
        <v>57486</v>
      </c>
    </row>
    <row r="4109" spans="1:6">
      <c r="A4109" t="s">
        <v>5153</v>
      </c>
      <c r="B4109">
        <v>457</v>
      </c>
      <c r="C4109" t="s">
        <v>1047</v>
      </c>
      <c r="D4109">
        <v>856010</v>
      </c>
      <c r="E4109">
        <v>116297</v>
      </c>
      <c r="F4109">
        <v>57486</v>
      </c>
    </row>
    <row r="4110" spans="1:6">
      <c r="A4110" t="s">
        <v>5154</v>
      </c>
      <c r="B4110">
        <v>457</v>
      </c>
      <c r="C4110" t="s">
        <v>1049</v>
      </c>
      <c r="D4110">
        <v>256803</v>
      </c>
      <c r="E4110">
        <v>116297</v>
      </c>
      <c r="F4110">
        <v>57486</v>
      </c>
    </row>
    <row r="4111" spans="1:6">
      <c r="A4111" t="s">
        <v>5155</v>
      </c>
      <c r="B4111">
        <v>457</v>
      </c>
      <c r="C4111" t="s">
        <v>745</v>
      </c>
      <c r="D4111">
        <v>6848080</v>
      </c>
      <c r="E4111">
        <v>116297</v>
      </c>
      <c r="F4111">
        <v>57486</v>
      </c>
    </row>
    <row r="4112" spans="1:6">
      <c r="A4112" t="s">
        <v>5156</v>
      </c>
      <c r="B4112">
        <v>457</v>
      </c>
      <c r="C4112" t="s">
        <v>1052</v>
      </c>
      <c r="D4112">
        <v>15408180</v>
      </c>
      <c r="E4112">
        <v>116297</v>
      </c>
      <c r="F4112">
        <v>57486</v>
      </c>
    </row>
    <row r="4113" spans="1:6">
      <c r="A4113" t="s">
        <v>5157</v>
      </c>
      <c r="B4113">
        <v>457</v>
      </c>
      <c r="C4113" t="s">
        <v>164</v>
      </c>
      <c r="D4113">
        <v>183393348</v>
      </c>
      <c r="E4113">
        <v>123189</v>
      </c>
      <c r="F4113">
        <v>57486</v>
      </c>
    </row>
    <row r="4114" spans="1:6">
      <c r="A4114" t="s">
        <v>5158</v>
      </c>
      <c r="B4114">
        <v>457</v>
      </c>
      <c r="C4114" t="s">
        <v>651</v>
      </c>
      <c r="D4114">
        <v>91696674</v>
      </c>
      <c r="E4114">
        <v>123189</v>
      </c>
      <c r="F4114">
        <v>57486</v>
      </c>
    </row>
    <row r="4115" spans="1:6">
      <c r="A4115" t="s">
        <v>5159</v>
      </c>
      <c r="B4115">
        <v>458</v>
      </c>
      <c r="C4115" t="s">
        <v>154</v>
      </c>
      <c r="D4115">
        <v>1724235</v>
      </c>
      <c r="E4115">
        <v>116981</v>
      </c>
      <c r="F4115">
        <v>57664</v>
      </c>
    </row>
    <row r="4116" spans="1:6">
      <c r="A4116" t="s">
        <v>5160</v>
      </c>
      <c r="B4116">
        <v>458</v>
      </c>
      <c r="C4116" t="s">
        <v>1043</v>
      </c>
      <c r="D4116">
        <v>5172705</v>
      </c>
      <c r="E4116">
        <v>116981</v>
      </c>
      <c r="F4116">
        <v>57664</v>
      </c>
    </row>
    <row r="4117" spans="1:6">
      <c r="A4117" t="s">
        <v>5161</v>
      </c>
      <c r="B4117">
        <v>458</v>
      </c>
      <c r="C4117" t="s">
        <v>1045</v>
      </c>
      <c r="D4117">
        <v>3103623</v>
      </c>
      <c r="E4117">
        <v>116981</v>
      </c>
      <c r="F4117">
        <v>57664</v>
      </c>
    </row>
    <row r="4118" spans="1:6">
      <c r="A4118" t="s">
        <v>5162</v>
      </c>
      <c r="B4118">
        <v>458</v>
      </c>
      <c r="C4118" t="s">
        <v>1047</v>
      </c>
      <c r="D4118">
        <v>862118</v>
      </c>
      <c r="E4118">
        <v>116981</v>
      </c>
      <c r="F4118">
        <v>57664</v>
      </c>
    </row>
    <row r="4119" spans="1:6">
      <c r="A4119" t="s">
        <v>5163</v>
      </c>
      <c r="B4119">
        <v>458</v>
      </c>
      <c r="C4119" t="s">
        <v>1049</v>
      </c>
      <c r="D4119">
        <v>258636</v>
      </c>
      <c r="E4119">
        <v>116981</v>
      </c>
      <c r="F4119">
        <v>57664</v>
      </c>
    </row>
    <row r="4120" spans="1:6">
      <c r="A4120" t="s">
        <v>5164</v>
      </c>
      <c r="B4120">
        <v>458</v>
      </c>
      <c r="C4120" t="s">
        <v>745</v>
      </c>
      <c r="D4120">
        <v>6896940</v>
      </c>
      <c r="E4120">
        <v>116981</v>
      </c>
      <c r="F4120">
        <v>57664</v>
      </c>
    </row>
    <row r="4121" spans="1:6">
      <c r="A4121" t="s">
        <v>5165</v>
      </c>
      <c r="B4121">
        <v>458</v>
      </c>
      <c r="C4121" t="s">
        <v>1052</v>
      </c>
      <c r="D4121">
        <v>15518115</v>
      </c>
      <c r="E4121">
        <v>116981</v>
      </c>
      <c r="F4121">
        <v>57664</v>
      </c>
    </row>
    <row r="4122" spans="1:6">
      <c r="A4122" t="s">
        <v>5166</v>
      </c>
      <c r="B4122">
        <v>458</v>
      </c>
      <c r="C4122" t="s">
        <v>164</v>
      </c>
      <c r="D4122">
        <v>184808598</v>
      </c>
      <c r="E4122">
        <v>123894</v>
      </c>
      <c r="F4122">
        <v>57664</v>
      </c>
    </row>
    <row r="4123" spans="1:6">
      <c r="A4123" t="s">
        <v>5167</v>
      </c>
      <c r="B4123">
        <v>458</v>
      </c>
      <c r="C4123" t="s">
        <v>651</v>
      </c>
      <c r="D4123">
        <v>92404299</v>
      </c>
      <c r="E4123">
        <v>123894</v>
      </c>
      <c r="F4123">
        <v>57664</v>
      </c>
    </row>
    <row r="4124" spans="1:6">
      <c r="A4124" t="s">
        <v>5168</v>
      </c>
      <c r="B4124">
        <v>459</v>
      </c>
      <c r="C4124" t="s">
        <v>154</v>
      </c>
      <c r="D4124">
        <v>1736521</v>
      </c>
      <c r="E4124">
        <v>117667</v>
      </c>
      <c r="F4124">
        <v>57842</v>
      </c>
    </row>
    <row r="4125" spans="1:6">
      <c r="A4125" t="s">
        <v>5169</v>
      </c>
      <c r="B4125">
        <v>459</v>
      </c>
      <c r="C4125" t="s">
        <v>1043</v>
      </c>
      <c r="D4125">
        <v>5209563</v>
      </c>
      <c r="E4125">
        <v>117667</v>
      </c>
      <c r="F4125">
        <v>57842</v>
      </c>
    </row>
    <row r="4126" spans="1:6">
      <c r="A4126" t="s">
        <v>5170</v>
      </c>
      <c r="B4126">
        <v>459</v>
      </c>
      <c r="C4126" t="s">
        <v>1045</v>
      </c>
      <c r="D4126">
        <v>3125738</v>
      </c>
      <c r="E4126">
        <v>117667</v>
      </c>
      <c r="F4126">
        <v>57842</v>
      </c>
    </row>
    <row r="4127" spans="1:6">
      <c r="A4127" t="s">
        <v>5171</v>
      </c>
      <c r="B4127">
        <v>459</v>
      </c>
      <c r="C4127" t="s">
        <v>1047</v>
      </c>
      <c r="D4127">
        <v>868261</v>
      </c>
      <c r="E4127">
        <v>117667</v>
      </c>
      <c r="F4127">
        <v>57842</v>
      </c>
    </row>
    <row r="4128" spans="1:6">
      <c r="A4128" t="s">
        <v>5172</v>
      </c>
      <c r="B4128">
        <v>459</v>
      </c>
      <c r="C4128" t="s">
        <v>1049</v>
      </c>
      <c r="D4128">
        <v>260479</v>
      </c>
      <c r="E4128">
        <v>117667</v>
      </c>
      <c r="F4128">
        <v>57842</v>
      </c>
    </row>
    <row r="4129" spans="1:6">
      <c r="A4129" t="s">
        <v>5173</v>
      </c>
      <c r="B4129">
        <v>459</v>
      </c>
      <c r="C4129" t="s">
        <v>745</v>
      </c>
      <c r="D4129">
        <v>6946084</v>
      </c>
      <c r="E4129">
        <v>117667</v>
      </c>
      <c r="F4129">
        <v>57842</v>
      </c>
    </row>
    <row r="4130" spans="1:6">
      <c r="A4130" t="s">
        <v>5174</v>
      </c>
      <c r="B4130">
        <v>459</v>
      </c>
      <c r="C4130" t="s">
        <v>1052</v>
      </c>
      <c r="D4130">
        <v>15628689</v>
      </c>
      <c r="E4130">
        <v>117667</v>
      </c>
      <c r="F4130">
        <v>57842</v>
      </c>
    </row>
    <row r="4131" spans="1:6">
      <c r="A4131" t="s">
        <v>5175</v>
      </c>
      <c r="B4131">
        <v>459</v>
      </c>
      <c r="C4131" t="s">
        <v>164</v>
      </c>
      <c r="D4131">
        <v>186232875</v>
      </c>
      <c r="E4131">
        <v>124602</v>
      </c>
      <c r="F4131">
        <v>57842</v>
      </c>
    </row>
    <row r="4132" spans="1:6">
      <c r="A4132" t="s">
        <v>5176</v>
      </c>
      <c r="B4132">
        <v>459</v>
      </c>
      <c r="C4132" t="s">
        <v>651</v>
      </c>
      <c r="D4132">
        <v>93116438</v>
      </c>
      <c r="E4132">
        <v>124602</v>
      </c>
      <c r="F4132">
        <v>57842</v>
      </c>
    </row>
    <row r="4133" spans="1:6">
      <c r="A4133" t="s">
        <v>5177</v>
      </c>
      <c r="B4133">
        <v>460</v>
      </c>
      <c r="C4133" t="s">
        <v>154</v>
      </c>
      <c r="D4133">
        <v>1748876</v>
      </c>
      <c r="E4133">
        <v>118358</v>
      </c>
      <c r="F4133">
        <v>58021</v>
      </c>
    </row>
    <row r="4134" spans="1:6">
      <c r="A4134" t="s">
        <v>5178</v>
      </c>
      <c r="B4134">
        <v>460</v>
      </c>
      <c r="C4134" t="s">
        <v>1043</v>
      </c>
      <c r="D4134">
        <v>5246628</v>
      </c>
      <c r="E4134">
        <v>118358</v>
      </c>
      <c r="F4134">
        <v>58021</v>
      </c>
    </row>
    <row r="4135" spans="1:6">
      <c r="A4135" t="s">
        <v>5179</v>
      </c>
      <c r="B4135">
        <v>460</v>
      </c>
      <c r="C4135" t="s">
        <v>1045</v>
      </c>
      <c r="D4135">
        <v>3147977</v>
      </c>
      <c r="E4135">
        <v>118358</v>
      </c>
      <c r="F4135">
        <v>58021</v>
      </c>
    </row>
    <row r="4136" spans="1:6">
      <c r="A4136" t="s">
        <v>5180</v>
      </c>
      <c r="B4136">
        <v>460</v>
      </c>
      <c r="C4136" t="s">
        <v>1047</v>
      </c>
      <c r="D4136">
        <v>874438</v>
      </c>
      <c r="E4136">
        <v>118358</v>
      </c>
      <c r="F4136">
        <v>58021</v>
      </c>
    </row>
    <row r="4137" spans="1:6">
      <c r="A4137" t="s">
        <v>5181</v>
      </c>
      <c r="B4137">
        <v>460</v>
      </c>
      <c r="C4137" t="s">
        <v>1049</v>
      </c>
      <c r="D4137">
        <v>262332</v>
      </c>
      <c r="E4137">
        <v>118358</v>
      </c>
      <c r="F4137">
        <v>58021</v>
      </c>
    </row>
    <row r="4138" spans="1:6">
      <c r="A4138" t="s">
        <v>5182</v>
      </c>
      <c r="B4138">
        <v>460</v>
      </c>
      <c r="C4138" t="s">
        <v>745</v>
      </c>
      <c r="D4138">
        <v>6995504</v>
      </c>
      <c r="E4138">
        <v>118358</v>
      </c>
      <c r="F4138">
        <v>58021</v>
      </c>
    </row>
    <row r="4139" spans="1:6">
      <c r="A4139" t="s">
        <v>5183</v>
      </c>
      <c r="B4139">
        <v>460</v>
      </c>
      <c r="C4139" t="s">
        <v>1052</v>
      </c>
      <c r="D4139">
        <v>15739884</v>
      </c>
      <c r="E4139">
        <v>118358</v>
      </c>
      <c r="F4139">
        <v>58021</v>
      </c>
    </row>
    <row r="4140" spans="1:6">
      <c r="A4140" t="s">
        <v>5184</v>
      </c>
      <c r="B4140">
        <v>460</v>
      </c>
      <c r="C4140" t="s">
        <v>164</v>
      </c>
      <c r="D4140">
        <v>187666230</v>
      </c>
      <c r="E4140">
        <v>125314</v>
      </c>
      <c r="F4140">
        <v>58021</v>
      </c>
    </row>
    <row r="4141" spans="1:6">
      <c r="A4141" t="s">
        <v>5185</v>
      </c>
      <c r="B4141">
        <v>460</v>
      </c>
      <c r="C4141" t="s">
        <v>651</v>
      </c>
      <c r="D4141">
        <v>93833115</v>
      </c>
      <c r="E4141">
        <v>125314</v>
      </c>
      <c r="F4141">
        <v>58021</v>
      </c>
    </row>
    <row r="4142" spans="1:6">
      <c r="A4142" t="s">
        <v>5186</v>
      </c>
      <c r="B4142">
        <v>461</v>
      </c>
      <c r="C4142" t="s">
        <v>154</v>
      </c>
      <c r="D4142">
        <v>1761303</v>
      </c>
      <c r="E4142">
        <v>119052</v>
      </c>
      <c r="F4142">
        <v>58199</v>
      </c>
    </row>
    <row r="4143" spans="1:6">
      <c r="A4143" t="s">
        <v>5187</v>
      </c>
      <c r="B4143">
        <v>461</v>
      </c>
      <c r="C4143" t="s">
        <v>1043</v>
      </c>
      <c r="D4143">
        <v>5283909</v>
      </c>
      <c r="E4143">
        <v>119052</v>
      </c>
      <c r="F4143">
        <v>58199</v>
      </c>
    </row>
    <row r="4144" spans="1:6">
      <c r="A4144" t="s">
        <v>5188</v>
      </c>
      <c r="B4144">
        <v>461</v>
      </c>
      <c r="C4144" t="s">
        <v>1045</v>
      </c>
      <c r="D4144">
        <v>3170346</v>
      </c>
      <c r="E4144">
        <v>119052</v>
      </c>
      <c r="F4144">
        <v>58199</v>
      </c>
    </row>
    <row r="4145" spans="1:6">
      <c r="A4145" t="s">
        <v>5189</v>
      </c>
      <c r="B4145">
        <v>461</v>
      </c>
      <c r="C4145" t="s">
        <v>1047</v>
      </c>
      <c r="D4145">
        <v>880652</v>
      </c>
      <c r="E4145">
        <v>119052</v>
      </c>
      <c r="F4145">
        <v>58199</v>
      </c>
    </row>
    <row r="4146" spans="1:6">
      <c r="A4146" t="s">
        <v>5190</v>
      </c>
      <c r="B4146">
        <v>461</v>
      </c>
      <c r="C4146" t="s">
        <v>1049</v>
      </c>
      <c r="D4146">
        <v>264196</v>
      </c>
      <c r="E4146">
        <v>119052</v>
      </c>
      <c r="F4146">
        <v>58199</v>
      </c>
    </row>
    <row r="4147" spans="1:6">
      <c r="A4147" t="s">
        <v>5191</v>
      </c>
      <c r="B4147">
        <v>461</v>
      </c>
      <c r="C4147" t="s">
        <v>745</v>
      </c>
      <c r="D4147">
        <v>7045212</v>
      </c>
      <c r="E4147">
        <v>119052</v>
      </c>
      <c r="F4147">
        <v>58199</v>
      </c>
    </row>
    <row r="4148" spans="1:6">
      <c r="A4148" t="s">
        <v>5192</v>
      </c>
      <c r="B4148">
        <v>461</v>
      </c>
      <c r="C4148" t="s">
        <v>1052</v>
      </c>
      <c r="D4148">
        <v>15851727</v>
      </c>
      <c r="E4148">
        <v>119052</v>
      </c>
      <c r="F4148">
        <v>58199</v>
      </c>
    </row>
    <row r="4149" spans="1:6">
      <c r="A4149" t="s">
        <v>5193</v>
      </c>
      <c r="B4149">
        <v>461</v>
      </c>
      <c r="C4149" t="s">
        <v>164</v>
      </c>
      <c r="D4149">
        <v>189108663</v>
      </c>
      <c r="E4149">
        <v>126029</v>
      </c>
      <c r="F4149">
        <v>58199</v>
      </c>
    </row>
    <row r="4150" spans="1:6">
      <c r="A4150" t="s">
        <v>5194</v>
      </c>
      <c r="B4150">
        <v>461</v>
      </c>
      <c r="C4150" t="s">
        <v>651</v>
      </c>
      <c r="D4150">
        <v>94554332</v>
      </c>
      <c r="E4150">
        <v>126029</v>
      </c>
      <c r="F4150">
        <v>58199</v>
      </c>
    </row>
    <row r="4151" spans="1:6">
      <c r="A4151" t="s">
        <v>5195</v>
      </c>
      <c r="B4151">
        <v>462</v>
      </c>
      <c r="C4151" t="s">
        <v>154</v>
      </c>
      <c r="D4151">
        <v>1773801</v>
      </c>
      <c r="E4151">
        <v>119749</v>
      </c>
      <c r="F4151">
        <v>58378</v>
      </c>
    </row>
    <row r="4152" spans="1:6">
      <c r="A4152" t="s">
        <v>5196</v>
      </c>
      <c r="B4152">
        <v>462</v>
      </c>
      <c r="C4152" t="s">
        <v>1043</v>
      </c>
      <c r="D4152">
        <v>5321403</v>
      </c>
      <c r="E4152">
        <v>119749</v>
      </c>
      <c r="F4152">
        <v>58378</v>
      </c>
    </row>
    <row r="4153" spans="1:6">
      <c r="A4153" t="s">
        <v>5197</v>
      </c>
      <c r="B4153">
        <v>462</v>
      </c>
      <c r="C4153" t="s">
        <v>1045</v>
      </c>
      <c r="D4153">
        <v>3192842</v>
      </c>
      <c r="E4153">
        <v>119749</v>
      </c>
      <c r="F4153">
        <v>58378</v>
      </c>
    </row>
    <row r="4154" spans="1:6">
      <c r="A4154" t="s">
        <v>5198</v>
      </c>
      <c r="B4154">
        <v>462</v>
      </c>
      <c r="C4154" t="s">
        <v>1047</v>
      </c>
      <c r="D4154">
        <v>886901</v>
      </c>
      <c r="E4154">
        <v>119749</v>
      </c>
      <c r="F4154">
        <v>58378</v>
      </c>
    </row>
    <row r="4155" spans="1:6">
      <c r="A4155" t="s">
        <v>5199</v>
      </c>
      <c r="B4155">
        <v>462</v>
      </c>
      <c r="C4155" t="s">
        <v>1049</v>
      </c>
      <c r="D4155">
        <v>266071</v>
      </c>
      <c r="E4155">
        <v>119749</v>
      </c>
      <c r="F4155">
        <v>58378</v>
      </c>
    </row>
    <row r="4156" spans="1:6">
      <c r="A4156" t="s">
        <v>5200</v>
      </c>
      <c r="B4156">
        <v>462</v>
      </c>
      <c r="C4156" t="s">
        <v>745</v>
      </c>
      <c r="D4156">
        <v>7095204</v>
      </c>
      <c r="E4156">
        <v>119749</v>
      </c>
      <c r="F4156">
        <v>58378</v>
      </c>
    </row>
    <row r="4157" spans="1:6">
      <c r="A4157" t="s">
        <v>5201</v>
      </c>
      <c r="B4157">
        <v>462</v>
      </c>
      <c r="C4157" t="s">
        <v>1052</v>
      </c>
      <c r="D4157">
        <v>15964209</v>
      </c>
      <c r="E4157">
        <v>119749</v>
      </c>
      <c r="F4157">
        <v>58378</v>
      </c>
    </row>
    <row r="4158" spans="1:6">
      <c r="A4158" t="s">
        <v>5202</v>
      </c>
      <c r="B4158">
        <v>462</v>
      </c>
      <c r="C4158" t="s">
        <v>164</v>
      </c>
      <c r="D4158">
        <v>190560225</v>
      </c>
      <c r="E4158">
        <v>126747</v>
      </c>
      <c r="F4158">
        <v>58378</v>
      </c>
    </row>
    <row r="4159" spans="1:6">
      <c r="A4159" t="s">
        <v>5203</v>
      </c>
      <c r="B4159">
        <v>462</v>
      </c>
      <c r="C4159" t="s">
        <v>651</v>
      </c>
      <c r="D4159">
        <v>95280113</v>
      </c>
      <c r="E4159">
        <v>126747</v>
      </c>
      <c r="F4159">
        <v>58378</v>
      </c>
    </row>
    <row r="4160" spans="1:6">
      <c r="A4160" t="s">
        <v>5204</v>
      </c>
      <c r="B4160">
        <v>463</v>
      </c>
      <c r="C4160" t="s">
        <v>154</v>
      </c>
      <c r="D4160">
        <v>1786370</v>
      </c>
      <c r="E4160">
        <v>120449</v>
      </c>
      <c r="F4160">
        <v>58557</v>
      </c>
    </row>
    <row r="4161" spans="1:6">
      <c r="A4161" t="s">
        <v>5205</v>
      </c>
      <c r="B4161">
        <v>463</v>
      </c>
      <c r="C4161" t="s">
        <v>1043</v>
      </c>
      <c r="D4161">
        <v>5359110</v>
      </c>
      <c r="E4161">
        <v>120449</v>
      </c>
      <c r="F4161">
        <v>58557</v>
      </c>
    </row>
    <row r="4162" spans="1:6">
      <c r="A4162" t="s">
        <v>5206</v>
      </c>
      <c r="B4162">
        <v>463</v>
      </c>
      <c r="C4162" t="s">
        <v>1045</v>
      </c>
      <c r="D4162">
        <v>3215466</v>
      </c>
      <c r="E4162">
        <v>120449</v>
      </c>
      <c r="F4162">
        <v>58557</v>
      </c>
    </row>
    <row r="4163" spans="1:6">
      <c r="A4163" t="s">
        <v>5207</v>
      </c>
      <c r="B4163">
        <v>463</v>
      </c>
      <c r="C4163" t="s">
        <v>1047</v>
      </c>
      <c r="D4163">
        <v>893185</v>
      </c>
      <c r="E4163">
        <v>120449</v>
      </c>
      <c r="F4163">
        <v>58557</v>
      </c>
    </row>
    <row r="4164" spans="1:6">
      <c r="A4164" t="s">
        <v>5208</v>
      </c>
      <c r="B4164">
        <v>463</v>
      </c>
      <c r="C4164" t="s">
        <v>1049</v>
      </c>
      <c r="D4164">
        <v>267956</v>
      </c>
      <c r="E4164">
        <v>120449</v>
      </c>
      <c r="F4164">
        <v>58557</v>
      </c>
    </row>
    <row r="4165" spans="1:6">
      <c r="A4165" t="s">
        <v>5209</v>
      </c>
      <c r="B4165">
        <v>463</v>
      </c>
      <c r="C4165" t="s">
        <v>745</v>
      </c>
      <c r="D4165">
        <v>7145480</v>
      </c>
      <c r="E4165">
        <v>120449</v>
      </c>
      <c r="F4165">
        <v>58557</v>
      </c>
    </row>
    <row r="4166" spans="1:6">
      <c r="A4166" t="s">
        <v>5210</v>
      </c>
      <c r="B4166">
        <v>463</v>
      </c>
      <c r="C4166" t="s">
        <v>1052</v>
      </c>
      <c r="D4166">
        <v>16077330</v>
      </c>
      <c r="E4166">
        <v>120449</v>
      </c>
      <c r="F4166">
        <v>58557</v>
      </c>
    </row>
    <row r="4167" spans="1:6">
      <c r="A4167" t="s">
        <v>5211</v>
      </c>
      <c r="B4167">
        <v>463</v>
      </c>
      <c r="C4167" t="s">
        <v>164</v>
      </c>
      <c r="D4167">
        <v>192021018</v>
      </c>
      <c r="E4167">
        <v>127469</v>
      </c>
      <c r="F4167">
        <v>58557</v>
      </c>
    </row>
    <row r="4168" spans="1:6">
      <c r="A4168" t="s">
        <v>5212</v>
      </c>
      <c r="B4168">
        <v>463</v>
      </c>
      <c r="C4168" t="s">
        <v>651</v>
      </c>
      <c r="D4168">
        <v>96010509</v>
      </c>
      <c r="E4168">
        <v>127469</v>
      </c>
      <c r="F4168">
        <v>58557</v>
      </c>
    </row>
    <row r="4169" spans="1:6">
      <c r="A4169" t="s">
        <v>5213</v>
      </c>
      <c r="B4169">
        <v>464</v>
      </c>
      <c r="C4169" t="s">
        <v>154</v>
      </c>
      <c r="D4169">
        <v>1799011</v>
      </c>
      <c r="E4169">
        <v>121154</v>
      </c>
      <c r="F4169">
        <v>58736</v>
      </c>
    </row>
    <row r="4170" spans="1:6">
      <c r="A4170" t="s">
        <v>5214</v>
      </c>
      <c r="B4170">
        <v>464</v>
      </c>
      <c r="C4170" t="s">
        <v>1043</v>
      </c>
      <c r="D4170">
        <v>5397033</v>
      </c>
      <c r="E4170">
        <v>121154</v>
      </c>
      <c r="F4170">
        <v>58736</v>
      </c>
    </row>
    <row r="4171" spans="1:6">
      <c r="A4171" t="s">
        <v>5215</v>
      </c>
      <c r="B4171">
        <v>464</v>
      </c>
      <c r="C4171" t="s">
        <v>1045</v>
      </c>
      <c r="D4171">
        <v>3238220</v>
      </c>
      <c r="E4171">
        <v>121154</v>
      </c>
      <c r="F4171">
        <v>58736</v>
      </c>
    </row>
    <row r="4172" spans="1:6">
      <c r="A4172" t="s">
        <v>5216</v>
      </c>
      <c r="B4172">
        <v>464</v>
      </c>
      <c r="C4172" t="s">
        <v>1047</v>
      </c>
      <c r="D4172">
        <v>899506</v>
      </c>
      <c r="E4172">
        <v>121154</v>
      </c>
      <c r="F4172">
        <v>58736</v>
      </c>
    </row>
    <row r="4173" spans="1:6">
      <c r="A4173" t="s">
        <v>5217</v>
      </c>
      <c r="B4173">
        <v>464</v>
      </c>
      <c r="C4173" t="s">
        <v>1049</v>
      </c>
      <c r="D4173">
        <v>269852</v>
      </c>
      <c r="E4173">
        <v>121154</v>
      </c>
      <c r="F4173">
        <v>58736</v>
      </c>
    </row>
    <row r="4174" spans="1:6">
      <c r="A4174" t="s">
        <v>5218</v>
      </c>
      <c r="B4174">
        <v>464</v>
      </c>
      <c r="C4174" t="s">
        <v>745</v>
      </c>
      <c r="D4174">
        <v>7196044</v>
      </c>
      <c r="E4174">
        <v>121154</v>
      </c>
      <c r="F4174">
        <v>58736</v>
      </c>
    </row>
    <row r="4175" spans="1:6">
      <c r="A4175" t="s">
        <v>5219</v>
      </c>
      <c r="B4175">
        <v>464</v>
      </c>
      <c r="C4175" t="s">
        <v>1052</v>
      </c>
      <c r="D4175">
        <v>16191099</v>
      </c>
      <c r="E4175">
        <v>121154</v>
      </c>
      <c r="F4175">
        <v>58736</v>
      </c>
    </row>
    <row r="4176" spans="1:6">
      <c r="A4176" t="s">
        <v>5220</v>
      </c>
      <c r="B4176">
        <v>464</v>
      </c>
      <c r="C4176" t="s">
        <v>164</v>
      </c>
      <c r="D4176">
        <v>193491093</v>
      </c>
      <c r="E4176">
        <v>128195</v>
      </c>
      <c r="F4176">
        <v>58736</v>
      </c>
    </row>
    <row r="4177" spans="1:6">
      <c r="A4177" t="s">
        <v>5221</v>
      </c>
      <c r="B4177">
        <v>464</v>
      </c>
      <c r="C4177" t="s">
        <v>651</v>
      </c>
      <c r="D4177">
        <v>96745547</v>
      </c>
      <c r="E4177">
        <v>128195</v>
      </c>
      <c r="F4177">
        <v>58736</v>
      </c>
    </row>
    <row r="4178" spans="1:6">
      <c r="A4178" t="s">
        <v>5222</v>
      </c>
      <c r="B4178">
        <v>465</v>
      </c>
      <c r="C4178" t="s">
        <v>154</v>
      </c>
      <c r="D4178">
        <v>1811725</v>
      </c>
      <c r="E4178">
        <v>121861</v>
      </c>
      <c r="F4178">
        <v>58916</v>
      </c>
    </row>
    <row r="4179" spans="1:6">
      <c r="A4179" t="s">
        <v>5223</v>
      </c>
      <c r="B4179">
        <v>465</v>
      </c>
      <c r="C4179" t="s">
        <v>1043</v>
      </c>
      <c r="D4179">
        <v>5435175</v>
      </c>
      <c r="E4179">
        <v>121861</v>
      </c>
      <c r="F4179">
        <v>58916</v>
      </c>
    </row>
    <row r="4180" spans="1:6">
      <c r="A4180" t="s">
        <v>5224</v>
      </c>
      <c r="B4180">
        <v>465</v>
      </c>
      <c r="C4180" t="s">
        <v>1045</v>
      </c>
      <c r="D4180">
        <v>3261105</v>
      </c>
      <c r="E4180">
        <v>121861</v>
      </c>
      <c r="F4180">
        <v>58916</v>
      </c>
    </row>
    <row r="4181" spans="1:6">
      <c r="A4181" t="s">
        <v>5225</v>
      </c>
      <c r="B4181">
        <v>465</v>
      </c>
      <c r="C4181" t="s">
        <v>1047</v>
      </c>
      <c r="D4181">
        <v>905863</v>
      </c>
      <c r="E4181">
        <v>121861</v>
      </c>
      <c r="F4181">
        <v>58916</v>
      </c>
    </row>
    <row r="4182" spans="1:6">
      <c r="A4182" t="s">
        <v>5226</v>
      </c>
      <c r="B4182">
        <v>465</v>
      </c>
      <c r="C4182" t="s">
        <v>1049</v>
      </c>
      <c r="D4182">
        <v>271759</v>
      </c>
      <c r="E4182">
        <v>121861</v>
      </c>
      <c r="F4182">
        <v>58916</v>
      </c>
    </row>
    <row r="4183" spans="1:6">
      <c r="A4183" t="s">
        <v>5227</v>
      </c>
      <c r="B4183">
        <v>465</v>
      </c>
      <c r="C4183" t="s">
        <v>745</v>
      </c>
      <c r="D4183">
        <v>7246900</v>
      </c>
      <c r="E4183">
        <v>121861</v>
      </c>
      <c r="F4183">
        <v>58916</v>
      </c>
    </row>
    <row r="4184" spans="1:6">
      <c r="A4184" t="s">
        <v>5228</v>
      </c>
      <c r="B4184">
        <v>465</v>
      </c>
      <c r="C4184" t="s">
        <v>1052</v>
      </c>
      <c r="D4184">
        <v>16305525</v>
      </c>
      <c r="E4184">
        <v>121861</v>
      </c>
      <c r="F4184">
        <v>58916</v>
      </c>
    </row>
    <row r="4185" spans="1:6">
      <c r="A4185" t="s">
        <v>5229</v>
      </c>
      <c r="B4185">
        <v>465</v>
      </c>
      <c r="C4185" t="s">
        <v>164</v>
      </c>
      <c r="D4185">
        <v>194970399</v>
      </c>
      <c r="E4185">
        <v>128924</v>
      </c>
      <c r="F4185">
        <v>58916</v>
      </c>
    </row>
    <row r="4186" spans="1:6">
      <c r="A4186" t="s">
        <v>5230</v>
      </c>
      <c r="B4186">
        <v>465</v>
      </c>
      <c r="C4186" t="s">
        <v>651</v>
      </c>
      <c r="D4186">
        <v>97485200</v>
      </c>
      <c r="E4186">
        <v>128924</v>
      </c>
      <c r="F4186">
        <v>58916</v>
      </c>
    </row>
    <row r="4187" spans="1:6">
      <c r="A4187" t="s">
        <v>5231</v>
      </c>
      <c r="B4187">
        <v>466</v>
      </c>
      <c r="C4187" t="s">
        <v>154</v>
      </c>
      <c r="D4187">
        <v>1824510</v>
      </c>
      <c r="E4187">
        <v>122573</v>
      </c>
      <c r="F4187">
        <v>59095</v>
      </c>
    </row>
    <row r="4188" spans="1:6">
      <c r="A4188" t="s">
        <v>5232</v>
      </c>
      <c r="B4188">
        <v>466</v>
      </c>
      <c r="C4188" t="s">
        <v>1043</v>
      </c>
      <c r="D4188">
        <v>5473530</v>
      </c>
      <c r="E4188">
        <v>122573</v>
      </c>
      <c r="F4188">
        <v>59095</v>
      </c>
    </row>
    <row r="4189" spans="1:6">
      <c r="A4189" t="s">
        <v>5233</v>
      </c>
      <c r="B4189">
        <v>466</v>
      </c>
      <c r="C4189" t="s">
        <v>1045</v>
      </c>
      <c r="D4189">
        <v>3284118</v>
      </c>
      <c r="E4189">
        <v>122573</v>
      </c>
      <c r="F4189">
        <v>59095</v>
      </c>
    </row>
    <row r="4190" spans="1:6">
      <c r="A4190" t="s">
        <v>5234</v>
      </c>
      <c r="B4190">
        <v>466</v>
      </c>
      <c r="C4190" t="s">
        <v>1047</v>
      </c>
      <c r="D4190">
        <v>912255</v>
      </c>
      <c r="E4190">
        <v>122573</v>
      </c>
      <c r="F4190">
        <v>59095</v>
      </c>
    </row>
    <row r="4191" spans="1:6">
      <c r="A4191" t="s">
        <v>5235</v>
      </c>
      <c r="B4191">
        <v>466</v>
      </c>
      <c r="C4191" t="s">
        <v>1049</v>
      </c>
      <c r="D4191">
        <v>273677</v>
      </c>
      <c r="E4191">
        <v>122573</v>
      </c>
      <c r="F4191">
        <v>59095</v>
      </c>
    </row>
    <row r="4192" spans="1:6">
      <c r="A4192" t="s">
        <v>5236</v>
      </c>
      <c r="B4192">
        <v>466</v>
      </c>
      <c r="C4192" t="s">
        <v>745</v>
      </c>
      <c r="D4192">
        <v>7298040</v>
      </c>
      <c r="E4192">
        <v>122573</v>
      </c>
      <c r="F4192">
        <v>59095</v>
      </c>
    </row>
    <row r="4193" spans="1:6">
      <c r="A4193" t="s">
        <v>5237</v>
      </c>
      <c r="B4193">
        <v>466</v>
      </c>
      <c r="C4193" t="s">
        <v>1052</v>
      </c>
      <c r="D4193">
        <v>16420590</v>
      </c>
      <c r="E4193">
        <v>122573</v>
      </c>
      <c r="F4193">
        <v>59095</v>
      </c>
    </row>
    <row r="4194" spans="1:6">
      <c r="A4194" t="s">
        <v>5238</v>
      </c>
      <c r="B4194">
        <v>466</v>
      </c>
      <c r="C4194" t="s">
        <v>164</v>
      </c>
      <c r="D4194">
        <v>196459089</v>
      </c>
      <c r="E4194">
        <v>129657</v>
      </c>
      <c r="F4194">
        <v>59095</v>
      </c>
    </row>
    <row r="4195" spans="1:6">
      <c r="A4195" t="s">
        <v>5239</v>
      </c>
      <c r="B4195">
        <v>466</v>
      </c>
      <c r="C4195" t="s">
        <v>651</v>
      </c>
      <c r="D4195">
        <v>98229545</v>
      </c>
      <c r="E4195">
        <v>129657</v>
      </c>
      <c r="F4195">
        <v>59095</v>
      </c>
    </row>
    <row r="4196" spans="1:6">
      <c r="A4196" t="s">
        <v>5240</v>
      </c>
      <c r="B4196">
        <v>467</v>
      </c>
      <c r="C4196" t="s">
        <v>154</v>
      </c>
      <c r="D4196">
        <v>1837368</v>
      </c>
      <c r="E4196">
        <v>123287</v>
      </c>
      <c r="F4196">
        <v>59275</v>
      </c>
    </row>
    <row r="4197" spans="1:6">
      <c r="A4197" t="s">
        <v>5241</v>
      </c>
      <c r="B4197">
        <v>467</v>
      </c>
      <c r="C4197" t="s">
        <v>1043</v>
      </c>
      <c r="D4197">
        <v>5512104</v>
      </c>
      <c r="E4197">
        <v>123287</v>
      </c>
      <c r="F4197">
        <v>59275</v>
      </c>
    </row>
    <row r="4198" spans="1:6">
      <c r="A4198" t="s">
        <v>5242</v>
      </c>
      <c r="B4198">
        <v>467</v>
      </c>
      <c r="C4198" t="s">
        <v>1045</v>
      </c>
      <c r="D4198">
        <v>3307263</v>
      </c>
      <c r="E4198">
        <v>123287</v>
      </c>
      <c r="F4198">
        <v>59275</v>
      </c>
    </row>
    <row r="4199" spans="1:6">
      <c r="A4199" t="s">
        <v>5243</v>
      </c>
      <c r="B4199">
        <v>467</v>
      </c>
      <c r="C4199" t="s">
        <v>1047</v>
      </c>
      <c r="D4199">
        <v>918684</v>
      </c>
      <c r="E4199">
        <v>123287</v>
      </c>
      <c r="F4199">
        <v>59275</v>
      </c>
    </row>
    <row r="4200" spans="1:6">
      <c r="A4200" t="s">
        <v>5244</v>
      </c>
      <c r="B4200">
        <v>467</v>
      </c>
      <c r="C4200" t="s">
        <v>1049</v>
      </c>
      <c r="D4200">
        <v>275606</v>
      </c>
      <c r="E4200">
        <v>123287</v>
      </c>
      <c r="F4200">
        <v>59275</v>
      </c>
    </row>
    <row r="4201" spans="1:6">
      <c r="A4201" t="s">
        <v>5245</v>
      </c>
      <c r="B4201">
        <v>467</v>
      </c>
      <c r="C4201" t="s">
        <v>745</v>
      </c>
      <c r="D4201">
        <v>7349472</v>
      </c>
      <c r="E4201">
        <v>123287</v>
      </c>
      <c r="F4201">
        <v>59275</v>
      </c>
    </row>
    <row r="4202" spans="1:6">
      <c r="A4202" t="s">
        <v>5246</v>
      </c>
      <c r="B4202">
        <v>467</v>
      </c>
      <c r="C4202" t="s">
        <v>1052</v>
      </c>
      <c r="D4202">
        <v>16536312</v>
      </c>
      <c r="E4202">
        <v>123287</v>
      </c>
      <c r="F4202">
        <v>59275</v>
      </c>
    </row>
    <row r="4203" spans="1:6">
      <c r="A4203" t="s">
        <v>5247</v>
      </c>
      <c r="B4203">
        <v>467</v>
      </c>
      <c r="C4203" t="s">
        <v>164</v>
      </c>
      <c r="D4203">
        <v>197957163</v>
      </c>
      <c r="E4203">
        <v>130393</v>
      </c>
      <c r="F4203">
        <v>59275</v>
      </c>
    </row>
    <row r="4204" spans="1:6">
      <c r="A4204" t="s">
        <v>5248</v>
      </c>
      <c r="B4204">
        <v>467</v>
      </c>
      <c r="C4204" t="s">
        <v>651</v>
      </c>
      <c r="D4204">
        <v>98978582</v>
      </c>
      <c r="E4204">
        <v>130393</v>
      </c>
      <c r="F4204">
        <v>59275</v>
      </c>
    </row>
    <row r="4205" spans="1:6">
      <c r="A4205" t="s">
        <v>5249</v>
      </c>
      <c r="B4205">
        <v>468</v>
      </c>
      <c r="C4205" t="s">
        <v>154</v>
      </c>
      <c r="D4205">
        <v>1850300</v>
      </c>
      <c r="E4205">
        <v>124006</v>
      </c>
      <c r="F4205">
        <v>59456</v>
      </c>
    </row>
    <row r="4206" spans="1:6">
      <c r="A4206" t="s">
        <v>5250</v>
      </c>
      <c r="B4206">
        <v>468</v>
      </c>
      <c r="C4206" t="s">
        <v>1043</v>
      </c>
      <c r="D4206">
        <v>5550900</v>
      </c>
      <c r="E4206">
        <v>124006</v>
      </c>
      <c r="F4206">
        <v>59456</v>
      </c>
    </row>
    <row r="4207" spans="1:6">
      <c r="A4207" t="s">
        <v>5251</v>
      </c>
      <c r="B4207">
        <v>468</v>
      </c>
      <c r="C4207" t="s">
        <v>1045</v>
      </c>
      <c r="D4207">
        <v>3330540</v>
      </c>
      <c r="E4207">
        <v>124006</v>
      </c>
      <c r="F4207">
        <v>59456</v>
      </c>
    </row>
    <row r="4208" spans="1:6">
      <c r="A4208" t="s">
        <v>5252</v>
      </c>
      <c r="B4208">
        <v>468</v>
      </c>
      <c r="C4208" t="s">
        <v>1047</v>
      </c>
      <c r="D4208">
        <v>925150</v>
      </c>
      <c r="E4208">
        <v>124006</v>
      </c>
      <c r="F4208">
        <v>59456</v>
      </c>
    </row>
    <row r="4209" spans="1:6">
      <c r="A4209" t="s">
        <v>5253</v>
      </c>
      <c r="B4209">
        <v>468</v>
      </c>
      <c r="C4209" t="s">
        <v>1049</v>
      </c>
      <c r="D4209">
        <v>277545</v>
      </c>
      <c r="E4209">
        <v>124006</v>
      </c>
      <c r="F4209">
        <v>59456</v>
      </c>
    </row>
    <row r="4210" spans="1:6">
      <c r="A4210" t="s">
        <v>5254</v>
      </c>
      <c r="B4210">
        <v>468</v>
      </c>
      <c r="C4210" t="s">
        <v>745</v>
      </c>
      <c r="D4210">
        <v>7401200</v>
      </c>
      <c r="E4210">
        <v>124006</v>
      </c>
      <c r="F4210">
        <v>59456</v>
      </c>
    </row>
    <row r="4211" spans="1:6">
      <c r="A4211" t="s">
        <v>5255</v>
      </c>
      <c r="B4211">
        <v>468</v>
      </c>
      <c r="C4211" t="s">
        <v>1052</v>
      </c>
      <c r="D4211">
        <v>16652700</v>
      </c>
      <c r="E4211">
        <v>124006</v>
      </c>
      <c r="F4211">
        <v>59456</v>
      </c>
    </row>
    <row r="4212" spans="1:6">
      <c r="A4212" t="s">
        <v>5256</v>
      </c>
      <c r="B4212">
        <v>468</v>
      </c>
      <c r="C4212" t="s">
        <v>164</v>
      </c>
      <c r="D4212">
        <v>199464723</v>
      </c>
      <c r="E4212">
        <v>131133</v>
      </c>
      <c r="F4212">
        <v>59456</v>
      </c>
    </row>
    <row r="4213" spans="1:6">
      <c r="A4213" t="s">
        <v>5257</v>
      </c>
      <c r="B4213">
        <v>468</v>
      </c>
      <c r="C4213" t="s">
        <v>651</v>
      </c>
      <c r="D4213">
        <v>99732362</v>
      </c>
      <c r="E4213">
        <v>131133</v>
      </c>
      <c r="F4213">
        <v>59456</v>
      </c>
    </row>
    <row r="4214" spans="1:6">
      <c r="A4214" t="s">
        <v>5258</v>
      </c>
      <c r="B4214">
        <v>469</v>
      </c>
      <c r="C4214" t="s">
        <v>154</v>
      </c>
      <c r="D4214">
        <v>1863305</v>
      </c>
      <c r="E4214">
        <v>124728</v>
      </c>
      <c r="F4214">
        <v>59636</v>
      </c>
    </row>
    <row r="4215" spans="1:6">
      <c r="A4215" t="s">
        <v>5259</v>
      </c>
      <c r="B4215">
        <v>469</v>
      </c>
      <c r="C4215" t="s">
        <v>1043</v>
      </c>
      <c r="D4215">
        <v>5589915</v>
      </c>
      <c r="E4215">
        <v>124728</v>
      </c>
      <c r="F4215">
        <v>59636</v>
      </c>
    </row>
    <row r="4216" spans="1:6">
      <c r="A4216" t="s">
        <v>5260</v>
      </c>
      <c r="B4216">
        <v>469</v>
      </c>
      <c r="C4216" t="s">
        <v>1045</v>
      </c>
      <c r="D4216">
        <v>3353949</v>
      </c>
      <c r="E4216">
        <v>124728</v>
      </c>
      <c r="F4216">
        <v>59636</v>
      </c>
    </row>
    <row r="4217" spans="1:6">
      <c r="A4217" t="s">
        <v>5261</v>
      </c>
      <c r="B4217">
        <v>469</v>
      </c>
      <c r="C4217" t="s">
        <v>1047</v>
      </c>
      <c r="D4217">
        <v>931653</v>
      </c>
      <c r="E4217">
        <v>124728</v>
      </c>
      <c r="F4217">
        <v>59636</v>
      </c>
    </row>
    <row r="4218" spans="1:6">
      <c r="A4218" t="s">
        <v>5262</v>
      </c>
      <c r="B4218">
        <v>469</v>
      </c>
      <c r="C4218" t="s">
        <v>1049</v>
      </c>
      <c r="D4218">
        <v>279496</v>
      </c>
      <c r="E4218">
        <v>124728</v>
      </c>
      <c r="F4218">
        <v>59636</v>
      </c>
    </row>
    <row r="4219" spans="1:6">
      <c r="A4219" t="s">
        <v>5263</v>
      </c>
      <c r="B4219">
        <v>469</v>
      </c>
      <c r="C4219" t="s">
        <v>745</v>
      </c>
      <c r="D4219">
        <v>7453220</v>
      </c>
      <c r="E4219">
        <v>124728</v>
      </c>
      <c r="F4219">
        <v>59636</v>
      </c>
    </row>
    <row r="4220" spans="1:6">
      <c r="A4220" t="s">
        <v>5264</v>
      </c>
      <c r="B4220">
        <v>469</v>
      </c>
      <c r="C4220" t="s">
        <v>1052</v>
      </c>
      <c r="D4220">
        <v>16769745</v>
      </c>
      <c r="E4220">
        <v>124728</v>
      </c>
      <c r="F4220">
        <v>59636</v>
      </c>
    </row>
    <row r="4221" spans="1:6">
      <c r="A4221" t="s">
        <v>5265</v>
      </c>
      <c r="B4221">
        <v>469</v>
      </c>
      <c r="C4221" t="s">
        <v>164</v>
      </c>
      <c r="D4221">
        <v>200981718</v>
      </c>
      <c r="E4221">
        <v>131877</v>
      </c>
      <c r="F4221">
        <v>59636</v>
      </c>
    </row>
    <row r="4222" spans="1:6">
      <c r="A4222" t="s">
        <v>5266</v>
      </c>
      <c r="B4222">
        <v>469</v>
      </c>
      <c r="C4222" t="s">
        <v>651</v>
      </c>
      <c r="D4222">
        <v>100490859</v>
      </c>
      <c r="E4222">
        <v>131877</v>
      </c>
      <c r="F4222">
        <v>59636</v>
      </c>
    </row>
    <row r="4223" spans="1:6">
      <c r="A4223" t="s">
        <v>5267</v>
      </c>
      <c r="B4223">
        <v>470</v>
      </c>
      <c r="C4223" t="s">
        <v>154</v>
      </c>
      <c r="D4223">
        <v>1876383</v>
      </c>
      <c r="E4223">
        <v>125453</v>
      </c>
      <c r="F4223">
        <v>59816</v>
      </c>
    </row>
    <row r="4224" spans="1:6">
      <c r="A4224" t="s">
        <v>5268</v>
      </c>
      <c r="B4224">
        <v>470</v>
      </c>
      <c r="C4224" t="s">
        <v>1043</v>
      </c>
      <c r="D4224">
        <v>5629149</v>
      </c>
      <c r="E4224">
        <v>125453</v>
      </c>
      <c r="F4224">
        <v>59816</v>
      </c>
    </row>
    <row r="4225" spans="1:6">
      <c r="A4225" t="s">
        <v>5269</v>
      </c>
      <c r="B4225">
        <v>470</v>
      </c>
      <c r="C4225" t="s">
        <v>1045</v>
      </c>
      <c r="D4225">
        <v>3377490</v>
      </c>
      <c r="E4225">
        <v>125453</v>
      </c>
      <c r="F4225">
        <v>59816</v>
      </c>
    </row>
    <row r="4226" spans="1:6">
      <c r="A4226" t="s">
        <v>5270</v>
      </c>
      <c r="B4226">
        <v>470</v>
      </c>
      <c r="C4226" t="s">
        <v>1047</v>
      </c>
      <c r="D4226">
        <v>938192</v>
      </c>
      <c r="E4226">
        <v>125453</v>
      </c>
      <c r="F4226">
        <v>59816</v>
      </c>
    </row>
    <row r="4227" spans="1:6">
      <c r="A4227" t="s">
        <v>5271</v>
      </c>
      <c r="B4227">
        <v>470</v>
      </c>
      <c r="C4227" t="s">
        <v>1049</v>
      </c>
      <c r="D4227">
        <v>281458</v>
      </c>
      <c r="E4227">
        <v>125453</v>
      </c>
      <c r="F4227">
        <v>59816</v>
      </c>
    </row>
    <row r="4228" spans="1:6">
      <c r="A4228" t="s">
        <v>5272</v>
      </c>
      <c r="B4228">
        <v>470</v>
      </c>
      <c r="C4228" t="s">
        <v>745</v>
      </c>
      <c r="D4228">
        <v>7505532</v>
      </c>
      <c r="E4228">
        <v>125453</v>
      </c>
      <c r="F4228">
        <v>59816</v>
      </c>
    </row>
    <row r="4229" spans="1:6">
      <c r="A4229" t="s">
        <v>5273</v>
      </c>
      <c r="B4229">
        <v>470</v>
      </c>
      <c r="C4229" t="s">
        <v>1052</v>
      </c>
      <c r="D4229">
        <v>16887447</v>
      </c>
      <c r="E4229">
        <v>125453</v>
      </c>
      <c r="F4229">
        <v>59816</v>
      </c>
    </row>
    <row r="4230" spans="1:6">
      <c r="A4230" t="s">
        <v>5274</v>
      </c>
      <c r="B4230">
        <v>470</v>
      </c>
      <c r="C4230" t="s">
        <v>164</v>
      </c>
      <c r="D4230">
        <v>202508301</v>
      </c>
      <c r="E4230">
        <v>132624</v>
      </c>
      <c r="F4230">
        <v>59816</v>
      </c>
    </row>
    <row r="4231" spans="1:6">
      <c r="A4231" t="s">
        <v>5275</v>
      </c>
      <c r="B4231">
        <v>470</v>
      </c>
      <c r="C4231" t="s">
        <v>651</v>
      </c>
      <c r="D4231">
        <v>101254151</v>
      </c>
      <c r="E4231">
        <v>132624</v>
      </c>
      <c r="F4231">
        <v>59816</v>
      </c>
    </row>
    <row r="4232" spans="1:6">
      <c r="A4232" t="s">
        <v>5276</v>
      </c>
      <c r="B4232">
        <v>471</v>
      </c>
      <c r="C4232" t="s">
        <v>154</v>
      </c>
      <c r="D4232">
        <v>1889536</v>
      </c>
      <c r="E4232">
        <v>126183</v>
      </c>
      <c r="F4232">
        <v>59997</v>
      </c>
    </row>
    <row r="4233" spans="1:6">
      <c r="A4233" t="s">
        <v>5277</v>
      </c>
      <c r="B4233">
        <v>471</v>
      </c>
      <c r="C4233" t="s">
        <v>1043</v>
      </c>
      <c r="D4233">
        <v>5668608</v>
      </c>
      <c r="E4233">
        <v>126183</v>
      </c>
      <c r="F4233">
        <v>59997</v>
      </c>
    </row>
    <row r="4234" spans="1:6">
      <c r="A4234" t="s">
        <v>5278</v>
      </c>
      <c r="B4234">
        <v>471</v>
      </c>
      <c r="C4234" t="s">
        <v>1045</v>
      </c>
      <c r="D4234">
        <v>3401165</v>
      </c>
      <c r="E4234">
        <v>126183</v>
      </c>
      <c r="F4234">
        <v>59997</v>
      </c>
    </row>
    <row r="4235" spans="1:6">
      <c r="A4235" t="s">
        <v>5279</v>
      </c>
      <c r="B4235">
        <v>471</v>
      </c>
      <c r="C4235" t="s">
        <v>1047</v>
      </c>
      <c r="D4235">
        <v>944768</v>
      </c>
      <c r="E4235">
        <v>126183</v>
      </c>
      <c r="F4235">
        <v>59997</v>
      </c>
    </row>
    <row r="4236" spans="1:6">
      <c r="A4236" t="s">
        <v>5280</v>
      </c>
      <c r="B4236">
        <v>471</v>
      </c>
      <c r="C4236" t="s">
        <v>1049</v>
      </c>
      <c r="D4236">
        <v>283431</v>
      </c>
      <c r="E4236">
        <v>126183</v>
      </c>
      <c r="F4236">
        <v>59997</v>
      </c>
    </row>
    <row r="4237" spans="1:6">
      <c r="A4237" t="s">
        <v>5281</v>
      </c>
      <c r="B4237">
        <v>471</v>
      </c>
      <c r="C4237" t="s">
        <v>745</v>
      </c>
      <c r="D4237">
        <v>7558144</v>
      </c>
      <c r="E4237">
        <v>126183</v>
      </c>
      <c r="F4237">
        <v>59997</v>
      </c>
    </row>
    <row r="4238" spans="1:6">
      <c r="A4238" t="s">
        <v>5282</v>
      </c>
      <c r="B4238">
        <v>471</v>
      </c>
      <c r="C4238" t="s">
        <v>1052</v>
      </c>
      <c r="D4238">
        <v>17005824</v>
      </c>
      <c r="E4238">
        <v>126183</v>
      </c>
      <c r="F4238">
        <v>59997</v>
      </c>
    </row>
    <row r="4239" spans="1:6">
      <c r="A4239" t="s">
        <v>5283</v>
      </c>
      <c r="B4239">
        <v>471</v>
      </c>
      <c r="C4239" t="s">
        <v>164</v>
      </c>
      <c r="D4239">
        <v>204044421</v>
      </c>
      <c r="E4239">
        <v>133375</v>
      </c>
      <c r="F4239">
        <v>59997</v>
      </c>
    </row>
    <row r="4240" spans="1:6">
      <c r="A4240" t="s">
        <v>5284</v>
      </c>
      <c r="B4240">
        <v>471</v>
      </c>
      <c r="C4240" t="s">
        <v>651</v>
      </c>
      <c r="D4240">
        <v>102022211</v>
      </c>
      <c r="E4240">
        <v>133375</v>
      </c>
      <c r="F4240">
        <v>59997</v>
      </c>
    </row>
    <row r="4241" spans="1:6">
      <c r="A4241" t="s">
        <v>5285</v>
      </c>
      <c r="B4241">
        <v>472</v>
      </c>
      <c r="C4241" t="s">
        <v>154</v>
      </c>
      <c r="D4241">
        <v>1902763</v>
      </c>
      <c r="E4241">
        <v>126916</v>
      </c>
      <c r="F4241">
        <v>60178</v>
      </c>
    </row>
    <row r="4242" spans="1:6">
      <c r="A4242" t="s">
        <v>5286</v>
      </c>
      <c r="B4242">
        <v>472</v>
      </c>
      <c r="C4242" t="s">
        <v>1043</v>
      </c>
      <c r="D4242">
        <v>5708289</v>
      </c>
      <c r="E4242">
        <v>126916</v>
      </c>
      <c r="F4242">
        <v>60178</v>
      </c>
    </row>
    <row r="4243" spans="1:6">
      <c r="A4243" t="s">
        <v>5287</v>
      </c>
      <c r="B4243">
        <v>472</v>
      </c>
      <c r="C4243" t="s">
        <v>1045</v>
      </c>
      <c r="D4243">
        <v>3424974</v>
      </c>
      <c r="E4243">
        <v>126916</v>
      </c>
      <c r="F4243">
        <v>60178</v>
      </c>
    </row>
    <row r="4244" spans="1:6">
      <c r="A4244" t="s">
        <v>5288</v>
      </c>
      <c r="B4244">
        <v>472</v>
      </c>
      <c r="C4244" t="s">
        <v>1047</v>
      </c>
      <c r="D4244">
        <v>951382</v>
      </c>
      <c r="E4244">
        <v>126916</v>
      </c>
      <c r="F4244">
        <v>60178</v>
      </c>
    </row>
    <row r="4245" spans="1:6">
      <c r="A4245" t="s">
        <v>5289</v>
      </c>
      <c r="B4245">
        <v>472</v>
      </c>
      <c r="C4245" t="s">
        <v>1049</v>
      </c>
      <c r="D4245">
        <v>285415</v>
      </c>
      <c r="E4245">
        <v>126916</v>
      </c>
      <c r="F4245">
        <v>60178</v>
      </c>
    </row>
    <row r="4246" spans="1:6">
      <c r="A4246" t="s">
        <v>5290</v>
      </c>
      <c r="B4246">
        <v>472</v>
      </c>
      <c r="C4246" t="s">
        <v>745</v>
      </c>
      <c r="D4246">
        <v>7611052</v>
      </c>
      <c r="E4246">
        <v>126916</v>
      </c>
      <c r="F4246">
        <v>60178</v>
      </c>
    </row>
    <row r="4247" spans="1:6">
      <c r="A4247" t="s">
        <v>5291</v>
      </c>
      <c r="B4247">
        <v>472</v>
      </c>
      <c r="C4247" t="s">
        <v>1052</v>
      </c>
      <c r="D4247">
        <v>17124867</v>
      </c>
      <c r="E4247">
        <v>126916</v>
      </c>
      <c r="F4247">
        <v>60178</v>
      </c>
    </row>
    <row r="4248" spans="1:6">
      <c r="A4248" t="s">
        <v>5292</v>
      </c>
      <c r="B4248">
        <v>472</v>
      </c>
      <c r="C4248" t="s">
        <v>164</v>
      </c>
      <c r="D4248">
        <v>205590231</v>
      </c>
      <c r="E4248">
        <v>134130</v>
      </c>
      <c r="F4248">
        <v>60178</v>
      </c>
    </row>
    <row r="4249" spans="1:6">
      <c r="A4249" t="s">
        <v>5293</v>
      </c>
      <c r="B4249">
        <v>472</v>
      </c>
      <c r="C4249" t="s">
        <v>651</v>
      </c>
      <c r="D4249">
        <v>102795116</v>
      </c>
      <c r="E4249">
        <v>134130</v>
      </c>
      <c r="F4249">
        <v>60178</v>
      </c>
    </row>
    <row r="4250" spans="1:6">
      <c r="A4250" t="s">
        <v>5294</v>
      </c>
      <c r="B4250">
        <v>473</v>
      </c>
      <c r="C4250" t="s">
        <v>154</v>
      </c>
      <c r="D4250">
        <v>1916065</v>
      </c>
      <c r="E4250">
        <v>127652</v>
      </c>
      <c r="F4250">
        <v>60360</v>
      </c>
    </row>
    <row r="4251" spans="1:6">
      <c r="A4251" t="s">
        <v>5295</v>
      </c>
      <c r="B4251">
        <v>473</v>
      </c>
      <c r="C4251" t="s">
        <v>1043</v>
      </c>
      <c r="D4251">
        <v>5748195</v>
      </c>
      <c r="E4251">
        <v>127652</v>
      </c>
      <c r="F4251">
        <v>60360</v>
      </c>
    </row>
    <row r="4252" spans="1:6">
      <c r="A4252" t="s">
        <v>5296</v>
      </c>
      <c r="B4252">
        <v>473</v>
      </c>
      <c r="C4252" t="s">
        <v>1045</v>
      </c>
      <c r="D4252">
        <v>3448917</v>
      </c>
      <c r="E4252">
        <v>127652</v>
      </c>
      <c r="F4252">
        <v>60360</v>
      </c>
    </row>
    <row r="4253" spans="1:6">
      <c r="A4253" t="s">
        <v>5297</v>
      </c>
      <c r="B4253">
        <v>473</v>
      </c>
      <c r="C4253" t="s">
        <v>1047</v>
      </c>
      <c r="D4253">
        <v>958033</v>
      </c>
      <c r="E4253">
        <v>127652</v>
      </c>
      <c r="F4253">
        <v>60360</v>
      </c>
    </row>
    <row r="4254" spans="1:6">
      <c r="A4254" t="s">
        <v>5298</v>
      </c>
      <c r="B4254">
        <v>473</v>
      </c>
      <c r="C4254" t="s">
        <v>1049</v>
      </c>
      <c r="D4254">
        <v>287410</v>
      </c>
      <c r="E4254">
        <v>127652</v>
      </c>
      <c r="F4254">
        <v>60360</v>
      </c>
    </row>
    <row r="4255" spans="1:6">
      <c r="A4255" t="s">
        <v>5299</v>
      </c>
      <c r="B4255">
        <v>473</v>
      </c>
      <c r="C4255" t="s">
        <v>745</v>
      </c>
      <c r="D4255">
        <v>7664260</v>
      </c>
      <c r="E4255">
        <v>127652</v>
      </c>
      <c r="F4255">
        <v>60360</v>
      </c>
    </row>
    <row r="4256" spans="1:6">
      <c r="A4256" t="s">
        <v>5300</v>
      </c>
      <c r="B4256">
        <v>473</v>
      </c>
      <c r="C4256" t="s">
        <v>1052</v>
      </c>
      <c r="D4256">
        <v>17244585</v>
      </c>
      <c r="E4256">
        <v>127652</v>
      </c>
      <c r="F4256">
        <v>60360</v>
      </c>
    </row>
    <row r="4257" spans="1:6">
      <c r="A4257" t="s">
        <v>5301</v>
      </c>
      <c r="B4257">
        <v>473</v>
      </c>
      <c r="C4257" t="s">
        <v>164</v>
      </c>
      <c r="D4257">
        <v>207145731</v>
      </c>
      <c r="E4257">
        <v>134888</v>
      </c>
      <c r="F4257">
        <v>60360</v>
      </c>
    </row>
    <row r="4258" spans="1:6">
      <c r="A4258" t="s">
        <v>5302</v>
      </c>
      <c r="B4258">
        <v>473</v>
      </c>
      <c r="C4258" t="s">
        <v>651</v>
      </c>
      <c r="D4258">
        <v>103572866</v>
      </c>
      <c r="E4258">
        <v>134888</v>
      </c>
      <c r="F4258">
        <v>60360</v>
      </c>
    </row>
    <row r="4259" spans="1:6">
      <c r="A4259" t="s">
        <v>5303</v>
      </c>
      <c r="B4259">
        <v>474</v>
      </c>
      <c r="C4259" t="s">
        <v>154</v>
      </c>
      <c r="D4259">
        <v>1929442</v>
      </c>
      <c r="E4259">
        <v>128392</v>
      </c>
      <c r="F4259">
        <v>60541</v>
      </c>
    </row>
    <row r="4260" spans="1:6">
      <c r="A4260" t="s">
        <v>5304</v>
      </c>
      <c r="B4260">
        <v>474</v>
      </c>
      <c r="C4260" t="s">
        <v>1043</v>
      </c>
      <c r="D4260">
        <v>5788326</v>
      </c>
      <c r="E4260">
        <v>128392</v>
      </c>
      <c r="F4260">
        <v>60541</v>
      </c>
    </row>
    <row r="4261" spans="1:6">
      <c r="A4261" t="s">
        <v>5305</v>
      </c>
      <c r="B4261">
        <v>474</v>
      </c>
      <c r="C4261" t="s">
        <v>1045</v>
      </c>
      <c r="D4261">
        <v>3472996</v>
      </c>
      <c r="E4261">
        <v>128392</v>
      </c>
      <c r="F4261">
        <v>60541</v>
      </c>
    </row>
    <row r="4262" spans="1:6">
      <c r="A4262" t="s">
        <v>5306</v>
      </c>
      <c r="B4262">
        <v>474</v>
      </c>
      <c r="C4262" t="s">
        <v>1047</v>
      </c>
      <c r="D4262">
        <v>964721</v>
      </c>
      <c r="E4262">
        <v>128392</v>
      </c>
      <c r="F4262">
        <v>60541</v>
      </c>
    </row>
    <row r="4263" spans="1:6">
      <c r="A4263" t="s">
        <v>5307</v>
      </c>
      <c r="B4263">
        <v>474</v>
      </c>
      <c r="C4263" t="s">
        <v>1049</v>
      </c>
      <c r="D4263">
        <v>289417</v>
      </c>
      <c r="E4263">
        <v>128392</v>
      </c>
      <c r="F4263">
        <v>60541</v>
      </c>
    </row>
    <row r="4264" spans="1:6">
      <c r="A4264" t="s">
        <v>5308</v>
      </c>
      <c r="B4264">
        <v>474</v>
      </c>
      <c r="C4264" t="s">
        <v>745</v>
      </c>
      <c r="D4264">
        <v>7717768</v>
      </c>
      <c r="E4264">
        <v>128392</v>
      </c>
      <c r="F4264">
        <v>60541</v>
      </c>
    </row>
    <row r="4265" spans="1:6">
      <c r="A4265" t="s">
        <v>5309</v>
      </c>
      <c r="B4265">
        <v>474</v>
      </c>
      <c r="C4265" t="s">
        <v>1052</v>
      </c>
      <c r="D4265">
        <v>17364978</v>
      </c>
      <c r="E4265">
        <v>128392</v>
      </c>
      <c r="F4265">
        <v>60541</v>
      </c>
    </row>
    <row r="4266" spans="1:6">
      <c r="A4266" t="s">
        <v>5310</v>
      </c>
      <c r="B4266">
        <v>474</v>
      </c>
      <c r="C4266" t="s">
        <v>164</v>
      </c>
      <c r="D4266">
        <v>208710972</v>
      </c>
      <c r="E4266">
        <v>135650</v>
      </c>
      <c r="F4266">
        <v>60541</v>
      </c>
    </row>
    <row r="4267" spans="1:6">
      <c r="A4267" t="s">
        <v>5311</v>
      </c>
      <c r="B4267">
        <v>474</v>
      </c>
      <c r="C4267" t="s">
        <v>651</v>
      </c>
      <c r="D4267">
        <v>104355486</v>
      </c>
      <c r="E4267">
        <v>135650</v>
      </c>
      <c r="F4267">
        <v>60541</v>
      </c>
    </row>
    <row r="4268" spans="1:6">
      <c r="A4268" t="s">
        <v>5312</v>
      </c>
      <c r="B4268">
        <v>475</v>
      </c>
      <c r="C4268" t="s">
        <v>154</v>
      </c>
      <c r="D4268">
        <v>1942894</v>
      </c>
      <c r="E4268">
        <v>129135</v>
      </c>
      <c r="F4268">
        <v>60723</v>
      </c>
    </row>
    <row r="4269" spans="1:6">
      <c r="A4269" t="s">
        <v>5313</v>
      </c>
      <c r="B4269">
        <v>475</v>
      </c>
      <c r="C4269" t="s">
        <v>1043</v>
      </c>
      <c r="D4269">
        <v>5828682</v>
      </c>
      <c r="E4269">
        <v>129135</v>
      </c>
      <c r="F4269">
        <v>60723</v>
      </c>
    </row>
    <row r="4270" spans="1:6">
      <c r="A4270" t="s">
        <v>5314</v>
      </c>
      <c r="B4270">
        <v>475</v>
      </c>
      <c r="C4270" t="s">
        <v>1045</v>
      </c>
      <c r="D4270">
        <v>3497210</v>
      </c>
      <c r="E4270">
        <v>129135</v>
      </c>
      <c r="F4270">
        <v>60723</v>
      </c>
    </row>
    <row r="4271" spans="1:6">
      <c r="A4271" t="s">
        <v>5315</v>
      </c>
      <c r="B4271">
        <v>475</v>
      </c>
      <c r="C4271" t="s">
        <v>1047</v>
      </c>
      <c r="D4271">
        <v>971447</v>
      </c>
      <c r="E4271">
        <v>129135</v>
      </c>
      <c r="F4271">
        <v>60723</v>
      </c>
    </row>
    <row r="4272" spans="1:6">
      <c r="A4272" t="s">
        <v>5316</v>
      </c>
      <c r="B4272">
        <v>475</v>
      </c>
      <c r="C4272" t="s">
        <v>1049</v>
      </c>
      <c r="D4272">
        <v>291435</v>
      </c>
      <c r="E4272">
        <v>129135</v>
      </c>
      <c r="F4272">
        <v>60723</v>
      </c>
    </row>
    <row r="4273" spans="1:6">
      <c r="A4273" t="s">
        <v>5317</v>
      </c>
      <c r="B4273">
        <v>475</v>
      </c>
      <c r="C4273" t="s">
        <v>745</v>
      </c>
      <c r="D4273">
        <v>7771576</v>
      </c>
      <c r="E4273">
        <v>129135</v>
      </c>
      <c r="F4273">
        <v>60723</v>
      </c>
    </row>
    <row r="4274" spans="1:6">
      <c r="A4274" t="s">
        <v>5318</v>
      </c>
      <c r="B4274">
        <v>475</v>
      </c>
      <c r="C4274" t="s">
        <v>1052</v>
      </c>
      <c r="D4274">
        <v>17486046</v>
      </c>
      <c r="E4274">
        <v>129135</v>
      </c>
      <c r="F4274">
        <v>60723</v>
      </c>
    </row>
    <row r="4275" spans="1:6">
      <c r="A4275" t="s">
        <v>5319</v>
      </c>
      <c r="B4275">
        <v>475</v>
      </c>
      <c r="C4275" t="s">
        <v>164</v>
      </c>
      <c r="D4275">
        <v>210285954</v>
      </c>
      <c r="E4275">
        <v>136415</v>
      </c>
      <c r="F4275">
        <v>60723</v>
      </c>
    </row>
    <row r="4276" spans="1:6">
      <c r="A4276" t="s">
        <v>5320</v>
      </c>
      <c r="B4276">
        <v>475</v>
      </c>
      <c r="C4276" t="s">
        <v>651</v>
      </c>
      <c r="D4276">
        <v>105142977</v>
      </c>
      <c r="E4276">
        <v>136415</v>
      </c>
      <c r="F4276">
        <v>60723</v>
      </c>
    </row>
    <row r="4277" spans="1:6">
      <c r="A4277" t="s">
        <v>5321</v>
      </c>
      <c r="B4277">
        <v>476</v>
      </c>
      <c r="C4277" t="s">
        <v>154</v>
      </c>
      <c r="D4277">
        <v>1956423</v>
      </c>
      <c r="E4277">
        <v>129883</v>
      </c>
      <c r="F4277">
        <v>60905</v>
      </c>
    </row>
    <row r="4278" spans="1:6">
      <c r="A4278" t="s">
        <v>5322</v>
      </c>
      <c r="B4278">
        <v>476</v>
      </c>
      <c r="C4278" t="s">
        <v>1043</v>
      </c>
      <c r="D4278">
        <v>5869269</v>
      </c>
      <c r="E4278">
        <v>129883</v>
      </c>
      <c r="F4278">
        <v>60905</v>
      </c>
    </row>
    <row r="4279" spans="1:6">
      <c r="A4279" t="s">
        <v>5323</v>
      </c>
      <c r="B4279">
        <v>476</v>
      </c>
      <c r="C4279" t="s">
        <v>1045</v>
      </c>
      <c r="D4279">
        <v>3521562</v>
      </c>
      <c r="E4279">
        <v>129883</v>
      </c>
      <c r="F4279">
        <v>60905</v>
      </c>
    </row>
    <row r="4280" spans="1:6">
      <c r="A4280" t="s">
        <v>5324</v>
      </c>
      <c r="B4280">
        <v>476</v>
      </c>
      <c r="C4280" t="s">
        <v>1047</v>
      </c>
      <c r="D4280">
        <v>978212</v>
      </c>
      <c r="E4280">
        <v>129883</v>
      </c>
      <c r="F4280">
        <v>60905</v>
      </c>
    </row>
    <row r="4281" spans="1:6">
      <c r="A4281" t="s">
        <v>5325</v>
      </c>
      <c r="B4281">
        <v>476</v>
      </c>
      <c r="C4281" t="s">
        <v>1049</v>
      </c>
      <c r="D4281">
        <v>293464</v>
      </c>
      <c r="E4281">
        <v>129883</v>
      </c>
      <c r="F4281">
        <v>60905</v>
      </c>
    </row>
    <row r="4282" spans="1:6">
      <c r="A4282" t="s">
        <v>5326</v>
      </c>
      <c r="B4282">
        <v>476</v>
      </c>
      <c r="C4282" t="s">
        <v>745</v>
      </c>
      <c r="D4282">
        <v>7825692</v>
      </c>
      <c r="E4282">
        <v>129883</v>
      </c>
      <c r="F4282">
        <v>60905</v>
      </c>
    </row>
    <row r="4283" spans="1:6">
      <c r="A4283" t="s">
        <v>5327</v>
      </c>
      <c r="B4283">
        <v>476</v>
      </c>
      <c r="C4283" t="s">
        <v>1052</v>
      </c>
      <c r="D4283">
        <v>17607807</v>
      </c>
      <c r="E4283">
        <v>129883</v>
      </c>
      <c r="F4283">
        <v>60905</v>
      </c>
    </row>
    <row r="4284" spans="1:6">
      <c r="A4284" t="s">
        <v>5328</v>
      </c>
      <c r="B4284">
        <v>476</v>
      </c>
      <c r="C4284" t="s">
        <v>164</v>
      </c>
      <c r="D4284">
        <v>211870830</v>
      </c>
      <c r="E4284">
        <v>137185</v>
      </c>
      <c r="F4284">
        <v>60905</v>
      </c>
    </row>
    <row r="4285" spans="1:6">
      <c r="A4285" t="s">
        <v>5329</v>
      </c>
      <c r="B4285">
        <v>476</v>
      </c>
      <c r="C4285" t="s">
        <v>651</v>
      </c>
      <c r="D4285">
        <v>105935415</v>
      </c>
      <c r="E4285">
        <v>137185</v>
      </c>
      <c r="F4285">
        <v>60905</v>
      </c>
    </row>
    <row r="4286" spans="1:6">
      <c r="A4286" t="s">
        <v>5330</v>
      </c>
      <c r="B4286">
        <v>477</v>
      </c>
      <c r="C4286" t="s">
        <v>154</v>
      </c>
      <c r="D4286">
        <v>1970027</v>
      </c>
      <c r="E4286">
        <v>130634</v>
      </c>
      <c r="F4286">
        <v>61087</v>
      </c>
    </row>
    <row r="4287" spans="1:6">
      <c r="A4287" t="s">
        <v>5331</v>
      </c>
      <c r="B4287">
        <v>477</v>
      </c>
      <c r="C4287" t="s">
        <v>1043</v>
      </c>
      <c r="D4287">
        <v>5910081</v>
      </c>
      <c r="E4287">
        <v>130634</v>
      </c>
      <c r="F4287">
        <v>61087</v>
      </c>
    </row>
    <row r="4288" spans="1:6">
      <c r="A4288" t="s">
        <v>5332</v>
      </c>
      <c r="B4288">
        <v>477</v>
      </c>
      <c r="C4288" t="s">
        <v>1045</v>
      </c>
      <c r="D4288">
        <v>3546049</v>
      </c>
      <c r="E4288">
        <v>130634</v>
      </c>
      <c r="F4288">
        <v>61087</v>
      </c>
    </row>
    <row r="4289" spans="1:6">
      <c r="A4289" t="s">
        <v>5333</v>
      </c>
      <c r="B4289">
        <v>477</v>
      </c>
      <c r="C4289" t="s">
        <v>1047</v>
      </c>
      <c r="D4289">
        <v>985014</v>
      </c>
      <c r="E4289">
        <v>130634</v>
      </c>
      <c r="F4289">
        <v>61087</v>
      </c>
    </row>
    <row r="4290" spans="1:6">
      <c r="A4290" t="s">
        <v>5334</v>
      </c>
      <c r="B4290">
        <v>477</v>
      </c>
      <c r="C4290" t="s">
        <v>1049</v>
      </c>
      <c r="D4290">
        <v>295505</v>
      </c>
      <c r="E4290">
        <v>130634</v>
      </c>
      <c r="F4290">
        <v>61087</v>
      </c>
    </row>
    <row r="4291" spans="1:6">
      <c r="A4291" t="s">
        <v>5335</v>
      </c>
      <c r="B4291">
        <v>477</v>
      </c>
      <c r="C4291" t="s">
        <v>745</v>
      </c>
      <c r="D4291">
        <v>7880108</v>
      </c>
      <c r="E4291">
        <v>130634</v>
      </c>
      <c r="F4291">
        <v>61087</v>
      </c>
    </row>
    <row r="4292" spans="1:6">
      <c r="A4292" t="s">
        <v>5336</v>
      </c>
      <c r="B4292">
        <v>477</v>
      </c>
      <c r="C4292" t="s">
        <v>1052</v>
      </c>
      <c r="D4292">
        <v>17730243</v>
      </c>
      <c r="E4292">
        <v>130634</v>
      </c>
      <c r="F4292">
        <v>61087</v>
      </c>
    </row>
    <row r="4293" spans="1:6">
      <c r="A4293" t="s">
        <v>5337</v>
      </c>
      <c r="B4293">
        <v>477</v>
      </c>
      <c r="C4293" t="s">
        <v>164</v>
      </c>
      <c r="D4293">
        <v>213465600</v>
      </c>
      <c r="E4293">
        <v>137958</v>
      </c>
      <c r="F4293">
        <v>61087</v>
      </c>
    </row>
    <row r="4294" spans="1:6">
      <c r="A4294" t="s">
        <v>5338</v>
      </c>
      <c r="B4294">
        <v>477</v>
      </c>
      <c r="C4294" t="s">
        <v>651</v>
      </c>
      <c r="D4294">
        <v>106732800</v>
      </c>
      <c r="E4294">
        <v>137958</v>
      </c>
      <c r="F4294">
        <v>61087</v>
      </c>
    </row>
    <row r="4295" spans="1:6">
      <c r="A4295" t="s">
        <v>5339</v>
      </c>
      <c r="B4295">
        <v>478</v>
      </c>
      <c r="C4295" t="s">
        <v>154</v>
      </c>
      <c r="D4295">
        <v>1983708</v>
      </c>
      <c r="E4295">
        <v>131389</v>
      </c>
      <c r="F4295">
        <v>61269</v>
      </c>
    </row>
    <row r="4296" spans="1:6">
      <c r="A4296" t="s">
        <v>5340</v>
      </c>
      <c r="B4296">
        <v>478</v>
      </c>
      <c r="C4296" t="s">
        <v>1043</v>
      </c>
      <c r="D4296">
        <v>5951124</v>
      </c>
      <c r="E4296">
        <v>131389</v>
      </c>
      <c r="F4296">
        <v>61269</v>
      </c>
    </row>
    <row r="4297" spans="1:6">
      <c r="A4297" t="s">
        <v>5341</v>
      </c>
      <c r="B4297">
        <v>478</v>
      </c>
      <c r="C4297" t="s">
        <v>1045</v>
      </c>
      <c r="D4297">
        <v>3570675</v>
      </c>
      <c r="E4297">
        <v>131389</v>
      </c>
      <c r="F4297">
        <v>61269</v>
      </c>
    </row>
    <row r="4298" spans="1:6">
      <c r="A4298" t="s">
        <v>5342</v>
      </c>
      <c r="B4298">
        <v>478</v>
      </c>
      <c r="C4298" t="s">
        <v>1047</v>
      </c>
      <c r="D4298">
        <v>991854</v>
      </c>
      <c r="E4298">
        <v>131389</v>
      </c>
      <c r="F4298">
        <v>61269</v>
      </c>
    </row>
    <row r="4299" spans="1:6">
      <c r="A4299" t="s">
        <v>5343</v>
      </c>
      <c r="B4299">
        <v>478</v>
      </c>
      <c r="C4299" t="s">
        <v>1049</v>
      </c>
      <c r="D4299">
        <v>297557</v>
      </c>
      <c r="E4299">
        <v>131389</v>
      </c>
      <c r="F4299">
        <v>61269</v>
      </c>
    </row>
    <row r="4300" spans="1:6">
      <c r="A4300" t="s">
        <v>5344</v>
      </c>
      <c r="B4300">
        <v>478</v>
      </c>
      <c r="C4300" t="s">
        <v>745</v>
      </c>
      <c r="D4300">
        <v>7934832</v>
      </c>
      <c r="E4300">
        <v>131389</v>
      </c>
      <c r="F4300">
        <v>61269</v>
      </c>
    </row>
    <row r="4301" spans="1:6">
      <c r="A4301" t="s">
        <v>5345</v>
      </c>
      <c r="B4301">
        <v>478</v>
      </c>
      <c r="C4301" t="s">
        <v>1052</v>
      </c>
      <c r="D4301">
        <v>17853372</v>
      </c>
      <c r="E4301">
        <v>131389</v>
      </c>
      <c r="F4301">
        <v>61269</v>
      </c>
    </row>
    <row r="4302" spans="1:6">
      <c r="A4302" t="s">
        <v>5346</v>
      </c>
      <c r="B4302">
        <v>478</v>
      </c>
      <c r="C4302" t="s">
        <v>164</v>
      </c>
      <c r="D4302">
        <v>215070315</v>
      </c>
      <c r="E4302">
        <v>138735</v>
      </c>
      <c r="F4302">
        <v>61269</v>
      </c>
    </row>
    <row r="4303" spans="1:6">
      <c r="A4303" t="s">
        <v>5347</v>
      </c>
      <c r="B4303">
        <v>478</v>
      </c>
      <c r="C4303" t="s">
        <v>651</v>
      </c>
      <c r="D4303">
        <v>107535158</v>
      </c>
      <c r="E4303">
        <v>138735</v>
      </c>
      <c r="F4303">
        <v>61269</v>
      </c>
    </row>
    <row r="4304" spans="1:6">
      <c r="A4304" t="s">
        <v>5348</v>
      </c>
      <c r="B4304">
        <v>479</v>
      </c>
      <c r="C4304" t="s">
        <v>154</v>
      </c>
      <c r="D4304">
        <v>1997466</v>
      </c>
      <c r="E4304">
        <v>132147</v>
      </c>
      <c r="F4304">
        <v>61452</v>
      </c>
    </row>
    <row r="4305" spans="1:6">
      <c r="A4305" t="s">
        <v>5349</v>
      </c>
      <c r="B4305">
        <v>479</v>
      </c>
      <c r="C4305" t="s">
        <v>1043</v>
      </c>
      <c r="D4305">
        <v>5992398</v>
      </c>
      <c r="E4305">
        <v>132147</v>
      </c>
      <c r="F4305">
        <v>61452</v>
      </c>
    </row>
    <row r="4306" spans="1:6">
      <c r="A4306" t="s">
        <v>5350</v>
      </c>
      <c r="B4306">
        <v>479</v>
      </c>
      <c r="C4306" t="s">
        <v>1045</v>
      </c>
      <c r="D4306">
        <v>3595439</v>
      </c>
      <c r="E4306">
        <v>132147</v>
      </c>
      <c r="F4306">
        <v>61452</v>
      </c>
    </row>
    <row r="4307" spans="1:6">
      <c r="A4307" t="s">
        <v>5351</v>
      </c>
      <c r="B4307">
        <v>479</v>
      </c>
      <c r="C4307" t="s">
        <v>1047</v>
      </c>
      <c r="D4307">
        <v>998733</v>
      </c>
      <c r="E4307">
        <v>132147</v>
      </c>
      <c r="F4307">
        <v>61452</v>
      </c>
    </row>
    <row r="4308" spans="1:6">
      <c r="A4308" t="s">
        <v>5352</v>
      </c>
      <c r="B4308">
        <v>479</v>
      </c>
      <c r="C4308" t="s">
        <v>1049</v>
      </c>
      <c r="D4308">
        <v>299620</v>
      </c>
      <c r="E4308">
        <v>132147</v>
      </c>
      <c r="F4308">
        <v>61452</v>
      </c>
    </row>
    <row r="4309" spans="1:6">
      <c r="A4309" t="s">
        <v>5353</v>
      </c>
      <c r="B4309">
        <v>479</v>
      </c>
      <c r="C4309" t="s">
        <v>745</v>
      </c>
      <c r="D4309">
        <v>7989864</v>
      </c>
      <c r="E4309">
        <v>132147</v>
      </c>
      <c r="F4309">
        <v>61452</v>
      </c>
    </row>
    <row r="4310" spans="1:6">
      <c r="A4310" t="s">
        <v>5354</v>
      </c>
      <c r="B4310">
        <v>479</v>
      </c>
      <c r="C4310" t="s">
        <v>1052</v>
      </c>
      <c r="D4310">
        <v>17977194</v>
      </c>
      <c r="E4310">
        <v>132147</v>
      </c>
      <c r="F4310">
        <v>61452</v>
      </c>
    </row>
    <row r="4311" spans="1:6">
      <c r="A4311" t="s">
        <v>5355</v>
      </c>
      <c r="B4311">
        <v>479</v>
      </c>
      <c r="C4311" t="s">
        <v>164</v>
      </c>
      <c r="D4311">
        <v>216685026</v>
      </c>
      <c r="E4311">
        <v>139515</v>
      </c>
      <c r="F4311">
        <v>61452</v>
      </c>
    </row>
    <row r="4312" spans="1:6">
      <c r="A4312" t="s">
        <v>5356</v>
      </c>
      <c r="B4312">
        <v>479</v>
      </c>
      <c r="C4312" t="s">
        <v>651</v>
      </c>
      <c r="D4312">
        <v>108342513</v>
      </c>
      <c r="E4312">
        <v>139515</v>
      </c>
      <c r="F4312">
        <v>61452</v>
      </c>
    </row>
    <row r="4313" spans="1:6">
      <c r="A4313" t="s">
        <v>5357</v>
      </c>
      <c r="B4313">
        <v>480</v>
      </c>
      <c r="C4313" t="s">
        <v>154</v>
      </c>
      <c r="D4313">
        <v>2011300</v>
      </c>
      <c r="E4313">
        <v>132910</v>
      </c>
      <c r="F4313">
        <v>61635</v>
      </c>
    </row>
    <row r="4314" spans="1:6">
      <c r="A4314" t="s">
        <v>5358</v>
      </c>
      <c r="B4314">
        <v>480</v>
      </c>
      <c r="C4314" t="s">
        <v>1043</v>
      </c>
      <c r="D4314">
        <v>6033900</v>
      </c>
      <c r="E4314">
        <v>132910</v>
      </c>
      <c r="F4314">
        <v>61635</v>
      </c>
    </row>
    <row r="4315" spans="1:6">
      <c r="A4315" t="s">
        <v>5359</v>
      </c>
      <c r="B4315">
        <v>480</v>
      </c>
      <c r="C4315" t="s">
        <v>1045</v>
      </c>
      <c r="D4315">
        <v>3620340</v>
      </c>
      <c r="E4315">
        <v>132910</v>
      </c>
      <c r="F4315">
        <v>61635</v>
      </c>
    </row>
    <row r="4316" spans="1:6">
      <c r="A4316" t="s">
        <v>5360</v>
      </c>
      <c r="B4316">
        <v>480</v>
      </c>
      <c r="C4316" t="s">
        <v>1047</v>
      </c>
      <c r="D4316">
        <v>1005650</v>
      </c>
      <c r="E4316">
        <v>132910</v>
      </c>
      <c r="F4316">
        <v>61635</v>
      </c>
    </row>
    <row r="4317" spans="1:6">
      <c r="A4317" t="s">
        <v>5361</v>
      </c>
      <c r="B4317">
        <v>480</v>
      </c>
      <c r="C4317" t="s">
        <v>1049</v>
      </c>
      <c r="D4317">
        <v>301695</v>
      </c>
      <c r="E4317">
        <v>132910</v>
      </c>
      <c r="F4317">
        <v>61635</v>
      </c>
    </row>
    <row r="4318" spans="1:6">
      <c r="A4318" t="s">
        <v>5362</v>
      </c>
      <c r="B4318">
        <v>480</v>
      </c>
      <c r="C4318" t="s">
        <v>745</v>
      </c>
      <c r="D4318">
        <v>8045200</v>
      </c>
      <c r="E4318">
        <v>132910</v>
      </c>
      <c r="F4318">
        <v>61635</v>
      </c>
    </row>
    <row r="4319" spans="1:6">
      <c r="A4319" t="s">
        <v>5363</v>
      </c>
      <c r="B4319">
        <v>480</v>
      </c>
      <c r="C4319" t="s">
        <v>1052</v>
      </c>
      <c r="D4319">
        <v>18101700</v>
      </c>
      <c r="E4319">
        <v>132910</v>
      </c>
      <c r="F4319">
        <v>61635</v>
      </c>
    </row>
    <row r="4320" spans="1:6">
      <c r="A4320" t="s">
        <v>5364</v>
      </c>
      <c r="B4320">
        <v>480</v>
      </c>
      <c r="C4320" t="s">
        <v>164</v>
      </c>
      <c r="D4320">
        <v>218309784</v>
      </c>
      <c r="E4320">
        <v>140300</v>
      </c>
      <c r="F4320">
        <v>61635</v>
      </c>
    </row>
    <row r="4321" spans="1:6">
      <c r="A4321" t="s">
        <v>5365</v>
      </c>
      <c r="B4321">
        <v>480</v>
      </c>
      <c r="C4321" t="s">
        <v>651</v>
      </c>
      <c r="D4321">
        <v>109154892</v>
      </c>
      <c r="E4321">
        <v>140300</v>
      </c>
      <c r="F4321">
        <v>61635</v>
      </c>
    </row>
    <row r="4322" spans="1:6">
      <c r="A4322" t="s">
        <v>5366</v>
      </c>
      <c r="B4322">
        <v>481</v>
      </c>
      <c r="C4322" t="s">
        <v>154</v>
      </c>
      <c r="D4322">
        <v>2025213</v>
      </c>
      <c r="E4322">
        <v>133676</v>
      </c>
      <c r="F4322">
        <v>61818</v>
      </c>
    </row>
    <row r="4323" spans="1:6">
      <c r="A4323" t="s">
        <v>5367</v>
      </c>
      <c r="B4323">
        <v>481</v>
      </c>
      <c r="C4323" t="s">
        <v>1043</v>
      </c>
      <c r="D4323">
        <v>6075639</v>
      </c>
      <c r="E4323">
        <v>133676</v>
      </c>
      <c r="F4323">
        <v>61818</v>
      </c>
    </row>
    <row r="4324" spans="1:6">
      <c r="A4324" t="s">
        <v>5368</v>
      </c>
      <c r="B4324">
        <v>481</v>
      </c>
      <c r="C4324" t="s">
        <v>1045</v>
      </c>
      <c r="D4324">
        <v>3645384</v>
      </c>
      <c r="E4324">
        <v>133676</v>
      </c>
      <c r="F4324">
        <v>61818</v>
      </c>
    </row>
    <row r="4325" spans="1:6">
      <c r="A4325" t="s">
        <v>5369</v>
      </c>
      <c r="B4325">
        <v>481</v>
      </c>
      <c r="C4325" t="s">
        <v>1047</v>
      </c>
      <c r="D4325">
        <v>1012607</v>
      </c>
      <c r="E4325">
        <v>133676</v>
      </c>
      <c r="F4325">
        <v>61818</v>
      </c>
    </row>
    <row r="4326" spans="1:6">
      <c r="A4326" t="s">
        <v>5370</v>
      </c>
      <c r="B4326">
        <v>481</v>
      </c>
      <c r="C4326" t="s">
        <v>1049</v>
      </c>
      <c r="D4326">
        <v>303782</v>
      </c>
      <c r="E4326">
        <v>133676</v>
      </c>
      <c r="F4326">
        <v>61818</v>
      </c>
    </row>
    <row r="4327" spans="1:6">
      <c r="A4327" t="s">
        <v>5371</v>
      </c>
      <c r="B4327">
        <v>481</v>
      </c>
      <c r="C4327" t="s">
        <v>745</v>
      </c>
      <c r="D4327">
        <v>8100852</v>
      </c>
      <c r="E4327">
        <v>133676</v>
      </c>
      <c r="F4327">
        <v>61818</v>
      </c>
    </row>
    <row r="4328" spans="1:6">
      <c r="A4328" t="s">
        <v>5372</v>
      </c>
      <c r="B4328">
        <v>481</v>
      </c>
      <c r="C4328" t="s">
        <v>1052</v>
      </c>
      <c r="D4328">
        <v>18226917</v>
      </c>
      <c r="E4328">
        <v>133676</v>
      </c>
      <c r="F4328">
        <v>61818</v>
      </c>
    </row>
    <row r="4329" spans="1:6">
      <c r="A4329" t="s">
        <v>5373</v>
      </c>
      <c r="B4329">
        <v>481</v>
      </c>
      <c r="C4329" t="s">
        <v>164</v>
      </c>
      <c r="D4329">
        <v>219944589</v>
      </c>
      <c r="E4329">
        <v>141088</v>
      </c>
      <c r="F4329">
        <v>61818</v>
      </c>
    </row>
    <row r="4330" spans="1:6">
      <c r="A4330" t="s">
        <v>5374</v>
      </c>
      <c r="B4330">
        <v>481</v>
      </c>
      <c r="C4330" t="s">
        <v>651</v>
      </c>
      <c r="D4330">
        <v>109972295</v>
      </c>
      <c r="E4330">
        <v>141088</v>
      </c>
      <c r="F4330">
        <v>61818</v>
      </c>
    </row>
    <row r="4331" spans="1:6">
      <c r="A4331" t="s">
        <v>5375</v>
      </c>
      <c r="B4331">
        <v>482</v>
      </c>
      <c r="C4331" t="s">
        <v>154</v>
      </c>
      <c r="D4331">
        <v>2039203</v>
      </c>
      <c r="E4331">
        <v>134446</v>
      </c>
      <c r="F4331">
        <v>62001</v>
      </c>
    </row>
    <row r="4332" spans="1:6">
      <c r="A4332" t="s">
        <v>5376</v>
      </c>
      <c r="B4332">
        <v>482</v>
      </c>
      <c r="C4332" t="s">
        <v>1043</v>
      </c>
      <c r="D4332">
        <v>6117609</v>
      </c>
      <c r="E4332">
        <v>134446</v>
      </c>
      <c r="F4332">
        <v>62001</v>
      </c>
    </row>
    <row r="4333" spans="1:6">
      <c r="A4333" t="s">
        <v>5377</v>
      </c>
      <c r="B4333">
        <v>482</v>
      </c>
      <c r="C4333" t="s">
        <v>1045</v>
      </c>
      <c r="D4333">
        <v>3670566</v>
      </c>
      <c r="E4333">
        <v>134446</v>
      </c>
      <c r="F4333">
        <v>62001</v>
      </c>
    </row>
    <row r="4334" spans="1:6">
      <c r="A4334" t="s">
        <v>5378</v>
      </c>
      <c r="B4334">
        <v>482</v>
      </c>
      <c r="C4334" t="s">
        <v>1047</v>
      </c>
      <c r="D4334">
        <v>1019602</v>
      </c>
      <c r="E4334">
        <v>134446</v>
      </c>
      <c r="F4334">
        <v>62001</v>
      </c>
    </row>
    <row r="4335" spans="1:6">
      <c r="A4335" t="s">
        <v>5379</v>
      </c>
      <c r="B4335">
        <v>482</v>
      </c>
      <c r="C4335" t="s">
        <v>1049</v>
      </c>
      <c r="D4335">
        <v>305881</v>
      </c>
      <c r="E4335">
        <v>134446</v>
      </c>
      <c r="F4335">
        <v>62001</v>
      </c>
    </row>
    <row r="4336" spans="1:6">
      <c r="A4336" t="s">
        <v>5380</v>
      </c>
      <c r="B4336">
        <v>482</v>
      </c>
      <c r="C4336" t="s">
        <v>745</v>
      </c>
      <c r="D4336">
        <v>8156812</v>
      </c>
      <c r="E4336">
        <v>134446</v>
      </c>
      <c r="F4336">
        <v>62001</v>
      </c>
    </row>
    <row r="4337" spans="1:6">
      <c r="A4337" t="s">
        <v>5381</v>
      </c>
      <c r="B4337">
        <v>482</v>
      </c>
      <c r="C4337" t="s">
        <v>1052</v>
      </c>
      <c r="D4337">
        <v>18352827</v>
      </c>
      <c r="E4337">
        <v>134446</v>
      </c>
      <c r="F4337">
        <v>62001</v>
      </c>
    </row>
    <row r="4338" spans="1:6">
      <c r="A4338" t="s">
        <v>5382</v>
      </c>
      <c r="B4338">
        <v>482</v>
      </c>
      <c r="C4338" t="s">
        <v>164</v>
      </c>
      <c r="D4338">
        <v>221589594</v>
      </c>
      <c r="E4338">
        <v>141880</v>
      </c>
      <c r="F4338">
        <v>62001</v>
      </c>
    </row>
    <row r="4339" spans="1:6">
      <c r="A4339" t="s">
        <v>5383</v>
      </c>
      <c r="B4339">
        <v>482</v>
      </c>
      <c r="C4339" t="s">
        <v>651</v>
      </c>
      <c r="D4339">
        <v>110794797</v>
      </c>
      <c r="E4339">
        <v>141880</v>
      </c>
      <c r="F4339">
        <v>62001</v>
      </c>
    </row>
    <row r="4340" spans="1:6">
      <c r="A4340" t="s">
        <v>5384</v>
      </c>
      <c r="B4340">
        <v>483</v>
      </c>
      <c r="C4340" t="s">
        <v>154</v>
      </c>
      <c r="D4340">
        <v>2053272</v>
      </c>
      <c r="E4340">
        <v>135220</v>
      </c>
      <c r="F4340">
        <v>62185</v>
      </c>
    </row>
    <row r="4341" spans="1:6">
      <c r="A4341" t="s">
        <v>5385</v>
      </c>
      <c r="B4341">
        <v>483</v>
      </c>
      <c r="C4341" t="s">
        <v>1043</v>
      </c>
      <c r="D4341">
        <v>6159816</v>
      </c>
      <c r="E4341">
        <v>135220</v>
      </c>
      <c r="F4341">
        <v>62185</v>
      </c>
    </row>
    <row r="4342" spans="1:6">
      <c r="A4342" t="s">
        <v>5386</v>
      </c>
      <c r="B4342">
        <v>483</v>
      </c>
      <c r="C4342" t="s">
        <v>1045</v>
      </c>
      <c r="D4342">
        <v>3695890</v>
      </c>
      <c r="E4342">
        <v>135220</v>
      </c>
      <c r="F4342">
        <v>62185</v>
      </c>
    </row>
    <row r="4343" spans="1:6">
      <c r="A4343" t="s">
        <v>5387</v>
      </c>
      <c r="B4343">
        <v>483</v>
      </c>
      <c r="C4343" t="s">
        <v>1047</v>
      </c>
      <c r="D4343">
        <v>1026636</v>
      </c>
      <c r="E4343">
        <v>135220</v>
      </c>
      <c r="F4343">
        <v>62185</v>
      </c>
    </row>
    <row r="4344" spans="1:6">
      <c r="A4344" t="s">
        <v>5388</v>
      </c>
      <c r="B4344">
        <v>483</v>
      </c>
      <c r="C4344" t="s">
        <v>1049</v>
      </c>
      <c r="D4344">
        <v>307991</v>
      </c>
      <c r="E4344">
        <v>135220</v>
      </c>
      <c r="F4344">
        <v>62185</v>
      </c>
    </row>
    <row r="4345" spans="1:6">
      <c r="A4345" t="s">
        <v>5389</v>
      </c>
      <c r="B4345">
        <v>483</v>
      </c>
      <c r="C4345" t="s">
        <v>745</v>
      </c>
      <c r="D4345">
        <v>8213088</v>
      </c>
      <c r="E4345">
        <v>135220</v>
      </c>
      <c r="F4345">
        <v>62185</v>
      </c>
    </row>
    <row r="4346" spans="1:6">
      <c r="A4346" t="s">
        <v>5390</v>
      </c>
      <c r="B4346">
        <v>483</v>
      </c>
      <c r="C4346" t="s">
        <v>1052</v>
      </c>
      <c r="D4346">
        <v>18479448</v>
      </c>
      <c r="E4346">
        <v>135220</v>
      </c>
      <c r="F4346">
        <v>62185</v>
      </c>
    </row>
    <row r="4347" spans="1:6">
      <c r="A4347" t="s">
        <v>5391</v>
      </c>
      <c r="B4347">
        <v>483</v>
      </c>
      <c r="C4347" t="s">
        <v>164</v>
      </c>
      <c r="D4347">
        <v>223244799</v>
      </c>
      <c r="E4347">
        <v>142676</v>
      </c>
      <c r="F4347">
        <v>62185</v>
      </c>
    </row>
    <row r="4348" spans="1:6">
      <c r="A4348" t="s">
        <v>5392</v>
      </c>
      <c r="B4348">
        <v>483</v>
      </c>
      <c r="C4348" t="s">
        <v>651</v>
      </c>
      <c r="D4348">
        <v>111622400</v>
      </c>
      <c r="E4348">
        <v>142676</v>
      </c>
      <c r="F4348">
        <v>62185</v>
      </c>
    </row>
    <row r="4349" spans="1:6">
      <c r="A4349" t="s">
        <v>5393</v>
      </c>
      <c r="B4349">
        <v>484</v>
      </c>
      <c r="C4349" t="s">
        <v>154</v>
      </c>
      <c r="D4349">
        <v>2067419</v>
      </c>
      <c r="E4349">
        <v>135997</v>
      </c>
      <c r="F4349">
        <v>62369</v>
      </c>
    </row>
    <row r="4350" spans="1:6">
      <c r="A4350" t="s">
        <v>5394</v>
      </c>
      <c r="B4350">
        <v>484</v>
      </c>
      <c r="C4350" t="s">
        <v>1043</v>
      </c>
      <c r="D4350">
        <v>6202257</v>
      </c>
      <c r="E4350">
        <v>135997</v>
      </c>
      <c r="F4350">
        <v>62369</v>
      </c>
    </row>
    <row r="4351" spans="1:6">
      <c r="A4351" t="s">
        <v>5395</v>
      </c>
      <c r="B4351">
        <v>484</v>
      </c>
      <c r="C4351" t="s">
        <v>1045</v>
      </c>
      <c r="D4351">
        <v>3721355</v>
      </c>
      <c r="E4351">
        <v>135997</v>
      </c>
      <c r="F4351">
        <v>62369</v>
      </c>
    </row>
    <row r="4352" spans="1:6">
      <c r="A4352" t="s">
        <v>5396</v>
      </c>
      <c r="B4352">
        <v>484</v>
      </c>
      <c r="C4352" t="s">
        <v>1047</v>
      </c>
      <c r="D4352">
        <v>1033710</v>
      </c>
      <c r="E4352">
        <v>135997</v>
      </c>
      <c r="F4352">
        <v>62369</v>
      </c>
    </row>
    <row r="4353" spans="1:6">
      <c r="A4353" t="s">
        <v>5397</v>
      </c>
      <c r="B4353">
        <v>484</v>
      </c>
      <c r="C4353" t="s">
        <v>1049</v>
      </c>
      <c r="D4353">
        <v>310113</v>
      </c>
      <c r="E4353">
        <v>135997</v>
      </c>
      <c r="F4353">
        <v>62369</v>
      </c>
    </row>
    <row r="4354" spans="1:6">
      <c r="A4354" t="s">
        <v>5398</v>
      </c>
      <c r="B4354">
        <v>484</v>
      </c>
      <c r="C4354" t="s">
        <v>745</v>
      </c>
      <c r="D4354">
        <v>8269676</v>
      </c>
      <c r="E4354">
        <v>135997</v>
      </c>
      <c r="F4354">
        <v>62369</v>
      </c>
    </row>
    <row r="4355" spans="1:6">
      <c r="A4355" t="s">
        <v>5399</v>
      </c>
      <c r="B4355">
        <v>484</v>
      </c>
      <c r="C4355" t="s">
        <v>1052</v>
      </c>
      <c r="D4355">
        <v>18606771</v>
      </c>
      <c r="E4355">
        <v>135997</v>
      </c>
      <c r="F4355">
        <v>62369</v>
      </c>
    </row>
    <row r="4356" spans="1:6">
      <c r="A4356" t="s">
        <v>5400</v>
      </c>
      <c r="B4356">
        <v>484</v>
      </c>
      <c r="C4356" t="s">
        <v>164</v>
      </c>
      <c r="D4356">
        <v>224910255</v>
      </c>
      <c r="E4356">
        <v>143476</v>
      </c>
      <c r="F4356">
        <v>62369</v>
      </c>
    </row>
    <row r="4357" spans="1:6">
      <c r="A4357" t="s">
        <v>5401</v>
      </c>
      <c r="B4357">
        <v>484</v>
      </c>
      <c r="C4357" t="s">
        <v>651</v>
      </c>
      <c r="D4357">
        <v>112455128</v>
      </c>
      <c r="E4357">
        <v>143476</v>
      </c>
      <c r="F4357">
        <v>62369</v>
      </c>
    </row>
    <row r="4358" spans="1:6">
      <c r="A4358" t="s">
        <v>5402</v>
      </c>
      <c r="B4358">
        <v>485</v>
      </c>
      <c r="C4358" t="s">
        <v>154</v>
      </c>
      <c r="D4358">
        <v>2081645</v>
      </c>
      <c r="E4358">
        <v>136779</v>
      </c>
      <c r="F4358">
        <v>62553</v>
      </c>
    </row>
    <row r="4359" spans="1:6">
      <c r="A4359" t="s">
        <v>5403</v>
      </c>
      <c r="B4359">
        <v>485</v>
      </c>
      <c r="C4359" t="s">
        <v>1043</v>
      </c>
      <c r="D4359">
        <v>6244935</v>
      </c>
      <c r="E4359">
        <v>136779</v>
      </c>
      <c r="F4359">
        <v>62553</v>
      </c>
    </row>
    <row r="4360" spans="1:6">
      <c r="A4360" t="s">
        <v>5404</v>
      </c>
      <c r="B4360">
        <v>485</v>
      </c>
      <c r="C4360" t="s">
        <v>1045</v>
      </c>
      <c r="D4360">
        <v>3746961</v>
      </c>
      <c r="E4360">
        <v>136779</v>
      </c>
      <c r="F4360">
        <v>62553</v>
      </c>
    </row>
    <row r="4361" spans="1:6">
      <c r="A4361" t="s">
        <v>5405</v>
      </c>
      <c r="B4361">
        <v>485</v>
      </c>
      <c r="C4361" t="s">
        <v>1047</v>
      </c>
      <c r="D4361">
        <v>1040823</v>
      </c>
      <c r="E4361">
        <v>136779</v>
      </c>
      <c r="F4361">
        <v>62553</v>
      </c>
    </row>
    <row r="4362" spans="1:6">
      <c r="A4362" t="s">
        <v>5406</v>
      </c>
      <c r="B4362">
        <v>485</v>
      </c>
      <c r="C4362" t="s">
        <v>1049</v>
      </c>
      <c r="D4362">
        <v>312247</v>
      </c>
      <c r="E4362">
        <v>136779</v>
      </c>
      <c r="F4362">
        <v>62553</v>
      </c>
    </row>
    <row r="4363" spans="1:6">
      <c r="A4363" t="s">
        <v>5407</v>
      </c>
      <c r="B4363">
        <v>485</v>
      </c>
      <c r="C4363" t="s">
        <v>745</v>
      </c>
      <c r="D4363">
        <v>8326580</v>
      </c>
      <c r="E4363">
        <v>136779</v>
      </c>
      <c r="F4363">
        <v>62553</v>
      </c>
    </row>
    <row r="4364" spans="1:6">
      <c r="A4364" t="s">
        <v>5408</v>
      </c>
      <c r="B4364">
        <v>485</v>
      </c>
      <c r="C4364" t="s">
        <v>1052</v>
      </c>
      <c r="D4364">
        <v>18734805</v>
      </c>
      <c r="E4364">
        <v>136779</v>
      </c>
      <c r="F4364">
        <v>62553</v>
      </c>
    </row>
    <row r="4365" spans="1:6">
      <c r="A4365" t="s">
        <v>5409</v>
      </c>
      <c r="B4365">
        <v>485</v>
      </c>
      <c r="C4365" t="s">
        <v>164</v>
      </c>
      <c r="D4365">
        <v>226586064</v>
      </c>
      <c r="E4365">
        <v>144280</v>
      </c>
      <c r="F4365">
        <v>62553</v>
      </c>
    </row>
    <row r="4366" spans="1:6">
      <c r="A4366" t="s">
        <v>5410</v>
      </c>
      <c r="B4366">
        <v>485</v>
      </c>
      <c r="C4366" t="s">
        <v>651</v>
      </c>
      <c r="D4366">
        <v>113293032</v>
      </c>
      <c r="E4366">
        <v>144280</v>
      </c>
      <c r="F4366">
        <v>62553</v>
      </c>
    </row>
    <row r="4367" spans="1:6">
      <c r="A4367" t="s">
        <v>5411</v>
      </c>
      <c r="B4367">
        <v>486</v>
      </c>
      <c r="C4367" t="s">
        <v>154</v>
      </c>
      <c r="D4367">
        <v>2095950</v>
      </c>
      <c r="E4367">
        <v>137565</v>
      </c>
      <c r="F4367">
        <v>62737</v>
      </c>
    </row>
    <row r="4368" spans="1:6">
      <c r="A4368" t="s">
        <v>5412</v>
      </c>
      <c r="B4368">
        <v>486</v>
      </c>
      <c r="C4368" t="s">
        <v>1043</v>
      </c>
      <c r="D4368">
        <v>6287850</v>
      </c>
      <c r="E4368">
        <v>137565</v>
      </c>
      <c r="F4368">
        <v>62737</v>
      </c>
    </row>
    <row r="4369" spans="1:6">
      <c r="A4369" t="s">
        <v>5413</v>
      </c>
      <c r="B4369">
        <v>486</v>
      </c>
      <c r="C4369" t="s">
        <v>1045</v>
      </c>
      <c r="D4369">
        <v>3772710</v>
      </c>
      <c r="E4369">
        <v>137565</v>
      </c>
      <c r="F4369">
        <v>62737</v>
      </c>
    </row>
    <row r="4370" spans="1:6">
      <c r="A4370" t="s">
        <v>5414</v>
      </c>
      <c r="B4370">
        <v>486</v>
      </c>
      <c r="C4370" t="s">
        <v>1047</v>
      </c>
      <c r="D4370">
        <v>1047975</v>
      </c>
      <c r="E4370">
        <v>137565</v>
      </c>
      <c r="F4370">
        <v>62737</v>
      </c>
    </row>
    <row r="4371" spans="1:6">
      <c r="A4371" t="s">
        <v>5415</v>
      </c>
      <c r="B4371">
        <v>486</v>
      </c>
      <c r="C4371" t="s">
        <v>1049</v>
      </c>
      <c r="D4371">
        <v>314393</v>
      </c>
      <c r="E4371">
        <v>137565</v>
      </c>
      <c r="F4371">
        <v>62737</v>
      </c>
    </row>
    <row r="4372" spans="1:6">
      <c r="A4372" t="s">
        <v>5416</v>
      </c>
      <c r="B4372">
        <v>486</v>
      </c>
      <c r="C4372" t="s">
        <v>745</v>
      </c>
      <c r="D4372">
        <v>8383800</v>
      </c>
      <c r="E4372">
        <v>137565</v>
      </c>
      <c r="F4372">
        <v>62737</v>
      </c>
    </row>
    <row r="4373" spans="1:6">
      <c r="A4373" t="s">
        <v>5417</v>
      </c>
      <c r="B4373">
        <v>486</v>
      </c>
      <c r="C4373" t="s">
        <v>1052</v>
      </c>
      <c r="D4373">
        <v>18863550</v>
      </c>
      <c r="E4373">
        <v>137565</v>
      </c>
      <c r="F4373">
        <v>62737</v>
      </c>
    </row>
    <row r="4374" spans="1:6">
      <c r="A4374" t="s">
        <v>5418</v>
      </c>
      <c r="B4374">
        <v>486</v>
      </c>
      <c r="C4374" t="s">
        <v>164</v>
      </c>
      <c r="D4374">
        <v>228272175</v>
      </c>
      <c r="E4374">
        <v>145088</v>
      </c>
      <c r="F4374">
        <v>62737</v>
      </c>
    </row>
    <row r="4375" spans="1:6">
      <c r="A4375" t="s">
        <v>5419</v>
      </c>
      <c r="B4375">
        <v>486</v>
      </c>
      <c r="C4375" t="s">
        <v>651</v>
      </c>
      <c r="D4375">
        <v>114136088</v>
      </c>
      <c r="E4375">
        <v>145088</v>
      </c>
      <c r="F4375">
        <v>62737</v>
      </c>
    </row>
    <row r="4376" spans="1:6">
      <c r="A4376" t="s">
        <v>5420</v>
      </c>
      <c r="B4376">
        <v>487</v>
      </c>
      <c r="C4376" t="s">
        <v>154</v>
      </c>
      <c r="D4376">
        <v>2110335</v>
      </c>
      <c r="E4376">
        <v>138353</v>
      </c>
      <c r="F4376">
        <v>62921</v>
      </c>
    </row>
    <row r="4377" spans="1:6">
      <c r="A4377" t="s">
        <v>5421</v>
      </c>
      <c r="B4377">
        <v>487</v>
      </c>
      <c r="C4377" t="s">
        <v>1043</v>
      </c>
      <c r="D4377">
        <v>6331005</v>
      </c>
      <c r="E4377">
        <v>138353</v>
      </c>
      <c r="F4377">
        <v>62921</v>
      </c>
    </row>
    <row r="4378" spans="1:6">
      <c r="A4378" t="s">
        <v>5422</v>
      </c>
      <c r="B4378">
        <v>487</v>
      </c>
      <c r="C4378" t="s">
        <v>1045</v>
      </c>
      <c r="D4378">
        <v>3798603</v>
      </c>
      <c r="E4378">
        <v>138353</v>
      </c>
      <c r="F4378">
        <v>62921</v>
      </c>
    </row>
    <row r="4379" spans="1:6">
      <c r="A4379" t="s">
        <v>5423</v>
      </c>
      <c r="B4379">
        <v>487</v>
      </c>
      <c r="C4379" t="s">
        <v>1047</v>
      </c>
      <c r="D4379">
        <v>1055168</v>
      </c>
      <c r="E4379">
        <v>138353</v>
      </c>
      <c r="F4379">
        <v>62921</v>
      </c>
    </row>
    <row r="4380" spans="1:6">
      <c r="A4380" t="s">
        <v>5424</v>
      </c>
      <c r="B4380">
        <v>487</v>
      </c>
      <c r="C4380" t="s">
        <v>1049</v>
      </c>
      <c r="D4380">
        <v>316551</v>
      </c>
      <c r="E4380">
        <v>138353</v>
      </c>
      <c r="F4380">
        <v>62921</v>
      </c>
    </row>
    <row r="4381" spans="1:6">
      <c r="A4381" t="s">
        <v>5425</v>
      </c>
      <c r="B4381">
        <v>487</v>
      </c>
      <c r="C4381" t="s">
        <v>745</v>
      </c>
      <c r="D4381">
        <v>8441340</v>
      </c>
      <c r="E4381">
        <v>138353</v>
      </c>
      <c r="F4381">
        <v>62921</v>
      </c>
    </row>
    <row r="4382" spans="1:6">
      <c r="A4382" t="s">
        <v>5426</v>
      </c>
      <c r="B4382">
        <v>487</v>
      </c>
      <c r="C4382" t="s">
        <v>1052</v>
      </c>
      <c r="D4382">
        <v>18993015</v>
      </c>
      <c r="E4382">
        <v>138353</v>
      </c>
      <c r="F4382">
        <v>62921</v>
      </c>
    </row>
    <row r="4383" spans="1:6">
      <c r="A4383" t="s">
        <v>5427</v>
      </c>
      <c r="B4383">
        <v>487</v>
      </c>
      <c r="C4383" t="s">
        <v>164</v>
      </c>
      <c r="D4383">
        <v>229968690</v>
      </c>
      <c r="E4383">
        <v>145899</v>
      </c>
      <c r="F4383">
        <v>62921</v>
      </c>
    </row>
    <row r="4384" spans="1:6">
      <c r="A4384" t="s">
        <v>5428</v>
      </c>
      <c r="B4384">
        <v>487</v>
      </c>
      <c r="C4384" t="s">
        <v>651</v>
      </c>
      <c r="D4384">
        <v>114984345</v>
      </c>
      <c r="E4384">
        <v>145899</v>
      </c>
      <c r="F4384">
        <v>62921</v>
      </c>
    </row>
    <row r="4385" spans="1:6">
      <c r="A4385" t="s">
        <v>5429</v>
      </c>
      <c r="B4385">
        <v>488</v>
      </c>
      <c r="C4385" t="s">
        <v>154</v>
      </c>
      <c r="D4385">
        <v>2124800</v>
      </c>
      <c r="E4385">
        <v>139147</v>
      </c>
      <c r="F4385">
        <v>63106</v>
      </c>
    </row>
    <row r="4386" spans="1:6">
      <c r="A4386" t="s">
        <v>5430</v>
      </c>
      <c r="B4386">
        <v>488</v>
      </c>
      <c r="C4386" t="s">
        <v>1043</v>
      </c>
      <c r="D4386">
        <v>6374400</v>
      </c>
      <c r="E4386">
        <v>139147</v>
      </c>
      <c r="F4386">
        <v>63106</v>
      </c>
    </row>
    <row r="4387" spans="1:6">
      <c r="A4387" t="s">
        <v>5431</v>
      </c>
      <c r="B4387">
        <v>488</v>
      </c>
      <c r="C4387" t="s">
        <v>1045</v>
      </c>
      <c r="D4387">
        <v>3824640</v>
      </c>
      <c r="E4387">
        <v>139147</v>
      </c>
      <c r="F4387">
        <v>63106</v>
      </c>
    </row>
    <row r="4388" spans="1:6">
      <c r="A4388" t="s">
        <v>5432</v>
      </c>
      <c r="B4388">
        <v>488</v>
      </c>
      <c r="C4388" t="s">
        <v>1047</v>
      </c>
      <c r="D4388">
        <v>1062400</v>
      </c>
      <c r="E4388">
        <v>139147</v>
      </c>
      <c r="F4388">
        <v>63106</v>
      </c>
    </row>
    <row r="4389" spans="1:6">
      <c r="A4389" t="s">
        <v>5433</v>
      </c>
      <c r="B4389">
        <v>488</v>
      </c>
      <c r="C4389" t="s">
        <v>1049</v>
      </c>
      <c r="D4389">
        <v>318720</v>
      </c>
      <c r="E4389">
        <v>139147</v>
      </c>
      <c r="F4389">
        <v>63106</v>
      </c>
    </row>
    <row r="4390" spans="1:6">
      <c r="A4390" t="s">
        <v>5434</v>
      </c>
      <c r="B4390">
        <v>488</v>
      </c>
      <c r="C4390" t="s">
        <v>745</v>
      </c>
      <c r="D4390">
        <v>8499200</v>
      </c>
      <c r="E4390">
        <v>139147</v>
      </c>
      <c r="F4390">
        <v>63106</v>
      </c>
    </row>
    <row r="4391" spans="1:6">
      <c r="A4391" t="s">
        <v>5435</v>
      </c>
      <c r="B4391">
        <v>488</v>
      </c>
      <c r="C4391" t="s">
        <v>1052</v>
      </c>
      <c r="D4391">
        <v>19123200</v>
      </c>
      <c r="E4391">
        <v>139147</v>
      </c>
      <c r="F4391">
        <v>63106</v>
      </c>
    </row>
    <row r="4392" spans="1:6">
      <c r="A4392" t="s">
        <v>5436</v>
      </c>
      <c r="B4392">
        <v>488</v>
      </c>
      <c r="C4392" t="s">
        <v>164</v>
      </c>
      <c r="D4392">
        <v>231675711</v>
      </c>
      <c r="E4392">
        <v>146715</v>
      </c>
      <c r="F4392">
        <v>63106</v>
      </c>
    </row>
    <row r="4393" spans="1:6">
      <c r="A4393" t="s">
        <v>5437</v>
      </c>
      <c r="B4393">
        <v>488</v>
      </c>
      <c r="C4393" t="s">
        <v>651</v>
      </c>
      <c r="D4393">
        <v>115837856</v>
      </c>
      <c r="E4393">
        <v>146715</v>
      </c>
      <c r="F4393">
        <v>63106</v>
      </c>
    </row>
    <row r="4394" spans="1:6">
      <c r="A4394" t="s">
        <v>5438</v>
      </c>
      <c r="B4394">
        <v>489</v>
      </c>
      <c r="C4394" t="s">
        <v>154</v>
      </c>
      <c r="D4394">
        <v>2139345</v>
      </c>
      <c r="E4394">
        <v>139944</v>
      </c>
      <c r="F4394">
        <v>63291</v>
      </c>
    </row>
    <row r="4395" spans="1:6">
      <c r="A4395" t="s">
        <v>5439</v>
      </c>
      <c r="B4395">
        <v>489</v>
      </c>
      <c r="C4395" t="s">
        <v>1043</v>
      </c>
      <c r="D4395">
        <v>6418035</v>
      </c>
      <c r="E4395">
        <v>139944</v>
      </c>
      <c r="F4395">
        <v>63291</v>
      </c>
    </row>
    <row r="4396" spans="1:6">
      <c r="A4396" t="s">
        <v>5440</v>
      </c>
      <c r="B4396">
        <v>489</v>
      </c>
      <c r="C4396" t="s">
        <v>1045</v>
      </c>
      <c r="D4396">
        <v>3850821</v>
      </c>
      <c r="E4396">
        <v>139944</v>
      </c>
      <c r="F4396">
        <v>63291</v>
      </c>
    </row>
    <row r="4397" spans="1:6">
      <c r="A4397" t="s">
        <v>5441</v>
      </c>
      <c r="B4397">
        <v>489</v>
      </c>
      <c r="C4397" t="s">
        <v>1047</v>
      </c>
      <c r="D4397">
        <v>1069673</v>
      </c>
      <c r="E4397">
        <v>139944</v>
      </c>
      <c r="F4397">
        <v>63291</v>
      </c>
    </row>
    <row r="4398" spans="1:6">
      <c r="A4398" t="s">
        <v>5442</v>
      </c>
      <c r="B4398">
        <v>489</v>
      </c>
      <c r="C4398" t="s">
        <v>1049</v>
      </c>
      <c r="D4398">
        <v>320902</v>
      </c>
      <c r="E4398">
        <v>139944</v>
      </c>
      <c r="F4398">
        <v>63291</v>
      </c>
    </row>
    <row r="4399" spans="1:6">
      <c r="A4399" t="s">
        <v>5443</v>
      </c>
      <c r="B4399">
        <v>489</v>
      </c>
      <c r="C4399" t="s">
        <v>745</v>
      </c>
      <c r="D4399">
        <v>8557380</v>
      </c>
      <c r="E4399">
        <v>139944</v>
      </c>
      <c r="F4399">
        <v>63291</v>
      </c>
    </row>
    <row r="4400" spans="1:6">
      <c r="A4400" t="s">
        <v>5444</v>
      </c>
      <c r="B4400">
        <v>489</v>
      </c>
      <c r="C4400" t="s">
        <v>1052</v>
      </c>
      <c r="D4400">
        <v>19254105</v>
      </c>
      <c r="E4400">
        <v>139944</v>
      </c>
      <c r="F4400">
        <v>63291</v>
      </c>
    </row>
    <row r="4401" spans="1:6">
      <c r="A4401" t="s">
        <v>5445</v>
      </c>
      <c r="B4401">
        <v>489</v>
      </c>
      <c r="C4401" t="s">
        <v>164</v>
      </c>
      <c r="D4401">
        <v>233393238</v>
      </c>
      <c r="E4401">
        <v>147535</v>
      </c>
      <c r="F4401">
        <v>63291</v>
      </c>
    </row>
    <row r="4402" spans="1:6">
      <c r="A4402" t="s">
        <v>5446</v>
      </c>
      <c r="B4402">
        <v>489</v>
      </c>
      <c r="C4402" t="s">
        <v>651</v>
      </c>
      <c r="D4402">
        <v>116696619</v>
      </c>
      <c r="E4402">
        <v>147535</v>
      </c>
      <c r="F4402">
        <v>63291</v>
      </c>
    </row>
    <row r="4403" spans="1:6">
      <c r="A4403" t="s">
        <v>5447</v>
      </c>
      <c r="B4403">
        <v>490</v>
      </c>
      <c r="C4403" t="s">
        <v>154</v>
      </c>
      <c r="D4403">
        <v>2153972</v>
      </c>
      <c r="E4403">
        <v>140745</v>
      </c>
      <c r="F4403">
        <v>63476</v>
      </c>
    </row>
    <row r="4404" spans="1:6">
      <c r="A4404" t="s">
        <v>5448</v>
      </c>
      <c r="B4404">
        <v>490</v>
      </c>
      <c r="C4404" t="s">
        <v>1043</v>
      </c>
      <c r="D4404">
        <v>6461916</v>
      </c>
      <c r="E4404">
        <v>140745</v>
      </c>
      <c r="F4404">
        <v>63476</v>
      </c>
    </row>
    <row r="4405" spans="1:6">
      <c r="A4405" t="s">
        <v>5449</v>
      </c>
      <c r="B4405">
        <v>490</v>
      </c>
      <c r="C4405" t="s">
        <v>1045</v>
      </c>
      <c r="D4405">
        <v>3877150</v>
      </c>
      <c r="E4405">
        <v>140745</v>
      </c>
      <c r="F4405">
        <v>63476</v>
      </c>
    </row>
    <row r="4406" spans="1:6">
      <c r="A4406" t="s">
        <v>5450</v>
      </c>
      <c r="B4406">
        <v>490</v>
      </c>
      <c r="C4406" t="s">
        <v>1047</v>
      </c>
      <c r="D4406">
        <v>1076986</v>
      </c>
      <c r="E4406">
        <v>140745</v>
      </c>
      <c r="F4406">
        <v>63476</v>
      </c>
    </row>
    <row r="4407" spans="1:6">
      <c r="A4407" t="s">
        <v>5451</v>
      </c>
      <c r="B4407">
        <v>490</v>
      </c>
      <c r="C4407" t="s">
        <v>1049</v>
      </c>
      <c r="D4407">
        <v>323096</v>
      </c>
      <c r="E4407">
        <v>140745</v>
      </c>
      <c r="F4407">
        <v>63476</v>
      </c>
    </row>
    <row r="4408" spans="1:6">
      <c r="A4408" t="s">
        <v>5452</v>
      </c>
      <c r="B4408">
        <v>490</v>
      </c>
      <c r="C4408" t="s">
        <v>745</v>
      </c>
      <c r="D4408">
        <v>8615888</v>
      </c>
      <c r="E4408">
        <v>140745</v>
      </c>
      <c r="F4408">
        <v>63476</v>
      </c>
    </row>
    <row r="4409" spans="1:6">
      <c r="A4409" t="s">
        <v>5453</v>
      </c>
      <c r="B4409">
        <v>490</v>
      </c>
      <c r="C4409" t="s">
        <v>1052</v>
      </c>
      <c r="D4409">
        <v>19385748</v>
      </c>
      <c r="E4409">
        <v>140745</v>
      </c>
      <c r="F4409">
        <v>63476</v>
      </c>
    </row>
    <row r="4410" spans="1:6">
      <c r="A4410" t="s">
        <v>5454</v>
      </c>
      <c r="B4410">
        <v>490</v>
      </c>
      <c r="C4410" t="s">
        <v>164</v>
      </c>
      <c r="D4410">
        <v>235121373</v>
      </c>
      <c r="E4410">
        <v>148358</v>
      </c>
      <c r="F4410">
        <v>63476</v>
      </c>
    </row>
    <row r="4411" spans="1:6">
      <c r="A4411" t="s">
        <v>5455</v>
      </c>
      <c r="B4411">
        <v>490</v>
      </c>
      <c r="C4411" t="s">
        <v>651</v>
      </c>
      <c r="D4411">
        <v>117560687</v>
      </c>
      <c r="E4411">
        <v>148358</v>
      </c>
      <c r="F4411">
        <v>63476</v>
      </c>
    </row>
    <row r="4412" spans="1:6">
      <c r="A4412" t="s">
        <v>5456</v>
      </c>
      <c r="B4412">
        <v>491</v>
      </c>
      <c r="C4412" t="s">
        <v>154</v>
      </c>
      <c r="D4412">
        <v>2168679</v>
      </c>
      <c r="E4412">
        <v>141550</v>
      </c>
      <c r="F4412">
        <v>63661</v>
      </c>
    </row>
    <row r="4413" spans="1:6">
      <c r="A4413" t="s">
        <v>5457</v>
      </c>
      <c r="B4413">
        <v>491</v>
      </c>
      <c r="C4413" t="s">
        <v>1043</v>
      </c>
      <c r="D4413">
        <v>6506037</v>
      </c>
      <c r="E4413">
        <v>141550</v>
      </c>
      <c r="F4413">
        <v>63661</v>
      </c>
    </row>
    <row r="4414" spans="1:6">
      <c r="A4414" t="s">
        <v>5458</v>
      </c>
      <c r="B4414">
        <v>491</v>
      </c>
      <c r="C4414" t="s">
        <v>1045</v>
      </c>
      <c r="D4414">
        <v>3903623</v>
      </c>
      <c r="E4414">
        <v>141550</v>
      </c>
      <c r="F4414">
        <v>63661</v>
      </c>
    </row>
    <row r="4415" spans="1:6">
      <c r="A4415" t="s">
        <v>5459</v>
      </c>
      <c r="B4415">
        <v>491</v>
      </c>
      <c r="C4415" t="s">
        <v>1047</v>
      </c>
      <c r="D4415">
        <v>1084340</v>
      </c>
      <c r="E4415">
        <v>141550</v>
      </c>
      <c r="F4415">
        <v>63661</v>
      </c>
    </row>
    <row r="4416" spans="1:6">
      <c r="A4416" t="s">
        <v>5460</v>
      </c>
      <c r="B4416">
        <v>491</v>
      </c>
      <c r="C4416" t="s">
        <v>1049</v>
      </c>
      <c r="D4416">
        <v>325302</v>
      </c>
      <c r="E4416">
        <v>141550</v>
      </c>
      <c r="F4416">
        <v>63661</v>
      </c>
    </row>
    <row r="4417" spans="1:6">
      <c r="A4417" t="s">
        <v>5461</v>
      </c>
      <c r="B4417">
        <v>491</v>
      </c>
      <c r="C4417" t="s">
        <v>745</v>
      </c>
      <c r="D4417">
        <v>8674716</v>
      </c>
      <c r="E4417">
        <v>141550</v>
      </c>
      <c r="F4417">
        <v>63661</v>
      </c>
    </row>
    <row r="4418" spans="1:6">
      <c r="A4418" t="s">
        <v>5462</v>
      </c>
      <c r="B4418">
        <v>491</v>
      </c>
      <c r="C4418" t="s">
        <v>1052</v>
      </c>
      <c r="D4418">
        <v>19518111</v>
      </c>
      <c r="E4418">
        <v>141550</v>
      </c>
      <c r="F4418">
        <v>63661</v>
      </c>
    </row>
    <row r="4419" spans="1:6">
      <c r="A4419" t="s">
        <v>5463</v>
      </c>
      <c r="B4419">
        <v>491</v>
      </c>
      <c r="C4419" t="s">
        <v>164</v>
      </c>
      <c r="D4419">
        <v>236860116</v>
      </c>
      <c r="E4419">
        <v>149186</v>
      </c>
      <c r="F4419">
        <v>63661</v>
      </c>
    </row>
    <row r="4420" spans="1:6">
      <c r="A4420" t="s">
        <v>5464</v>
      </c>
      <c r="B4420">
        <v>491</v>
      </c>
      <c r="C4420" t="s">
        <v>651</v>
      </c>
      <c r="D4420">
        <v>118430058</v>
      </c>
      <c r="E4420">
        <v>149186</v>
      </c>
      <c r="F4420">
        <v>63661</v>
      </c>
    </row>
    <row r="4421" spans="1:6">
      <c r="A4421" t="s">
        <v>5465</v>
      </c>
      <c r="B4421">
        <v>492</v>
      </c>
      <c r="C4421" t="s">
        <v>154</v>
      </c>
      <c r="D4421">
        <v>2183467</v>
      </c>
      <c r="E4421">
        <v>142359</v>
      </c>
      <c r="F4421">
        <v>63847</v>
      </c>
    </row>
    <row r="4422" spans="1:6">
      <c r="A4422" t="s">
        <v>5466</v>
      </c>
      <c r="B4422">
        <v>492</v>
      </c>
      <c r="C4422" t="s">
        <v>1043</v>
      </c>
      <c r="D4422">
        <v>6550401</v>
      </c>
      <c r="E4422">
        <v>142359</v>
      </c>
      <c r="F4422">
        <v>63847</v>
      </c>
    </row>
    <row r="4423" spans="1:6">
      <c r="A4423" t="s">
        <v>5467</v>
      </c>
      <c r="B4423">
        <v>492</v>
      </c>
      <c r="C4423" t="s">
        <v>1045</v>
      </c>
      <c r="D4423">
        <v>3930241</v>
      </c>
      <c r="E4423">
        <v>142359</v>
      </c>
      <c r="F4423">
        <v>63847</v>
      </c>
    </row>
    <row r="4424" spans="1:6">
      <c r="A4424" t="s">
        <v>5468</v>
      </c>
      <c r="B4424">
        <v>492</v>
      </c>
      <c r="C4424" t="s">
        <v>1047</v>
      </c>
      <c r="D4424">
        <v>1091734</v>
      </c>
      <c r="E4424">
        <v>142359</v>
      </c>
      <c r="F4424">
        <v>63847</v>
      </c>
    </row>
    <row r="4425" spans="1:6">
      <c r="A4425" t="s">
        <v>5469</v>
      </c>
      <c r="B4425">
        <v>492</v>
      </c>
      <c r="C4425" t="s">
        <v>1049</v>
      </c>
      <c r="D4425">
        <v>327521</v>
      </c>
      <c r="E4425">
        <v>142359</v>
      </c>
      <c r="F4425">
        <v>63847</v>
      </c>
    </row>
    <row r="4426" spans="1:6">
      <c r="A4426" t="s">
        <v>5470</v>
      </c>
      <c r="B4426">
        <v>492</v>
      </c>
      <c r="C4426" t="s">
        <v>745</v>
      </c>
      <c r="D4426">
        <v>8733868</v>
      </c>
      <c r="E4426">
        <v>142359</v>
      </c>
      <c r="F4426">
        <v>63847</v>
      </c>
    </row>
    <row r="4427" spans="1:6">
      <c r="A4427" t="s">
        <v>5471</v>
      </c>
      <c r="B4427">
        <v>492</v>
      </c>
      <c r="C4427" t="s">
        <v>1052</v>
      </c>
      <c r="D4427">
        <v>19651203</v>
      </c>
      <c r="E4427">
        <v>142359</v>
      </c>
      <c r="F4427">
        <v>63847</v>
      </c>
    </row>
    <row r="4428" spans="1:6">
      <c r="A4428" t="s">
        <v>5472</v>
      </c>
      <c r="B4428">
        <v>492</v>
      </c>
      <c r="C4428" t="s">
        <v>164</v>
      </c>
      <c r="D4428">
        <v>238609518</v>
      </c>
      <c r="E4428">
        <v>150017</v>
      </c>
      <c r="F4428">
        <v>63847</v>
      </c>
    </row>
    <row r="4429" spans="1:6">
      <c r="A4429" t="s">
        <v>5473</v>
      </c>
      <c r="B4429">
        <v>492</v>
      </c>
      <c r="C4429" t="s">
        <v>651</v>
      </c>
      <c r="D4429">
        <v>119304759</v>
      </c>
      <c r="E4429">
        <v>150017</v>
      </c>
      <c r="F4429">
        <v>63847</v>
      </c>
    </row>
    <row r="4430" spans="1:6">
      <c r="A4430" t="s">
        <v>5474</v>
      </c>
      <c r="B4430">
        <v>493</v>
      </c>
      <c r="C4430" t="s">
        <v>154</v>
      </c>
      <c r="D4430">
        <v>2198338</v>
      </c>
      <c r="E4430">
        <v>143172</v>
      </c>
      <c r="F4430">
        <v>64033</v>
      </c>
    </row>
    <row r="4431" spans="1:6">
      <c r="A4431" t="s">
        <v>5475</v>
      </c>
      <c r="B4431">
        <v>493</v>
      </c>
      <c r="C4431" t="s">
        <v>1043</v>
      </c>
      <c r="D4431">
        <v>6595014</v>
      </c>
      <c r="E4431">
        <v>143172</v>
      </c>
      <c r="F4431">
        <v>64033</v>
      </c>
    </row>
    <row r="4432" spans="1:6">
      <c r="A4432" t="s">
        <v>5476</v>
      </c>
      <c r="B4432">
        <v>493</v>
      </c>
      <c r="C4432" t="s">
        <v>1045</v>
      </c>
      <c r="D4432">
        <v>3957009</v>
      </c>
      <c r="E4432">
        <v>143172</v>
      </c>
      <c r="F4432">
        <v>64033</v>
      </c>
    </row>
    <row r="4433" spans="1:6">
      <c r="A4433" t="s">
        <v>5477</v>
      </c>
      <c r="B4433">
        <v>493</v>
      </c>
      <c r="C4433" t="s">
        <v>1047</v>
      </c>
      <c r="D4433">
        <v>1099169</v>
      </c>
      <c r="E4433">
        <v>143172</v>
      </c>
      <c r="F4433">
        <v>64033</v>
      </c>
    </row>
    <row r="4434" spans="1:6">
      <c r="A4434" t="s">
        <v>5478</v>
      </c>
      <c r="B4434">
        <v>493</v>
      </c>
      <c r="C4434" t="s">
        <v>1049</v>
      </c>
      <c r="D4434">
        <v>329751</v>
      </c>
      <c r="E4434">
        <v>143172</v>
      </c>
      <c r="F4434">
        <v>64033</v>
      </c>
    </row>
    <row r="4435" spans="1:6">
      <c r="A4435" t="s">
        <v>5479</v>
      </c>
      <c r="B4435">
        <v>493</v>
      </c>
      <c r="C4435" t="s">
        <v>745</v>
      </c>
      <c r="D4435">
        <v>8793352</v>
      </c>
      <c r="E4435">
        <v>143172</v>
      </c>
      <c r="F4435">
        <v>64033</v>
      </c>
    </row>
    <row r="4436" spans="1:6">
      <c r="A4436" t="s">
        <v>5480</v>
      </c>
      <c r="B4436">
        <v>493</v>
      </c>
      <c r="C4436" t="s">
        <v>1052</v>
      </c>
      <c r="D4436">
        <v>19785042</v>
      </c>
      <c r="E4436">
        <v>143172</v>
      </c>
      <c r="F4436">
        <v>64033</v>
      </c>
    </row>
    <row r="4437" spans="1:6">
      <c r="A4437" t="s">
        <v>5481</v>
      </c>
      <c r="B4437">
        <v>493</v>
      </c>
      <c r="C4437" t="s">
        <v>164</v>
      </c>
      <c r="D4437">
        <v>240369681</v>
      </c>
      <c r="E4437">
        <v>150853</v>
      </c>
      <c r="F4437">
        <v>64033</v>
      </c>
    </row>
    <row r="4438" spans="1:6">
      <c r="A4438" t="s">
        <v>5482</v>
      </c>
      <c r="B4438">
        <v>493</v>
      </c>
      <c r="C4438" t="s">
        <v>651</v>
      </c>
      <c r="D4438">
        <v>120184841</v>
      </c>
      <c r="E4438">
        <v>150853</v>
      </c>
      <c r="F4438">
        <v>64033</v>
      </c>
    </row>
    <row r="4439" spans="1:6">
      <c r="A4439" t="s">
        <v>5483</v>
      </c>
      <c r="B4439">
        <v>494</v>
      </c>
      <c r="C4439" t="s">
        <v>154</v>
      </c>
      <c r="D4439">
        <v>2213290</v>
      </c>
      <c r="E4439">
        <v>143988</v>
      </c>
      <c r="F4439">
        <v>64219</v>
      </c>
    </row>
    <row r="4440" spans="1:6">
      <c r="A4440" t="s">
        <v>5484</v>
      </c>
      <c r="B4440">
        <v>494</v>
      </c>
      <c r="C4440" t="s">
        <v>1043</v>
      </c>
      <c r="D4440">
        <v>6639870</v>
      </c>
      <c r="E4440">
        <v>143988</v>
      </c>
      <c r="F4440">
        <v>64219</v>
      </c>
    </row>
    <row r="4441" spans="1:6">
      <c r="A4441" t="s">
        <v>5485</v>
      </c>
      <c r="B4441">
        <v>494</v>
      </c>
      <c r="C4441" t="s">
        <v>1045</v>
      </c>
      <c r="D4441">
        <v>3983922</v>
      </c>
      <c r="E4441">
        <v>143988</v>
      </c>
      <c r="F4441">
        <v>64219</v>
      </c>
    </row>
    <row r="4442" spans="1:6">
      <c r="A4442" t="s">
        <v>5486</v>
      </c>
      <c r="B4442">
        <v>494</v>
      </c>
      <c r="C4442" t="s">
        <v>1047</v>
      </c>
      <c r="D4442">
        <v>1106645</v>
      </c>
      <c r="E4442">
        <v>143988</v>
      </c>
      <c r="F4442">
        <v>64219</v>
      </c>
    </row>
    <row r="4443" spans="1:6">
      <c r="A4443" t="s">
        <v>5487</v>
      </c>
      <c r="B4443">
        <v>494</v>
      </c>
      <c r="C4443" t="s">
        <v>1049</v>
      </c>
      <c r="D4443">
        <v>331994</v>
      </c>
      <c r="E4443">
        <v>143988</v>
      </c>
      <c r="F4443">
        <v>64219</v>
      </c>
    </row>
    <row r="4444" spans="1:6">
      <c r="A4444" t="s">
        <v>5488</v>
      </c>
      <c r="B4444">
        <v>494</v>
      </c>
      <c r="C4444" t="s">
        <v>745</v>
      </c>
      <c r="D4444">
        <v>8853160</v>
      </c>
      <c r="E4444">
        <v>143988</v>
      </c>
      <c r="F4444">
        <v>64219</v>
      </c>
    </row>
    <row r="4445" spans="1:6">
      <c r="A4445" t="s">
        <v>5489</v>
      </c>
      <c r="B4445">
        <v>494</v>
      </c>
      <c r="C4445" t="s">
        <v>1052</v>
      </c>
      <c r="D4445">
        <v>19919610</v>
      </c>
      <c r="E4445">
        <v>143988</v>
      </c>
      <c r="F4445">
        <v>64219</v>
      </c>
    </row>
    <row r="4446" spans="1:6">
      <c r="A4446" t="s">
        <v>5490</v>
      </c>
      <c r="B4446">
        <v>494</v>
      </c>
      <c r="C4446" t="s">
        <v>164</v>
      </c>
      <c r="D4446">
        <v>242140605</v>
      </c>
      <c r="E4446">
        <v>151692</v>
      </c>
      <c r="F4446">
        <v>64219</v>
      </c>
    </row>
    <row r="4447" spans="1:6">
      <c r="A4447" t="s">
        <v>5491</v>
      </c>
      <c r="B4447">
        <v>494</v>
      </c>
      <c r="C4447" t="s">
        <v>651</v>
      </c>
      <c r="D4447">
        <v>121070303</v>
      </c>
      <c r="E4447">
        <v>151692</v>
      </c>
      <c r="F4447">
        <v>64219</v>
      </c>
    </row>
    <row r="4448" spans="1:6">
      <c r="A4448" t="s">
        <v>5492</v>
      </c>
      <c r="B4448">
        <v>495</v>
      </c>
      <c r="C4448" t="s">
        <v>154</v>
      </c>
      <c r="D4448">
        <v>2228326</v>
      </c>
      <c r="E4448">
        <v>144810</v>
      </c>
      <c r="F4448">
        <v>64405</v>
      </c>
    </row>
    <row r="4449" spans="1:6">
      <c r="A4449" t="s">
        <v>5493</v>
      </c>
      <c r="B4449">
        <v>495</v>
      </c>
      <c r="C4449" t="s">
        <v>1043</v>
      </c>
      <c r="D4449">
        <v>6684978</v>
      </c>
      <c r="E4449">
        <v>144810</v>
      </c>
      <c r="F4449">
        <v>64405</v>
      </c>
    </row>
    <row r="4450" spans="1:6">
      <c r="A4450" t="s">
        <v>5494</v>
      </c>
      <c r="B4450">
        <v>495</v>
      </c>
      <c r="C4450" t="s">
        <v>1045</v>
      </c>
      <c r="D4450">
        <v>4010987</v>
      </c>
      <c r="E4450">
        <v>144810</v>
      </c>
      <c r="F4450">
        <v>64405</v>
      </c>
    </row>
    <row r="4451" spans="1:6">
      <c r="A4451" t="s">
        <v>5495</v>
      </c>
      <c r="B4451">
        <v>495</v>
      </c>
      <c r="C4451" t="s">
        <v>1047</v>
      </c>
      <c r="D4451">
        <v>1114163</v>
      </c>
      <c r="E4451">
        <v>144810</v>
      </c>
      <c r="F4451">
        <v>64405</v>
      </c>
    </row>
    <row r="4452" spans="1:6">
      <c r="A4452" t="s">
        <v>5496</v>
      </c>
      <c r="B4452">
        <v>495</v>
      </c>
      <c r="C4452" t="s">
        <v>1049</v>
      </c>
      <c r="D4452">
        <v>334249</v>
      </c>
      <c r="E4452">
        <v>144810</v>
      </c>
      <c r="F4452">
        <v>64405</v>
      </c>
    </row>
    <row r="4453" spans="1:6">
      <c r="A4453" t="s">
        <v>5497</v>
      </c>
      <c r="B4453">
        <v>495</v>
      </c>
      <c r="C4453" t="s">
        <v>745</v>
      </c>
      <c r="D4453">
        <v>8913304</v>
      </c>
      <c r="E4453">
        <v>144810</v>
      </c>
      <c r="F4453">
        <v>64405</v>
      </c>
    </row>
    <row r="4454" spans="1:6">
      <c r="A4454" t="s">
        <v>5498</v>
      </c>
      <c r="B4454">
        <v>495</v>
      </c>
      <c r="C4454" t="s">
        <v>1052</v>
      </c>
      <c r="D4454">
        <v>20054934</v>
      </c>
      <c r="E4454">
        <v>144810</v>
      </c>
      <c r="F4454">
        <v>64405</v>
      </c>
    </row>
    <row r="4455" spans="1:6">
      <c r="A4455" t="s">
        <v>5499</v>
      </c>
      <c r="B4455">
        <v>495</v>
      </c>
      <c r="C4455" t="s">
        <v>164</v>
      </c>
      <c r="D4455">
        <v>243922392</v>
      </c>
      <c r="E4455">
        <v>152536</v>
      </c>
      <c r="F4455">
        <v>64405</v>
      </c>
    </row>
    <row r="4456" spans="1:6">
      <c r="A4456" t="s">
        <v>5500</v>
      </c>
      <c r="B4456">
        <v>495</v>
      </c>
      <c r="C4456" t="s">
        <v>651</v>
      </c>
      <c r="D4456">
        <v>121961196</v>
      </c>
      <c r="E4456">
        <v>152536</v>
      </c>
      <c r="F4456">
        <v>64405</v>
      </c>
    </row>
    <row r="4457" spans="1:6">
      <c r="A4457" t="s">
        <v>5501</v>
      </c>
      <c r="B4457">
        <v>496</v>
      </c>
      <c r="C4457" t="s">
        <v>154</v>
      </c>
      <c r="D4457">
        <v>2243444</v>
      </c>
      <c r="E4457">
        <v>145635</v>
      </c>
      <c r="F4457">
        <v>64592</v>
      </c>
    </row>
    <row r="4458" spans="1:6">
      <c r="A4458" t="s">
        <v>5502</v>
      </c>
      <c r="B4458">
        <v>496</v>
      </c>
      <c r="C4458" t="s">
        <v>1043</v>
      </c>
      <c r="D4458">
        <v>6730332</v>
      </c>
      <c r="E4458">
        <v>145635</v>
      </c>
      <c r="F4458">
        <v>64592</v>
      </c>
    </row>
    <row r="4459" spans="1:6">
      <c r="A4459" t="s">
        <v>5503</v>
      </c>
      <c r="B4459">
        <v>496</v>
      </c>
      <c r="C4459" t="s">
        <v>1045</v>
      </c>
      <c r="D4459">
        <v>4038200</v>
      </c>
      <c r="E4459">
        <v>145635</v>
      </c>
      <c r="F4459">
        <v>64592</v>
      </c>
    </row>
    <row r="4460" spans="1:6">
      <c r="A4460" t="s">
        <v>5504</v>
      </c>
      <c r="B4460">
        <v>496</v>
      </c>
      <c r="C4460" t="s">
        <v>1047</v>
      </c>
      <c r="D4460">
        <v>1121722</v>
      </c>
      <c r="E4460">
        <v>145635</v>
      </c>
      <c r="F4460">
        <v>64592</v>
      </c>
    </row>
    <row r="4461" spans="1:6">
      <c r="A4461" t="s">
        <v>5505</v>
      </c>
      <c r="B4461">
        <v>496</v>
      </c>
      <c r="C4461" t="s">
        <v>1049</v>
      </c>
      <c r="D4461">
        <v>336517</v>
      </c>
      <c r="E4461">
        <v>145635</v>
      </c>
      <c r="F4461">
        <v>64592</v>
      </c>
    </row>
    <row r="4462" spans="1:6">
      <c r="A4462" t="s">
        <v>5506</v>
      </c>
      <c r="B4462">
        <v>496</v>
      </c>
      <c r="C4462" t="s">
        <v>745</v>
      </c>
      <c r="D4462">
        <v>8973776</v>
      </c>
      <c r="E4462">
        <v>145635</v>
      </c>
      <c r="F4462">
        <v>64592</v>
      </c>
    </row>
    <row r="4463" spans="1:6">
      <c r="A4463" t="s">
        <v>5507</v>
      </c>
      <c r="B4463">
        <v>496</v>
      </c>
      <c r="C4463" t="s">
        <v>1052</v>
      </c>
      <c r="D4463">
        <v>20190996</v>
      </c>
      <c r="E4463">
        <v>145635</v>
      </c>
      <c r="F4463">
        <v>64592</v>
      </c>
    </row>
    <row r="4464" spans="1:6">
      <c r="A4464" t="s">
        <v>5508</v>
      </c>
      <c r="B4464">
        <v>496</v>
      </c>
      <c r="C4464" t="s">
        <v>164</v>
      </c>
      <c r="D4464">
        <v>245715093</v>
      </c>
      <c r="E4464">
        <v>153384</v>
      </c>
      <c r="F4464">
        <v>64592</v>
      </c>
    </row>
    <row r="4465" spans="1:6">
      <c r="A4465" t="s">
        <v>5509</v>
      </c>
      <c r="B4465">
        <v>496</v>
      </c>
      <c r="C4465" t="s">
        <v>651</v>
      </c>
      <c r="D4465">
        <v>122857547</v>
      </c>
      <c r="E4465">
        <v>153384</v>
      </c>
      <c r="F4465">
        <v>64592</v>
      </c>
    </row>
    <row r="4466" spans="1:6">
      <c r="A4466" t="s">
        <v>5510</v>
      </c>
      <c r="B4466">
        <v>497</v>
      </c>
      <c r="C4466" t="s">
        <v>154</v>
      </c>
      <c r="D4466">
        <v>2258645</v>
      </c>
      <c r="E4466">
        <v>146464</v>
      </c>
      <c r="F4466">
        <v>64778</v>
      </c>
    </row>
    <row r="4467" spans="1:6">
      <c r="A4467" t="s">
        <v>5511</v>
      </c>
      <c r="B4467">
        <v>497</v>
      </c>
      <c r="C4467" t="s">
        <v>1043</v>
      </c>
      <c r="D4467">
        <v>6775935</v>
      </c>
      <c r="E4467">
        <v>146464</v>
      </c>
      <c r="F4467">
        <v>64778</v>
      </c>
    </row>
    <row r="4468" spans="1:6">
      <c r="A4468" t="s">
        <v>5512</v>
      </c>
      <c r="B4468">
        <v>497</v>
      </c>
      <c r="C4468" t="s">
        <v>1045</v>
      </c>
      <c r="D4468">
        <v>4065561</v>
      </c>
      <c r="E4468">
        <v>146464</v>
      </c>
      <c r="F4468">
        <v>64778</v>
      </c>
    </row>
    <row r="4469" spans="1:6">
      <c r="A4469" t="s">
        <v>5513</v>
      </c>
      <c r="B4469">
        <v>497</v>
      </c>
      <c r="C4469" t="s">
        <v>1047</v>
      </c>
      <c r="D4469">
        <v>1129323</v>
      </c>
      <c r="E4469">
        <v>146464</v>
      </c>
      <c r="F4469">
        <v>64778</v>
      </c>
    </row>
    <row r="4470" spans="1:6">
      <c r="A4470" t="s">
        <v>5514</v>
      </c>
      <c r="B4470">
        <v>497</v>
      </c>
      <c r="C4470" t="s">
        <v>1049</v>
      </c>
      <c r="D4470">
        <v>338797</v>
      </c>
      <c r="E4470">
        <v>146464</v>
      </c>
      <c r="F4470">
        <v>64778</v>
      </c>
    </row>
    <row r="4471" spans="1:6">
      <c r="A4471" t="s">
        <v>5515</v>
      </c>
      <c r="B4471">
        <v>497</v>
      </c>
      <c r="C4471" t="s">
        <v>745</v>
      </c>
      <c r="D4471">
        <v>9034580</v>
      </c>
      <c r="E4471">
        <v>146464</v>
      </c>
      <c r="F4471">
        <v>64778</v>
      </c>
    </row>
    <row r="4472" spans="1:6">
      <c r="A4472" t="s">
        <v>5516</v>
      </c>
      <c r="B4472">
        <v>497</v>
      </c>
      <c r="C4472" t="s">
        <v>1052</v>
      </c>
      <c r="D4472">
        <v>20327805</v>
      </c>
      <c r="E4472">
        <v>146464</v>
      </c>
      <c r="F4472">
        <v>64778</v>
      </c>
    </row>
    <row r="4473" spans="1:6">
      <c r="A4473" t="s">
        <v>5517</v>
      </c>
      <c r="B4473">
        <v>497</v>
      </c>
      <c r="C4473" t="s">
        <v>164</v>
      </c>
      <c r="D4473">
        <v>247518759</v>
      </c>
      <c r="E4473">
        <v>154236</v>
      </c>
      <c r="F4473">
        <v>64778</v>
      </c>
    </row>
    <row r="4474" spans="1:6">
      <c r="A4474" t="s">
        <v>5518</v>
      </c>
      <c r="B4474">
        <v>497</v>
      </c>
      <c r="C4474" t="s">
        <v>651</v>
      </c>
      <c r="D4474">
        <v>123759380</v>
      </c>
      <c r="E4474">
        <v>154236</v>
      </c>
      <c r="F4474">
        <v>64778</v>
      </c>
    </row>
    <row r="4475" spans="1:6">
      <c r="A4475" t="s">
        <v>5519</v>
      </c>
      <c r="B4475">
        <v>498</v>
      </c>
      <c r="C4475" t="s">
        <v>154</v>
      </c>
      <c r="D4475">
        <v>2273930</v>
      </c>
      <c r="E4475">
        <v>147297</v>
      </c>
      <c r="F4475">
        <v>64965</v>
      </c>
    </row>
    <row r="4476" spans="1:6">
      <c r="A4476" t="s">
        <v>5520</v>
      </c>
      <c r="B4476">
        <v>498</v>
      </c>
      <c r="C4476" t="s">
        <v>1043</v>
      </c>
      <c r="D4476">
        <v>6821790</v>
      </c>
      <c r="E4476">
        <v>147297</v>
      </c>
      <c r="F4476">
        <v>64965</v>
      </c>
    </row>
    <row r="4477" spans="1:6">
      <c r="A4477" t="s">
        <v>5521</v>
      </c>
      <c r="B4477">
        <v>498</v>
      </c>
      <c r="C4477" t="s">
        <v>1045</v>
      </c>
      <c r="D4477">
        <v>4093074</v>
      </c>
      <c r="E4477">
        <v>147297</v>
      </c>
      <c r="F4477">
        <v>64965</v>
      </c>
    </row>
    <row r="4478" spans="1:6">
      <c r="A4478" t="s">
        <v>5522</v>
      </c>
      <c r="B4478">
        <v>498</v>
      </c>
      <c r="C4478" t="s">
        <v>1047</v>
      </c>
      <c r="D4478">
        <v>1136965</v>
      </c>
      <c r="E4478">
        <v>147297</v>
      </c>
      <c r="F4478">
        <v>64965</v>
      </c>
    </row>
    <row r="4479" spans="1:6">
      <c r="A4479" t="s">
        <v>5523</v>
      </c>
      <c r="B4479">
        <v>498</v>
      </c>
      <c r="C4479" t="s">
        <v>1049</v>
      </c>
      <c r="D4479">
        <v>341090</v>
      </c>
      <c r="E4479">
        <v>147297</v>
      </c>
      <c r="F4479">
        <v>64965</v>
      </c>
    </row>
    <row r="4480" spans="1:6">
      <c r="A4480" t="s">
        <v>5524</v>
      </c>
      <c r="B4480">
        <v>498</v>
      </c>
      <c r="C4480" t="s">
        <v>745</v>
      </c>
      <c r="D4480">
        <v>9095720</v>
      </c>
      <c r="E4480">
        <v>147297</v>
      </c>
      <c r="F4480">
        <v>64965</v>
      </c>
    </row>
    <row r="4481" spans="1:6">
      <c r="A4481" t="s">
        <v>5525</v>
      </c>
      <c r="B4481">
        <v>498</v>
      </c>
      <c r="C4481" t="s">
        <v>1052</v>
      </c>
      <c r="D4481">
        <v>20465370</v>
      </c>
      <c r="E4481">
        <v>147297</v>
      </c>
      <c r="F4481">
        <v>64965</v>
      </c>
    </row>
    <row r="4482" spans="1:6">
      <c r="A4482" t="s">
        <v>5526</v>
      </c>
      <c r="B4482">
        <v>498</v>
      </c>
      <c r="C4482" t="s">
        <v>164</v>
      </c>
      <c r="D4482">
        <v>249333441</v>
      </c>
      <c r="E4482">
        <v>155092</v>
      </c>
      <c r="F4482">
        <v>64965</v>
      </c>
    </row>
    <row r="4483" spans="1:6">
      <c r="A4483" t="s">
        <v>5527</v>
      </c>
      <c r="B4483">
        <v>498</v>
      </c>
      <c r="C4483" t="s">
        <v>651</v>
      </c>
      <c r="D4483">
        <v>124666721</v>
      </c>
      <c r="E4483">
        <v>155092</v>
      </c>
      <c r="F4483">
        <v>64965</v>
      </c>
    </row>
    <row r="4484" spans="1:6">
      <c r="A4484" t="s">
        <v>5528</v>
      </c>
      <c r="B4484">
        <v>499</v>
      </c>
      <c r="C4484" t="s">
        <v>154</v>
      </c>
      <c r="D4484">
        <v>2289299</v>
      </c>
      <c r="E4484">
        <v>148134</v>
      </c>
      <c r="F4484">
        <v>65153</v>
      </c>
    </row>
    <row r="4485" spans="1:6">
      <c r="A4485" t="s">
        <v>5529</v>
      </c>
      <c r="B4485">
        <v>499</v>
      </c>
      <c r="C4485" t="s">
        <v>1043</v>
      </c>
      <c r="D4485">
        <v>6867897</v>
      </c>
      <c r="E4485">
        <v>148134</v>
      </c>
      <c r="F4485">
        <v>65153</v>
      </c>
    </row>
    <row r="4486" spans="1:6">
      <c r="A4486" t="s">
        <v>5530</v>
      </c>
      <c r="B4486">
        <v>499</v>
      </c>
      <c r="C4486" t="s">
        <v>1045</v>
      </c>
      <c r="D4486">
        <v>4120739</v>
      </c>
      <c r="E4486">
        <v>148134</v>
      </c>
      <c r="F4486">
        <v>65153</v>
      </c>
    </row>
    <row r="4487" spans="1:6">
      <c r="A4487" t="s">
        <v>5531</v>
      </c>
      <c r="B4487">
        <v>499</v>
      </c>
      <c r="C4487" t="s">
        <v>1047</v>
      </c>
      <c r="D4487">
        <v>1144650</v>
      </c>
      <c r="E4487">
        <v>148134</v>
      </c>
      <c r="F4487">
        <v>65153</v>
      </c>
    </row>
    <row r="4488" spans="1:6">
      <c r="A4488" t="s">
        <v>5532</v>
      </c>
      <c r="B4488">
        <v>499</v>
      </c>
      <c r="C4488" t="s">
        <v>1049</v>
      </c>
      <c r="D4488">
        <v>343395</v>
      </c>
      <c r="E4488">
        <v>148134</v>
      </c>
      <c r="F4488">
        <v>65153</v>
      </c>
    </row>
    <row r="4489" spans="1:6">
      <c r="A4489" t="s">
        <v>5533</v>
      </c>
      <c r="B4489">
        <v>499</v>
      </c>
      <c r="C4489" t="s">
        <v>745</v>
      </c>
      <c r="D4489">
        <v>9157196</v>
      </c>
      <c r="E4489">
        <v>148134</v>
      </c>
      <c r="F4489">
        <v>65153</v>
      </c>
    </row>
    <row r="4490" spans="1:6">
      <c r="A4490" t="s">
        <v>5534</v>
      </c>
      <c r="B4490">
        <v>499</v>
      </c>
      <c r="C4490" t="s">
        <v>1052</v>
      </c>
      <c r="D4490">
        <v>20603691</v>
      </c>
      <c r="E4490">
        <v>148134</v>
      </c>
      <c r="F4490">
        <v>65153</v>
      </c>
    </row>
    <row r="4491" spans="1:6">
      <c r="A4491" t="s">
        <v>5535</v>
      </c>
      <c r="B4491">
        <v>499</v>
      </c>
      <c r="C4491" t="s">
        <v>164</v>
      </c>
      <c r="D4491">
        <v>251159139</v>
      </c>
      <c r="E4491">
        <v>155952</v>
      </c>
      <c r="F4491">
        <v>65153</v>
      </c>
    </row>
    <row r="4492" spans="1:6">
      <c r="A4492" t="s">
        <v>5536</v>
      </c>
      <c r="B4492">
        <v>499</v>
      </c>
      <c r="C4492" t="s">
        <v>651</v>
      </c>
      <c r="D4492">
        <v>125579570</v>
      </c>
      <c r="E4492">
        <v>155952</v>
      </c>
      <c r="F4492">
        <v>65153</v>
      </c>
    </row>
    <row r="4493" spans="1:6">
      <c r="A4493" t="s">
        <v>5537</v>
      </c>
      <c r="B4493">
        <v>500</v>
      </c>
      <c r="C4493" t="s">
        <v>154</v>
      </c>
      <c r="D4493">
        <v>2304753</v>
      </c>
      <c r="E4493">
        <v>148975</v>
      </c>
      <c r="F4493">
        <v>65340</v>
      </c>
    </row>
    <row r="4494" spans="1:6">
      <c r="A4494" t="s">
        <v>5538</v>
      </c>
      <c r="B4494">
        <v>500</v>
      </c>
      <c r="C4494" t="s">
        <v>1043</v>
      </c>
      <c r="D4494">
        <v>6914259</v>
      </c>
      <c r="E4494">
        <v>148975</v>
      </c>
      <c r="F4494">
        <v>65340</v>
      </c>
    </row>
    <row r="4495" spans="1:6">
      <c r="A4495" t="s">
        <v>5539</v>
      </c>
      <c r="B4495">
        <v>500</v>
      </c>
      <c r="C4495" t="s">
        <v>1045</v>
      </c>
      <c r="D4495">
        <v>4148556</v>
      </c>
      <c r="E4495">
        <v>148975</v>
      </c>
      <c r="F4495">
        <v>65340</v>
      </c>
    </row>
    <row r="4496" spans="1:6">
      <c r="A4496" t="s">
        <v>5540</v>
      </c>
      <c r="B4496">
        <v>500</v>
      </c>
      <c r="C4496" t="s">
        <v>1047</v>
      </c>
      <c r="D4496">
        <v>1152377</v>
      </c>
      <c r="E4496">
        <v>148975</v>
      </c>
      <c r="F4496">
        <v>65340</v>
      </c>
    </row>
    <row r="4497" spans="1:6">
      <c r="A4497" t="s">
        <v>5541</v>
      </c>
      <c r="B4497">
        <v>500</v>
      </c>
      <c r="C4497" t="s">
        <v>1049</v>
      </c>
      <c r="D4497">
        <v>345713</v>
      </c>
      <c r="E4497">
        <v>148975</v>
      </c>
      <c r="F4497">
        <v>65340</v>
      </c>
    </row>
    <row r="4498" spans="1:6">
      <c r="A4498" t="s">
        <v>5542</v>
      </c>
      <c r="B4498">
        <v>500</v>
      </c>
      <c r="C4498" t="s">
        <v>745</v>
      </c>
      <c r="D4498">
        <v>9219012</v>
      </c>
      <c r="E4498">
        <v>148975</v>
      </c>
      <c r="F4498">
        <v>65340</v>
      </c>
    </row>
    <row r="4499" spans="1:6">
      <c r="A4499" t="s">
        <v>5543</v>
      </c>
      <c r="B4499">
        <v>500</v>
      </c>
      <c r="C4499" t="s">
        <v>1052</v>
      </c>
      <c r="D4499">
        <v>20742777</v>
      </c>
      <c r="E4499">
        <v>148975</v>
      </c>
      <c r="F4499">
        <v>65340</v>
      </c>
    </row>
    <row r="4500" spans="1:6">
      <c r="A4500" t="s">
        <v>5544</v>
      </c>
      <c r="B4500">
        <v>500</v>
      </c>
      <c r="C4500" t="s">
        <v>164</v>
      </c>
      <c r="D4500">
        <v>252996006</v>
      </c>
      <c r="E4500">
        <v>156816</v>
      </c>
      <c r="F4500">
        <v>65340</v>
      </c>
    </row>
    <row r="4501" spans="1:6">
      <c r="A4501" t="s">
        <v>5545</v>
      </c>
      <c r="B4501">
        <v>500</v>
      </c>
      <c r="C4501" t="s">
        <v>651</v>
      </c>
      <c r="D4501">
        <v>126498003</v>
      </c>
      <c r="E4501">
        <v>156816</v>
      </c>
      <c r="F4501">
        <v>65340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"/>
  <sheetViews>
    <sheetView workbookViewId="0">
      <selection activeCell="A1" sqref="A1"/>
    </sheetView>
  </sheetViews>
  <sheetFormatPr defaultColWidth="9" defaultRowHeight="13.5"/>
  <sheetData>
    <row r="1" ht="15" customHeight="1" spans="1:1">
      <c r="A1" s="25" t="s">
        <v>124</v>
      </c>
    </row>
    <row r="2" spans="1:1">
      <c r="A2" t="s">
        <v>154</v>
      </c>
    </row>
    <row r="3" spans="1:1">
      <c r="A3" t="s">
        <v>1043</v>
      </c>
    </row>
    <row r="4" spans="1:1">
      <c r="A4" t="s">
        <v>1045</v>
      </c>
    </row>
    <row r="5" spans="1:1">
      <c r="A5" t="s">
        <v>1047</v>
      </c>
    </row>
    <row r="6" spans="1:1">
      <c r="A6" t="s">
        <v>1049</v>
      </c>
    </row>
    <row r="7" spans="1:1">
      <c r="A7" t="s">
        <v>745</v>
      </c>
    </row>
    <row r="8" spans="1:1">
      <c r="A8" t="s">
        <v>1052</v>
      </c>
    </row>
    <row r="9" spans="1:1">
      <c r="A9" t="s">
        <v>164</v>
      </c>
    </row>
    <row r="10" spans="1:1">
      <c r="A10" t="s">
        <v>651</v>
      </c>
    </row>
    <row r="11" spans="1:1">
      <c r="A11" t="s">
        <v>1024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9"/>
  <sheetViews>
    <sheetView workbookViewId="0">
      <selection activeCell="A1" sqref="A1:AF1"/>
    </sheetView>
  </sheetViews>
  <sheetFormatPr defaultColWidth="9" defaultRowHeight="13.5"/>
  <cols>
    <col min="1" max="3" width="15" customWidth="1"/>
    <col min="4" max="5" width="26" customWidth="1"/>
    <col min="6" max="29" width="15" customWidth="1"/>
    <col min="30" max="30" width="65" customWidth="1"/>
    <col min="31" max="32" width="22" customWidth="1"/>
  </cols>
  <sheetData>
    <row r="1" ht="32" customHeight="1" spans="1:32">
      <c r="A1" s="8" t="s">
        <v>5546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40" customHeight="1" spans="1:32">
      <c r="A2" s="19" t="s">
        <v>5547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</row>
    <row r="3" spans="1:32">
      <c r="A3" t="s">
        <v>120</v>
      </c>
    </row>
    <row r="4" ht="40" customHeight="1" spans="1:32">
      <c r="A4" t="s">
        <v>81</v>
      </c>
      <c r="B4" t="s">
        <v>80</v>
      </c>
      <c r="C4" t="s">
        <v>121</v>
      </c>
      <c r="D4" t="s">
        <v>122</v>
      </c>
      <c r="E4" t="s">
        <v>123</v>
      </c>
      <c r="F4" t="s">
        <v>124</v>
      </c>
      <c r="G4" t="s">
        <v>125</v>
      </c>
      <c r="H4" t="s">
        <v>126</v>
      </c>
      <c r="I4" t="s">
        <v>127</v>
      </c>
      <c r="J4" t="s">
        <v>128</v>
      </c>
      <c r="K4" t="s">
        <v>129</v>
      </c>
      <c r="L4" t="s">
        <v>130</v>
      </c>
      <c r="M4" t="s">
        <v>131</v>
      </c>
      <c r="N4" t="s">
        <v>132</v>
      </c>
      <c r="O4" t="s">
        <v>133</v>
      </c>
      <c r="P4" t="s">
        <v>134</v>
      </c>
      <c r="Q4" s="3" t="s">
        <v>135</v>
      </c>
      <c r="R4" s="3" t="s">
        <v>136</v>
      </c>
      <c r="S4" s="3" t="s">
        <v>137</v>
      </c>
      <c r="T4" s="3" t="s">
        <v>138</v>
      </c>
      <c r="U4" s="3" t="s">
        <v>139</v>
      </c>
      <c r="V4" s="3" t="s">
        <v>140</v>
      </c>
      <c r="W4" s="3" t="s">
        <v>141</v>
      </c>
      <c r="X4" s="3" t="s">
        <v>142</v>
      </c>
      <c r="Y4" s="3" t="s">
        <v>143</v>
      </c>
      <c r="Z4" s="3" t="s">
        <v>144</v>
      </c>
      <c r="AA4" s="3" t="s">
        <v>145</v>
      </c>
      <c r="AB4" s="3" t="s">
        <v>146</v>
      </c>
      <c r="AC4" s="3" t="s">
        <v>147</v>
      </c>
      <c r="AD4" s="3" t="s">
        <v>91</v>
      </c>
      <c r="AE4" s="3" t="s">
        <v>148</v>
      </c>
      <c r="AF4" s="3" t="s">
        <v>149</v>
      </c>
    </row>
    <row r="5" spans="1:32">
      <c r="A5" t="s">
        <v>5548</v>
      </c>
      <c r="B5" t="s">
        <v>5549</v>
      </c>
      <c r="C5" t="s">
        <v>5550</v>
      </c>
      <c r="D5" t="s">
        <v>573</v>
      </c>
      <c r="E5" t="s">
        <v>5551</v>
      </c>
      <c r="F5" t="s">
        <v>154</v>
      </c>
      <c r="G5">
        <v>16</v>
      </c>
      <c r="I5">
        <f>IF($H5="",$G5,$H5)</f>
        <v>16</v>
      </c>
      <c r="J5">
        <v>20</v>
      </c>
      <c r="K5" s="23">
        <v>1.08830187415834</v>
      </c>
      <c r="L5" s="23">
        <v>0.874592828608589</v>
      </c>
      <c r="M5" s="23">
        <v>1</v>
      </c>
      <c r="N5">
        <v>1</v>
      </c>
      <c r="O5">
        <v>1</v>
      </c>
      <c r="P5" s="18">
        <v>0.274567673786944</v>
      </c>
      <c r="Q5" s="24">
        <f>IF($I5="","",IFERROR(INDEX(_玩家曲线!$H$2:$H$286,MATCH($I5,_玩家曲线!$A$2:$A$286,0)),""))</f>
        <v>12729.4716557661</v>
      </c>
      <c r="R5" s="24">
        <f>IF($I5="","",IFERROR(INDEX(_玩家曲线!$I$2:$I$286,MATCH($I5,_玩家曲线!$A$2:$A$286,0)),""))</f>
        <v>43361.3035091893</v>
      </c>
      <c r="S5" s="24">
        <f>IF(OR($J5="",$F5="不适用"),"",IFERROR(INDEX(_怪物模型!$D$2:$D$4501,(INT($J5)-1)*ROWS(_怪物类型!$A$2:$A$10)+MATCH($F5,_怪物类型!$A$2:$A$10,0))*IF($K5="",1,$K5),""))</f>
        <v>3286.67165995819</v>
      </c>
      <c r="T5" s="24">
        <f>IF(OR($J5="",$F5="不适用"),"",IFERROR(INDEX(_怪物模型!$E$2:$E$4501,(INT($J5)-1)*ROWS(_怪物类型!$A$2:$A$10)+MATCH($F5,_怪物类型!$A$2:$A$10,0))*IF($L5="",1,$L5),""))</f>
        <v>839.609115464245</v>
      </c>
      <c r="U5" s="24">
        <f>IF(OR($J5="",$F5="不适用"),"",IFERROR(INDEX(_怪物模型!$F$2:$F$4501,(INT($J5)-1)*ROWS(_怪物类型!$A$2:$A$10)+MATCH($F5,_怪物类型!$A$2:$A$10,0))*IF($M5="",1,$M5),""))</f>
        <v>1522</v>
      </c>
      <c r="V5" s="6">
        <f>IF($U5="","",MIN(0.75,$U5/($U5+24000)))</f>
        <v>0.0596348248569861</v>
      </c>
      <c r="W5" s="24">
        <f>IF($S5="","",$S5/(1-$V5)*IF($N5="",1,$N5))</f>
        <v>3495.10142106053</v>
      </c>
      <c r="X5" s="18">
        <f>IF(OR($W5="",$Q5="",$Q5=0),"",$W5/$Q5)</f>
        <v>0.274567673786944</v>
      </c>
      <c r="Y5" s="18">
        <f>IF(OR($R5="",$T5="",$T5=0),"",$R5/($T5*IF($O5="",1,$O5)))</f>
        <v>51.6446316631681</v>
      </c>
      <c r="Z5" s="18">
        <f>IF(OR($X5="",$P5="",$P5=0),"",$X5/$P5)</f>
        <v>1</v>
      </c>
      <c r="AA5" t="str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>适中</v>
      </c>
      <c r="AB5" t="str">
        <f>IF($J5="","待填",IF(AND(ISNUMBER($J5),$J5&gt;=1,$J5&lt;=500,MOD($J5,1)=0),"有效","超范围"))</f>
        <v>有效</v>
      </c>
      <c r="AC5" t="s">
        <v>5552</v>
      </c>
      <c r="AD5" t="s">
        <v>575</v>
      </c>
      <c r="AE5" s="4">
        <v>7220</v>
      </c>
      <c r="AF5" s="4">
        <f>INDEX(_统一战力!$B$2:$B$501,J5)</f>
        <v>11200</v>
      </c>
    </row>
    <row r="6" spans="1:32">
      <c r="A6" t="s">
        <v>5548</v>
      </c>
      <c r="B6" t="s">
        <v>5549</v>
      </c>
      <c r="C6" t="s">
        <v>5550</v>
      </c>
      <c r="D6" t="s">
        <v>576</v>
      </c>
      <c r="E6" t="s">
        <v>5553</v>
      </c>
      <c r="F6" t="s">
        <v>154</v>
      </c>
      <c r="G6">
        <v>20</v>
      </c>
      <c r="I6">
        <f>IF($H6="",$G6,$H6)</f>
        <v>20</v>
      </c>
      <c r="J6">
        <v>24</v>
      </c>
      <c r="K6" s="23">
        <v>1.07226447081797</v>
      </c>
      <c r="L6" s="23">
        <v>0.877882152006833</v>
      </c>
      <c r="M6" s="23">
        <v>1</v>
      </c>
      <c r="N6">
        <v>1</v>
      </c>
      <c r="O6">
        <v>1</v>
      </c>
      <c r="P6" s="18">
        <v>0.242559115520248</v>
      </c>
      <c r="Q6" s="24">
        <f>IF($I6="","",IFERROR(INDEX(_玩家曲线!$H$2:$H$286,MATCH($I6,_玩家曲线!$A$2:$A$286,0)),""))</f>
        <v>18422.0658556409</v>
      </c>
      <c r="R6" s="24">
        <f>IF($I6="","",IFERROR(INDEX(_玩家曲线!$I$2:$I$286,MATCH($I6,_玩家曲线!$A$2:$A$286,0)),""))</f>
        <v>58659.1211219852</v>
      </c>
      <c r="S6" s="24">
        <f>IF(OR($J6="",$F6="不适用"),"",IFERROR(INDEX(_怪物模型!$D$2:$D$4501,(INT($J6)-1)*ROWS(_怪物类型!$A$2:$A$10)+MATCH($F6,_怪物类型!$A$2:$A$10,0))*IF($K6="",1,$K6),""))</f>
        <v>4150.73576653636</v>
      </c>
      <c r="T6" s="24">
        <f>IF(OR($J6="",$F6="不适用"),"",IFERROR(INDEX(_怪物模型!$E$2:$E$4501,(INT($J6)-1)*ROWS(_怪物类型!$A$2:$A$10)+MATCH($F6,_怪物类型!$A$2:$A$10,0))*IF($L6="",1,$L6),""))</f>
        <v>1028</v>
      </c>
      <c r="U6" s="24">
        <f>IF(OR($J6="",$F6="不适用"),"",IFERROR(INDEX(_怪物模型!$F$2:$F$4501,(INT($J6)-1)*ROWS(_怪物类型!$A$2:$A$10)+MATCH($F6,_怪物类型!$A$2:$A$10,0))*IF($M6="",1,$M6),""))</f>
        <v>1837</v>
      </c>
      <c r="V6" s="6">
        <f>IF($U6="","",MIN(0.75,$U6/($U6+24000)))</f>
        <v>0.071099585865232</v>
      </c>
      <c r="W6" s="24">
        <f>IF($S6="","",$S6/(1-$V6)*IF($N6="",1,$N6))</f>
        <v>4468.44</v>
      </c>
      <c r="X6" s="18">
        <f>IF(OR($W6="",$Q6="",$Q6=0),"",$W6/$Q6)</f>
        <v>0.242559115520247</v>
      </c>
      <c r="Y6" s="18">
        <f>IF(OR($R6="",$T6="",$T6=0),"",$R6/($T6*IF($O6="",1,$O6)))</f>
        <v>57.0614018696353</v>
      </c>
      <c r="Z6" s="18">
        <f>IF(OR($X6="",$P6="",$P6=0),"",$X6/$P6)</f>
        <v>0.999999999999996</v>
      </c>
      <c r="AA6" t="str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>适中</v>
      </c>
      <c r="AB6" t="str">
        <f>IF($J6="","待填",IF(AND(ISNUMBER($J6),$J6&gt;=1,$J6&lt;=500,MOD($J6,1)=0),"有效","超范围"))</f>
        <v>有效</v>
      </c>
      <c r="AC6" t="str">
        <f>IF(C6&lt;&gt;C5,"新玩法组",IF(J6&gt;=J5,"不降","回退"))</f>
        <v>不降</v>
      </c>
      <c r="AD6" t="s">
        <v>578</v>
      </c>
      <c r="AE6" s="4">
        <v>10100</v>
      </c>
      <c r="AF6" s="4">
        <f>INDEX(_统一战力!$B$2:$B$501,J6)</f>
        <v>14700</v>
      </c>
    </row>
    <row r="7" spans="1:32">
      <c r="A7" t="s">
        <v>5548</v>
      </c>
      <c r="B7" t="s">
        <v>5549</v>
      </c>
      <c r="C7" t="s">
        <v>5550</v>
      </c>
      <c r="D7" t="s">
        <v>579</v>
      </c>
      <c r="E7" t="s">
        <v>5554</v>
      </c>
      <c r="F7" t="s">
        <v>154</v>
      </c>
      <c r="G7">
        <v>33</v>
      </c>
      <c r="I7">
        <f>IF($H7="",$G7,$H7)</f>
        <v>33</v>
      </c>
      <c r="J7">
        <v>31</v>
      </c>
      <c r="K7" s="23">
        <v>1.0413925891834</v>
      </c>
      <c r="L7" s="23">
        <v>0.885474371240769</v>
      </c>
      <c r="M7" s="23">
        <v>1</v>
      </c>
      <c r="N7">
        <v>1</v>
      </c>
      <c r="O7">
        <v>1</v>
      </c>
      <c r="P7" s="18">
        <v>0.150228246578205</v>
      </c>
      <c r="Q7" s="24">
        <f>IF($I7="","",IFERROR(INDEX(_玩家曲线!$H$2:$H$286,MATCH($I7,_玩家曲线!$A$2:$A$286,0)),""))</f>
        <v>42332.3252975087</v>
      </c>
      <c r="R7" s="24">
        <f>IF($I7="","",IFERROR(INDEX(_玩家曲线!$I$2:$I$286,MATCH($I7,_玩家曲线!$A$2:$A$286,0)),""))</f>
        <v>117656.323591464</v>
      </c>
      <c r="S7" s="24">
        <f>IF(OR($J7="",$F7="不适用"),"",IFERROR(INDEX(_怪物模型!$D$2:$D$4501,(INT($J7)-1)*ROWS(_怪物类型!$A$2:$A$10)+MATCH($F7,_怪物类型!$A$2:$A$10,0))*IF($K7="",1,$K7),""))</f>
        <v>5781.81165514624</v>
      </c>
      <c r="T7" s="24">
        <f>IF(OR($J7="",$F7="不适用"),"",IFERROR(INDEX(_怪物模型!$E$2:$E$4501,(INT($J7)-1)*ROWS(_怪物类型!$A$2:$A$10)+MATCH($F7,_怪物类型!$A$2:$A$10,0))*IF($L7="",1,$L7),""))</f>
        <v>1378.68359602188</v>
      </c>
      <c r="U7" s="24">
        <f>IF(OR($J7="",$F7="不适用"),"",IFERROR(INDEX(_怪物模型!$F$2:$F$4501,(INT($J7)-1)*ROWS(_怪物类型!$A$2:$A$10)+MATCH($F7,_怪物类型!$A$2:$A$10,0))*IF($M7="",1,$M7),""))</f>
        <v>2398</v>
      </c>
      <c r="V7" s="6">
        <f>IF($U7="","",MIN(0.75,$U7/($U7+24000)))</f>
        <v>0.0908402151678157</v>
      </c>
      <c r="W7" s="24">
        <f>IF($S7="","",$S7/(1-$V7)*IF($N7="",1,$N7))</f>
        <v>6359.51100302293</v>
      </c>
      <c r="X7" s="18">
        <f>IF(OR($W7="",$Q7="",$Q7=0),"",$W7/$Q7)</f>
        <v>0.150228246578205</v>
      </c>
      <c r="Y7" s="18">
        <f>IF(OR($R7="",$T7="",$T7=0),"",$R7/($T7*IF($O7="",1,$O7)))</f>
        <v>85.3396123163831</v>
      </c>
      <c r="Z7" s="18">
        <f>IF(OR($X7="",$P7="",$P7=0),"",$X7/$P7)</f>
        <v>1</v>
      </c>
      <c r="AA7" t="str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>适中</v>
      </c>
      <c r="AB7" t="str">
        <f>IF($J7="","待填",IF(AND(ISNUMBER($J7),$J7&gt;=1,$J7&lt;=500,MOD($J7,1)=0),"有效","超范围"))</f>
        <v>有效</v>
      </c>
      <c r="AC7" t="str">
        <f>IF(C7&lt;&gt;C6,"新玩法组",IF(J7&gt;=J6,"不降","回退"))</f>
        <v>不降</v>
      </c>
      <c r="AD7" t="s">
        <v>581</v>
      </c>
      <c r="AE7" s="4">
        <v>12300</v>
      </c>
      <c r="AF7" s="4">
        <f>INDEX(_统一战力!$B$2:$B$501,J7)</f>
        <v>19800</v>
      </c>
    </row>
    <row r="8" spans="1:32">
      <c r="A8" t="s">
        <v>5548</v>
      </c>
      <c r="B8" t="s">
        <v>5549</v>
      </c>
      <c r="C8" t="s">
        <v>5550</v>
      </c>
      <c r="D8" t="s">
        <v>582</v>
      </c>
      <c r="E8" t="s">
        <v>5555</v>
      </c>
      <c r="F8" t="s">
        <v>154</v>
      </c>
      <c r="G8">
        <v>48</v>
      </c>
      <c r="I8">
        <f>IF($H8="",$G8,$H8)</f>
        <v>48</v>
      </c>
      <c r="J8">
        <v>34</v>
      </c>
      <c r="K8" s="23">
        <v>1.03103111729802</v>
      </c>
      <c r="L8" s="23">
        <v>0.885754757003408</v>
      </c>
      <c r="M8" s="23">
        <v>1</v>
      </c>
      <c r="N8">
        <v>1</v>
      </c>
      <c r="O8">
        <v>1</v>
      </c>
      <c r="P8" s="18">
        <v>0.0804460801256086</v>
      </c>
      <c r="Q8" s="24">
        <f>IF($I8="","",IFERROR(INDEX(_玩家曲线!$H$2:$H$286,MATCH($I8,_玩家曲线!$A$2:$A$286,0)),""))</f>
        <v>90311.5060122421</v>
      </c>
      <c r="R8" s="24">
        <f>IF($I8="","",IFERROR(INDEX(_玩家曲线!$I$2:$I$286,MATCH($I8,_玩家曲线!$A$2:$A$286,0)),""))</f>
        <v>216419.269218726</v>
      </c>
      <c r="S8" s="24">
        <f>IF(OR($J8="",$F8="不适用"),"",IFERROR(INDEX(_怪物模型!$D$2:$D$4501,(INT($J8)-1)*ROWS(_怪物类型!$A$2:$A$10)+MATCH($F8,_怪物类型!$A$2:$A$10,0))*IF($K8="",1,$K8),""))</f>
        <v>6544.98553260783</v>
      </c>
      <c r="T8" s="24">
        <f>IF(OR($J8="",$F8="不适用"),"",IFERROR(INDEX(_怪物模型!$E$2:$E$4501,(INT($J8)-1)*ROWS(_怪物类型!$A$2:$A$10)+MATCH($F8,_怪物类型!$A$2:$A$10,0))*IF($L8="",1,$L8),""))</f>
        <v>1530.58422010189</v>
      </c>
      <c r="U8" s="24">
        <f>IF(OR($J8="",$F8="不适用"),"",IFERROR(INDEX(_怪物模型!$F$2:$F$4501,(INT($J8)-1)*ROWS(_怪物类型!$A$2:$A$10)+MATCH($F8,_怪物类型!$A$2:$A$10,0))*IF($M8="",1,$M8),""))</f>
        <v>2641</v>
      </c>
      <c r="V8" s="6">
        <f>IF($U8="","",MIN(0.75,$U8/($U8+24000)))</f>
        <v>0.0991329154311024</v>
      </c>
      <c r="W8" s="24">
        <f>IF($S8="","",$S8/(1-$V8)*IF($N8="",1,$N8))</f>
        <v>7265.20664892522</v>
      </c>
      <c r="X8" s="18">
        <f>IF(OR($W8="",$Q8="",$Q8=0),"",$W8/$Q8)</f>
        <v>0.0804460801256087</v>
      </c>
      <c r="Y8" s="18">
        <f>IF(OR($R8="",$T8="",$T8=0),"",$R8/($T8*IF($O8="",1,$O8)))</f>
        <v>141.396511460388</v>
      </c>
      <c r="Z8" s="18">
        <f>IF(OR($X8="",$P8="",$P8=0),"",$X8/$P8)</f>
        <v>1</v>
      </c>
      <c r="AA8" t="str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>适中</v>
      </c>
      <c r="AB8" t="str">
        <f>IF($J8="","待填",IF(AND(ISNUMBER($J8),$J8&gt;=1,$J8&lt;=500,MOD($J8,1)=0),"有效","超范围"))</f>
        <v>有效</v>
      </c>
      <c r="AC8" t="str">
        <f>IF(C8&lt;&gt;C7,"新玩法组",IF(J8&gt;=J7,"不降","回退"))</f>
        <v>不降</v>
      </c>
      <c r="AD8" t="s">
        <v>584</v>
      </c>
      <c r="AE8" s="4">
        <v>13500</v>
      </c>
      <c r="AF8" s="4">
        <f>INDEX(_统一战力!$B$2:$B$501,J8)</f>
        <v>23100</v>
      </c>
    </row>
    <row r="9" spans="1:32">
      <c r="A9" t="s">
        <v>5548</v>
      </c>
      <c r="B9" t="s">
        <v>5549</v>
      </c>
      <c r="C9" t="s">
        <v>5550</v>
      </c>
      <c r="D9" t="s">
        <v>585</v>
      </c>
      <c r="E9" t="s">
        <v>5556</v>
      </c>
      <c r="F9" t="s">
        <v>154</v>
      </c>
      <c r="G9">
        <v>64</v>
      </c>
      <c r="I9">
        <f>IF($H9="",$G9,$H9)</f>
        <v>64</v>
      </c>
      <c r="J9">
        <v>42</v>
      </c>
      <c r="K9" s="23">
        <v>1.05578471016559</v>
      </c>
      <c r="L9" s="23">
        <v>0.933132403197277</v>
      </c>
      <c r="M9" s="23">
        <v>1</v>
      </c>
      <c r="N9">
        <v>1</v>
      </c>
      <c r="O9">
        <v>1</v>
      </c>
      <c r="P9" s="18">
        <v>0.0630600139995946</v>
      </c>
      <c r="Q9" s="24">
        <f>IF($I9="","",IFERROR(INDEX(_玩家曲线!$H$2:$H$286,MATCH($I9,_玩家曲线!$A$2:$A$286,0)),""))</f>
        <v>165656.324811522</v>
      </c>
      <c r="R9" s="24">
        <f>IF($I9="","",IFERROR(INDEX(_玩家曲线!$I$2:$I$286,MATCH($I9,_玩家曲线!$A$2:$A$286,0)),""))</f>
        <v>352956.471884879</v>
      </c>
      <c r="S9" s="24">
        <f>IF(OR($J9="",$F9="不适用"),"",IFERROR(INDEX(_怪物模型!$D$2:$D$4501,(INT($J9)-1)*ROWS(_怪物类型!$A$2:$A$10)+MATCH($F9,_怪物类型!$A$2:$A$10,0))*IF($K9="",1,$K9),""))</f>
        <v>9183.2154090203</v>
      </c>
      <c r="T9" s="24">
        <f>IF(OR($J9="",$F9="不适用"),"",IFERROR(INDEX(_怪物模型!$E$2:$E$4501,(INT($J9)-1)*ROWS(_怪物类型!$A$2:$A$10)+MATCH($F9,_怪物类型!$A$2:$A$10,0))*IF($L9="",1,$L9),""))</f>
        <v>2058.49008145319</v>
      </c>
      <c r="U9" s="24">
        <f>IF(OR($J9="",$F9="不适用"),"",IFERROR(INDEX(_怪物模型!$F$2:$F$4501,(INT($J9)-1)*ROWS(_怪物类型!$A$2:$A$10)+MATCH($F9,_怪物类型!$A$2:$A$10,0))*IF($M9="",1,$M9),""))</f>
        <v>3301</v>
      </c>
      <c r="V9" s="6">
        <f>IF($U9="","",MIN(0.75,$U9/($U9+24000)))</f>
        <v>0.1209113219296</v>
      </c>
      <c r="W9" s="24">
        <f>IF($S9="","",$S9/(1-$V9)*IF($N9="",1,$N9))</f>
        <v>10446.290161736</v>
      </c>
      <c r="X9" s="18">
        <f>IF(OR($W9="",$Q9="",$Q9=0),"",$W9/$Q9)</f>
        <v>0.0630600139995946</v>
      </c>
      <c r="Y9" s="18">
        <f>IF(OR($R9="",$T9="",$T9=0),"",$R9/($T9*IF($O9="",1,$O9)))</f>
        <v>171.463770977079</v>
      </c>
      <c r="Z9" s="18">
        <f>IF(OR($X9="",$P9="",$P9=0),"",$X9/$P9)</f>
        <v>1</v>
      </c>
      <c r="AA9" t="str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>适中</v>
      </c>
      <c r="AB9" t="str">
        <f>IF($J9="","待填",IF(AND(ISNUMBER($J9),$J9&gt;=1,$J9&lt;=500,MOD($J9,1)=0),"有效","超范围"))</f>
        <v>有效</v>
      </c>
      <c r="AC9" t="str">
        <f>IF(C9&lt;&gt;C8,"新玩法组",IF(J9&gt;=J8,"不降","回退"))</f>
        <v>不降</v>
      </c>
      <c r="AD9" t="s">
        <v>587</v>
      </c>
      <c r="AE9" s="4">
        <v>18200</v>
      </c>
      <c r="AF9" s="4">
        <f>INDEX(_统一战力!$B$2:$B$501,J9)</f>
        <v>32800</v>
      </c>
    </row>
  </sheetData>
  <mergeCells count="2">
    <mergeCell ref="A1:AF1"/>
    <mergeCell ref="A2:AF2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24"/>
  <sheetViews>
    <sheetView workbookViewId="0">
      <selection activeCell="A1" sqref="A1:AF1"/>
    </sheetView>
  </sheetViews>
  <sheetFormatPr defaultColWidth="9" defaultRowHeight="13.5"/>
  <cols>
    <col min="1" max="3" width="15" customWidth="1"/>
    <col min="4" max="5" width="26" customWidth="1"/>
    <col min="6" max="29" width="15" customWidth="1"/>
    <col min="30" max="30" width="65" customWidth="1"/>
    <col min="31" max="32" width="22" customWidth="1"/>
    <col min="33" max="35" width="17" customWidth="1"/>
  </cols>
  <sheetData>
    <row r="1" ht="32" customHeight="1" spans="1:35">
      <c r="A1" s="8" t="s">
        <v>5557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40" customHeight="1" spans="1:35">
      <c r="A2" s="19" t="s">
        <v>5547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</row>
    <row r="3" spans="1:35">
      <c r="A3" t="s">
        <v>120</v>
      </c>
    </row>
    <row r="4" ht="40" customHeight="1" spans="1:35">
      <c r="A4" t="s">
        <v>81</v>
      </c>
      <c r="B4" t="s">
        <v>80</v>
      </c>
      <c r="C4" t="s">
        <v>121</v>
      </c>
      <c r="D4" t="s">
        <v>122</v>
      </c>
      <c r="E4" t="s">
        <v>123</v>
      </c>
      <c r="F4" t="s">
        <v>124</v>
      </c>
      <c r="G4" t="s">
        <v>125</v>
      </c>
      <c r="H4" t="s">
        <v>126</v>
      </c>
      <c r="I4" t="s">
        <v>127</v>
      </c>
      <c r="J4" t="s">
        <v>128</v>
      </c>
      <c r="K4" t="s">
        <v>129</v>
      </c>
      <c r="L4" t="s">
        <v>130</v>
      </c>
      <c r="M4" t="s">
        <v>131</v>
      </c>
      <c r="N4" t="s">
        <v>132</v>
      </c>
      <c r="O4" t="s">
        <v>133</v>
      </c>
      <c r="P4" t="s">
        <v>134</v>
      </c>
      <c r="Q4" s="3" t="s">
        <v>135</v>
      </c>
      <c r="R4" s="3" t="s">
        <v>136</v>
      </c>
      <c r="S4" s="3" t="s">
        <v>137</v>
      </c>
      <c r="T4" s="3" t="s">
        <v>138</v>
      </c>
      <c r="U4" s="3" t="s">
        <v>139</v>
      </c>
      <c r="V4" s="3" t="s">
        <v>140</v>
      </c>
      <c r="W4" s="3" t="s">
        <v>141</v>
      </c>
      <c r="X4" s="3" t="s">
        <v>142</v>
      </c>
      <c r="Y4" s="3" t="s">
        <v>143</v>
      </c>
      <c r="Z4" s="3" t="s">
        <v>144</v>
      </c>
      <c r="AA4" s="3" t="s">
        <v>145</v>
      </c>
      <c r="AB4" s="3" t="s">
        <v>146</v>
      </c>
      <c r="AC4" s="3" t="s">
        <v>147</v>
      </c>
      <c r="AD4" s="3" t="s">
        <v>91</v>
      </c>
      <c r="AE4" s="3" t="s">
        <v>148</v>
      </c>
      <c r="AF4" s="3" t="s">
        <v>149</v>
      </c>
      <c r="AG4" t="s">
        <v>5558</v>
      </c>
      <c r="AH4" t="s">
        <v>5559</v>
      </c>
      <c r="AI4" t="s">
        <v>5560</v>
      </c>
    </row>
    <row r="5" spans="1:35">
      <c r="A5" t="s">
        <v>5548</v>
      </c>
      <c r="B5" t="s">
        <v>5561</v>
      </c>
      <c r="C5" t="s">
        <v>573</v>
      </c>
      <c r="D5" t="s">
        <v>5562</v>
      </c>
      <c r="E5" t="s">
        <v>5563</v>
      </c>
      <c r="F5" t="s">
        <v>164</v>
      </c>
      <c r="G5">
        <v>14</v>
      </c>
      <c r="I5">
        <f t="shared" ref="I5:I68" si="0">IF($H5="",$G5,$H5)</f>
        <v>14</v>
      </c>
      <c r="J5">
        <v>24</v>
      </c>
      <c r="K5" s="23">
        <v>1.45043273765705</v>
      </c>
      <c r="L5" s="23">
        <v>0.747222222222222</v>
      </c>
      <c r="M5" s="23">
        <v>1</v>
      </c>
      <c r="N5">
        <v>1</v>
      </c>
      <c r="O5">
        <v>1</v>
      </c>
      <c r="P5" s="18">
        <v>43.4038307304983</v>
      </c>
      <c r="Q5" s="24">
        <f>IF($I5="","",IFERROR(INDEX(_玩家曲线!$H$2:$H$286,MATCH($I5,_玩家曲线!$A$2:$A$286,0)),""))</f>
        <v>10947.8652713966</v>
      </c>
      <c r="R5" s="24">
        <f>IF($I5="","",IFERROR(INDEX(_玩家曲线!$I$2:$I$286,MATCH($I5,_玩家曲线!$A$2:$A$286,0)),""))</f>
        <v>38293.4883702837</v>
      </c>
      <c r="S5" s="24">
        <f>IF(OR($J5="",$F5="不适用"),"",IFERROR(INDEX(_怪物模型!$D$2:$D$4501,(INT($J5)-1)*ROWS(_怪物类型!$A$2:$A$10)+MATCH($F5,_怪物类型!$A$2:$A$10,0))*IF($K5="",1,$K5),""))</f>
        <v>441394.240291056</v>
      </c>
      <c r="T5" s="24">
        <f>IF(OR($J5="",$F5="不适用"),"",IFERROR(INDEX(_怪物模型!$E$2:$E$4501,(INT($J5)-1)*ROWS(_怪物类型!$A$2:$A$10)+MATCH($F5,_怪物类型!$A$2:$A$10,0))*IF($L5="",1,$L5),""))</f>
        <v>1076</v>
      </c>
      <c r="U5" s="24">
        <f>IF(OR($J5="",$F5="不适用"),"",IFERROR(INDEX(_怪物模型!$F$2:$F$4501,(INT($J5)-1)*ROWS(_怪物类型!$A$2:$A$10)+MATCH($F5,_怪物类型!$A$2:$A$10,0))*IF($M5="",1,$M5),""))</f>
        <v>1837</v>
      </c>
      <c r="V5" s="6">
        <f t="shared" ref="V5:V68" si="1">IF($U5="","",MIN(0.75,$U5/($U5+24000)))</f>
        <v>0.071099585865232</v>
      </c>
      <c r="W5" s="24">
        <f t="shared" ref="W5:W68" si="2">IF($S5="","",$S5/(1-$V5)*IF($N5="",1,$N5))</f>
        <v>475179.2911</v>
      </c>
      <c r="X5" s="18">
        <f t="shared" ref="X5:X68" si="3">IF(OR($W5="",$Q5="",$Q5=0),"",$W5/$Q5)</f>
        <v>43.4038307304984</v>
      </c>
      <c r="Y5" s="18">
        <f t="shared" ref="Y5:Y68" si="4">IF(OR($R5="",$T5="",$T5=0),"",$R5/($T5*IF($O5="",1,$O5)))</f>
        <v>35.5887438385536</v>
      </c>
      <c r="Z5" s="18">
        <f t="shared" ref="Z5:Z68" si="5">IF(OR($X5="",$P5="",$P5=0),"",$X5/$P5)</f>
        <v>1</v>
      </c>
      <c r="AA5" t="str">
        <f t="shared" ref="AA5:AA68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生存不成立</v>
      </c>
      <c r="AB5" t="str">
        <f t="shared" ref="AB5:AB68" si="7">IF($J5="","待填",IF(AND(ISNUMBER($J5),$J5&gt;=1,$J5&lt;=500,MOD($J5,1)=0),"有效","超范围"))</f>
        <v>有效</v>
      </c>
      <c r="AC5" t="s">
        <v>5552</v>
      </c>
      <c r="AD5" t="s">
        <v>5564</v>
      </c>
      <c r="AE5" s="4">
        <v>11200</v>
      </c>
      <c r="AF5" s="4">
        <f>INDEX(_统一战力!$B$2:$B$501,J5)</f>
        <v>14700</v>
      </c>
      <c r="AG5">
        <v>2001</v>
      </c>
      <c r="AH5">
        <v>1</v>
      </c>
      <c r="AI5">
        <v>1</v>
      </c>
    </row>
    <row r="6" spans="1:35">
      <c r="A6" t="s">
        <v>5548</v>
      </c>
      <c r="B6" t="s">
        <v>5561</v>
      </c>
      <c r="C6" t="s">
        <v>573</v>
      </c>
      <c r="D6" t="s">
        <v>5565</v>
      </c>
      <c r="E6" t="s">
        <v>5563</v>
      </c>
      <c r="F6" t="s">
        <v>164</v>
      </c>
      <c r="G6">
        <v>19</v>
      </c>
      <c r="I6">
        <f t="shared" si="0"/>
        <v>19</v>
      </c>
      <c r="J6">
        <v>34</v>
      </c>
      <c r="K6" s="23">
        <v>1.37986979298943</v>
      </c>
      <c r="L6" s="23">
        <v>0.727430073664268</v>
      </c>
      <c r="M6" s="23">
        <v>1</v>
      </c>
      <c r="N6">
        <v>1</v>
      </c>
      <c r="O6">
        <v>1</v>
      </c>
      <c r="P6" s="18">
        <v>43.1279336382745</v>
      </c>
      <c r="Q6" s="24">
        <f>IF($I6="","",IFERROR(INDEX(_玩家曲线!$H$2:$H$286,MATCH($I6,_玩家曲线!$A$2:$A$286,0)),""))</f>
        <v>16577.1744599968</v>
      </c>
      <c r="R6" s="24">
        <f>IF($I6="","",IFERROR(INDEX(_玩家曲线!$I$2:$I$286,MATCH($I6,_玩家曲线!$A$2:$A$286,0)),""))</f>
        <v>53663.6446921413</v>
      </c>
      <c r="S6" s="24">
        <f>IF(OR($J6="",$F6="不适用"),"",IFERROR(INDEX(_怪物模型!$D$2:$D$4501,(INT($J6)-1)*ROWS(_怪物类型!$A$2:$A$10)+MATCH($F6,_怪物类型!$A$2:$A$10,0))*IF($K6="",1,$K6),""))</f>
        <v>644065.26483616</v>
      </c>
      <c r="T6" s="24">
        <f>IF(OR($J6="",$F6="不适用"),"",IFERROR(INDEX(_怪物模型!$E$2:$E$4501,(INT($J6)-1)*ROWS(_怪物类型!$A$2:$A$10)+MATCH($F6,_怪物类型!$A$2:$A$10,0))*IF($L6="",1,$L6),""))</f>
        <v>1536.33231557893</v>
      </c>
      <c r="U6" s="24">
        <f>IF(OR($J6="",$F6="不适用"),"",IFERROR(INDEX(_怪物模型!$F$2:$F$4501,(INT($J6)-1)*ROWS(_怪物类型!$A$2:$A$10)+MATCH($F6,_怪物类型!$A$2:$A$10,0))*IF($M6="",1,$M6),""))</f>
        <v>2641</v>
      </c>
      <c r="V6" s="6">
        <f t="shared" si="1"/>
        <v>0.0991329154311024</v>
      </c>
      <c r="W6" s="24">
        <f t="shared" si="2"/>
        <v>714939.28002084</v>
      </c>
      <c r="X6" s="18">
        <f t="shared" si="3"/>
        <v>43.1279336382744</v>
      </c>
      <c r="Y6" s="18">
        <f t="shared" si="4"/>
        <v>34.9297115916743</v>
      </c>
      <c r="Z6" s="18">
        <f t="shared" si="5"/>
        <v>0.999999999999998</v>
      </c>
      <c r="AA6" t="str">
        <f t="shared" si="6"/>
        <v>生存不成立</v>
      </c>
      <c r="AB6" t="str">
        <f t="shared" si="7"/>
        <v>有效</v>
      </c>
      <c r="AC6" t="str">
        <f t="shared" ref="AC6:AC69" si="8">IF(C6&lt;&gt;C5,"新玩法组",IF(J6&gt;=J5,"不降","回退"))</f>
        <v>不降</v>
      </c>
      <c r="AD6" t="s">
        <v>5566</v>
      </c>
      <c r="AE6" s="4">
        <v>16000</v>
      </c>
      <c r="AF6" s="4">
        <f>INDEX(_统一战力!$B$2:$B$501,J6)</f>
        <v>23100</v>
      </c>
      <c r="AG6">
        <v>2001</v>
      </c>
      <c r="AH6">
        <v>2</v>
      </c>
      <c r="AI6">
        <v>1</v>
      </c>
    </row>
    <row r="7" spans="1:35">
      <c r="A7" t="s">
        <v>5548</v>
      </c>
      <c r="B7" t="s">
        <v>5561</v>
      </c>
      <c r="C7" t="s">
        <v>573</v>
      </c>
      <c r="D7" t="s">
        <v>5567</v>
      </c>
      <c r="E7" t="s">
        <v>5563</v>
      </c>
      <c r="F7" t="s">
        <v>164</v>
      </c>
      <c r="G7">
        <v>22</v>
      </c>
      <c r="I7">
        <f t="shared" si="0"/>
        <v>22</v>
      </c>
      <c r="J7">
        <v>42</v>
      </c>
      <c r="K7" s="23">
        <v>1.38790977174534</v>
      </c>
      <c r="L7" s="23">
        <v>0.744627032931019</v>
      </c>
      <c r="M7" s="23">
        <v>1</v>
      </c>
      <c r="N7">
        <v>1</v>
      </c>
      <c r="O7">
        <v>1</v>
      </c>
      <c r="P7" s="18">
        <v>44.1986388753075</v>
      </c>
      <c r="Q7" s="24">
        <f>IF($I7="","",IFERROR(INDEX(_玩家曲线!$H$2:$H$286,MATCH($I7,_玩家曲线!$A$2:$A$286,0)),""))</f>
        <v>22243.9427367402</v>
      </c>
      <c r="R7" s="24">
        <f>IF($I7="","",IFERROR(INDEX(_玩家曲线!$I$2:$I$286,MATCH($I7,_玩家曲线!$A$2:$A$286,0)),""))</f>
        <v>68767.7036174873</v>
      </c>
      <c r="S7" s="24">
        <f>IF(OR($J7="",$F7="不适用"),"",IFERROR(INDEX(_怪物模型!$D$2:$D$4501,(INT($J7)-1)*ROWS(_怪物类型!$A$2:$A$10)+MATCH($F7,_怪物类型!$A$2:$A$10,0))*IF($K7="",1,$K7),""))</f>
        <v>864277.785151486</v>
      </c>
      <c r="T7" s="24">
        <f>IF(OR($J7="",$F7="不适用"),"",IFERROR(INDEX(_怪物模型!$E$2:$E$4501,(INT($J7)-1)*ROWS(_怪物类型!$A$2:$A$10)+MATCH($F7,_怪物类型!$A$2:$A$10,0))*IF($L7="",1,$L7),""))</f>
        <v>1997.08970232099</v>
      </c>
      <c r="U7" s="24">
        <f>IF(OR($J7="",$F7="不适用"),"",IFERROR(INDEX(_怪物模型!$F$2:$F$4501,(INT($J7)-1)*ROWS(_怪物类型!$A$2:$A$10)+MATCH($F7,_怪物类型!$A$2:$A$10,0))*IF($M7="",1,$M7),""))</f>
        <v>3301</v>
      </c>
      <c r="V7" s="6">
        <f t="shared" si="1"/>
        <v>0.1209113219296</v>
      </c>
      <c r="W7" s="24">
        <f t="shared" si="2"/>
        <v>983151.992184197</v>
      </c>
      <c r="X7" s="18">
        <f t="shared" si="3"/>
        <v>44.1986388753074</v>
      </c>
      <c r="Y7" s="18">
        <f t="shared" si="4"/>
        <v>34.4339583432664</v>
      </c>
      <c r="Z7" s="18">
        <f t="shared" si="5"/>
        <v>0.999999999999998</v>
      </c>
      <c r="AA7" t="str">
        <f t="shared" si="6"/>
        <v>生存不成立</v>
      </c>
      <c r="AB7" t="str">
        <f t="shared" si="7"/>
        <v>有效</v>
      </c>
      <c r="AC7" t="str">
        <f t="shared" si="8"/>
        <v>不降</v>
      </c>
      <c r="AD7" t="s">
        <v>5568</v>
      </c>
      <c r="AE7" s="4">
        <v>21400</v>
      </c>
      <c r="AF7" s="4">
        <f>INDEX(_统一战力!$B$2:$B$501,J7)</f>
        <v>32800</v>
      </c>
      <c r="AG7">
        <v>2001</v>
      </c>
      <c r="AH7">
        <v>3</v>
      </c>
      <c r="AI7">
        <v>1</v>
      </c>
    </row>
    <row r="8" spans="1:35">
      <c r="A8" t="s">
        <v>5548</v>
      </c>
      <c r="B8" t="s">
        <v>5561</v>
      </c>
      <c r="C8" t="s">
        <v>573</v>
      </c>
      <c r="D8" t="s">
        <v>5569</v>
      </c>
      <c r="E8" t="s">
        <v>5563</v>
      </c>
      <c r="F8" t="s">
        <v>164</v>
      </c>
      <c r="G8">
        <v>26</v>
      </c>
      <c r="I8">
        <f t="shared" si="0"/>
        <v>26</v>
      </c>
      <c r="J8">
        <v>50</v>
      </c>
      <c r="K8" s="23">
        <v>1.37739606400309</v>
      </c>
      <c r="L8" s="23">
        <v>0.756271714476539</v>
      </c>
      <c r="M8" s="23">
        <v>1</v>
      </c>
      <c r="N8">
        <v>1</v>
      </c>
      <c r="O8">
        <v>1</v>
      </c>
      <c r="P8" s="18">
        <v>43.5802862054349</v>
      </c>
      <c r="Q8" s="24">
        <f>IF($I8="","",IFERROR(INDEX(_玩家曲线!$H$2:$H$286,MATCH($I8,_玩家曲线!$A$2:$A$286,0)),""))</f>
        <v>29761.1521947349</v>
      </c>
      <c r="R8" s="24">
        <f>IF($I8="","",IFERROR(INDEX(_玩家曲线!$I$2:$I$286,MATCH($I8,_玩家曲线!$A$2:$A$286,0)),""))</f>
        <v>88019.0522964827</v>
      </c>
      <c r="S8" s="24">
        <f>IF(OR($J8="",$F8="不适用"),"",IFERROR(INDEX(_怪物模型!$D$2:$D$4501,(INT($J8)-1)*ROWS(_怪物类型!$A$2:$A$10)+MATCH($F8,_怪物类型!$A$2:$A$10,0))*IF($K8="",1,$K8),""))</f>
        <v>1112707.37196787</v>
      </c>
      <c r="T8" s="24">
        <f>IF(OR($J8="",$F8="不适用"),"",IFERROR(INDEX(_怪物模型!$E$2:$E$4501,(INT($J8)-1)*ROWS(_怪物类型!$A$2:$A$10)+MATCH($F8,_怪物类型!$A$2:$A$10,0))*IF($L8="",1,$L8),""))</f>
        <v>2481.32749519752</v>
      </c>
      <c r="U8" s="24">
        <f>IF(OR($J8="",$F8="不适用"),"",IFERROR(INDEX(_怪物模型!$F$2:$F$4501,(INT($J8)-1)*ROWS(_怪物类型!$A$2:$A$10)+MATCH($F8,_怪物类型!$A$2:$A$10,0))*IF($M8="",1,$M8),""))</f>
        <v>3975</v>
      </c>
      <c r="V8" s="6">
        <f t="shared" si="1"/>
        <v>0.142091152815013</v>
      </c>
      <c r="W8" s="24">
        <f t="shared" si="2"/>
        <v>1296999.53045005</v>
      </c>
      <c r="X8" s="18">
        <f t="shared" si="3"/>
        <v>43.5802862054348</v>
      </c>
      <c r="Y8" s="18">
        <f t="shared" si="4"/>
        <v>35.4725655790454</v>
      </c>
      <c r="Z8" s="18">
        <f t="shared" si="5"/>
        <v>0.999999999999998</v>
      </c>
      <c r="AA8" t="str">
        <f t="shared" si="6"/>
        <v>生存不成立</v>
      </c>
      <c r="AB8" t="str">
        <f t="shared" si="7"/>
        <v>有效</v>
      </c>
      <c r="AC8" t="str">
        <f t="shared" si="8"/>
        <v>不降</v>
      </c>
      <c r="AD8" t="s">
        <v>5570</v>
      </c>
      <c r="AE8" s="4">
        <v>27800</v>
      </c>
      <c r="AF8" s="4">
        <f>INDEX(_统一战力!$B$2:$B$501,J8)</f>
        <v>45400</v>
      </c>
      <c r="AG8">
        <v>2001</v>
      </c>
      <c r="AH8">
        <v>4</v>
      </c>
      <c r="AI8">
        <v>1</v>
      </c>
    </row>
    <row r="9" spans="1:35">
      <c r="A9" t="s">
        <v>5548</v>
      </c>
      <c r="B9" t="s">
        <v>5561</v>
      </c>
      <c r="C9" t="s">
        <v>573</v>
      </c>
      <c r="D9" t="s">
        <v>5571</v>
      </c>
      <c r="E9" t="s">
        <v>5563</v>
      </c>
      <c r="F9" t="s">
        <v>164</v>
      </c>
      <c r="G9">
        <v>30</v>
      </c>
      <c r="I9">
        <f t="shared" si="0"/>
        <v>30</v>
      </c>
      <c r="J9">
        <v>56</v>
      </c>
      <c r="K9" s="23">
        <v>1.35832579771103</v>
      </c>
      <c r="L9" s="23">
        <v>0.760074518148734</v>
      </c>
      <c r="M9" s="23">
        <v>1</v>
      </c>
      <c r="N9">
        <v>1</v>
      </c>
      <c r="O9">
        <v>1</v>
      </c>
      <c r="P9" s="18">
        <v>43.2847088847785</v>
      </c>
      <c r="Q9" s="24">
        <f>IF($I9="","",IFERROR(INDEX(_玩家曲线!$H$2:$H$286,MATCH($I9,_玩家曲线!$A$2:$A$286,0)),""))</f>
        <v>36095.8982350441</v>
      </c>
      <c r="R9" s="24">
        <f>IF($I9="","",IFERROR(INDEX(_玩家曲线!$I$2:$I$286,MATCH($I9,_玩家曲线!$A$2:$A$286,0)),""))</f>
        <v>103648.571416605</v>
      </c>
      <c r="S9" s="24">
        <f>IF(OR($J9="",$F9="不适用"),"",IFERROR(INDEX(_怪物模型!$D$2:$D$4501,(INT($J9)-1)*ROWS(_怪物类型!$A$2:$A$10)+MATCH($F9,_怪物类型!$A$2:$A$10,0))*IF($K9="",1,$K9),""))</f>
        <v>1316121.25685035</v>
      </c>
      <c r="T9" s="24">
        <f>IF(OR($J9="",$F9="不适用"),"",IFERROR(INDEX(_怪物模型!$E$2:$E$4501,(INT($J9)-1)*ROWS(_怪物类型!$A$2:$A$10)+MATCH($F9,_怪物类型!$A$2:$A$10,0))*IF($L9="",1,$L9),""))</f>
        <v>2851.79959209405</v>
      </c>
      <c r="U9" s="24">
        <f>IF(OR($J9="",$F9="不适用"),"",IFERROR(INDEX(_怪物模型!$F$2:$F$4501,(INT($J9)-1)*ROWS(_怪物类型!$A$2:$A$10)+MATCH($F9,_怪物类型!$A$2:$A$10,0))*IF($M9="",1,$M9),""))</f>
        <v>4491</v>
      </c>
      <c r="V9" s="6">
        <f t="shared" si="1"/>
        <v>0.157628724860482</v>
      </c>
      <c r="W9" s="24">
        <f t="shared" si="2"/>
        <v>1562400.44703847</v>
      </c>
      <c r="X9" s="18">
        <f t="shared" si="3"/>
        <v>43.2847088847785</v>
      </c>
      <c r="Y9" s="18">
        <f t="shared" si="4"/>
        <v>36.344970279099</v>
      </c>
      <c r="Z9" s="18">
        <f t="shared" si="5"/>
        <v>0.999999999999999</v>
      </c>
      <c r="AA9" t="str">
        <f t="shared" si="6"/>
        <v>生存不成立</v>
      </c>
      <c r="AB9" t="str">
        <f t="shared" si="7"/>
        <v>有效</v>
      </c>
      <c r="AC9" t="str">
        <f t="shared" si="8"/>
        <v>不降</v>
      </c>
      <c r="AD9" t="s">
        <v>5572</v>
      </c>
      <c r="AE9" s="4">
        <v>30200</v>
      </c>
      <c r="AF9" s="4">
        <f>INDEX(_统一战力!$B$2:$B$501,J9)</f>
        <v>56700</v>
      </c>
      <c r="AG9">
        <v>2001</v>
      </c>
      <c r="AH9">
        <v>5</v>
      </c>
      <c r="AI9">
        <v>1</v>
      </c>
    </row>
    <row r="10" spans="1:35">
      <c r="A10" t="s">
        <v>5548</v>
      </c>
      <c r="B10" t="s">
        <v>5561</v>
      </c>
      <c r="C10" t="s">
        <v>573</v>
      </c>
      <c r="D10" t="s">
        <v>5573</v>
      </c>
      <c r="E10" t="s">
        <v>5563</v>
      </c>
      <c r="F10" t="s">
        <v>164</v>
      </c>
      <c r="G10">
        <v>32</v>
      </c>
      <c r="I10">
        <f t="shared" si="0"/>
        <v>32</v>
      </c>
      <c r="J10">
        <v>61</v>
      </c>
      <c r="K10" s="23">
        <v>1.33953833824423</v>
      </c>
      <c r="L10" s="23">
        <v>0.755965886258776</v>
      </c>
      <c r="M10" s="23">
        <v>1</v>
      </c>
      <c r="N10">
        <v>1</v>
      </c>
      <c r="O10">
        <v>1</v>
      </c>
      <c r="P10" s="18">
        <v>44.9604065553879</v>
      </c>
      <c r="Q10" s="24">
        <f>IF($I10="","",IFERROR(INDEX(_玩家曲线!$H$2:$H$286,MATCH($I10,_玩家曲线!$A$2:$A$286,0)),""))</f>
        <v>40188.015975026</v>
      </c>
      <c r="R10" s="24">
        <f>IF($I10="","",IFERROR(INDEX(_玩家曲线!$I$2:$I$286,MATCH($I10,_玩家曲线!$A$2:$A$286,0)),""))</f>
        <v>112891.038669981</v>
      </c>
      <c r="S10" s="24">
        <f>IF(OR($J10="",$F10="不适用"),"",IFERROR(INDEX(_怪物模型!$D$2:$D$4501,(INT($J10)-1)*ROWS(_怪物类型!$A$2:$A$10)+MATCH($F10,_怪物类型!$A$2:$A$10,0))*IF($K10="",1,$K10),""))</f>
        <v>1499165.76385944</v>
      </c>
      <c r="T10" s="24">
        <f>IF(OR($J10="",$F10="不适用"),"",IFERROR(INDEX(_怪物模型!$E$2:$E$4501,(INT($J10)-1)*ROWS(_怪物类型!$A$2:$A$10)+MATCH($F10,_怪物类型!$A$2:$A$10,0))*IF($L10="",1,$L10),""))</f>
        <v>3142.55018917773</v>
      </c>
      <c r="U10" s="24">
        <f>IF(OR($J10="",$F10="不适用"),"",IFERROR(INDEX(_怪物模型!$F$2:$F$4501,(INT($J10)-1)*ROWS(_怪物类型!$A$2:$A$10)+MATCH($F10,_怪物类型!$A$2:$A$10,0))*IF($M10="",1,$M10),""))</f>
        <v>4926</v>
      </c>
      <c r="V10" s="6">
        <f t="shared" si="1"/>
        <v>0.170296618958722</v>
      </c>
      <c r="W10" s="24">
        <f t="shared" si="2"/>
        <v>1806869.53689159</v>
      </c>
      <c r="X10" s="18">
        <f t="shared" si="3"/>
        <v>44.9604065553879</v>
      </c>
      <c r="Y10" s="18">
        <f t="shared" si="4"/>
        <v>35.9233844725069</v>
      </c>
      <c r="Z10" s="18">
        <f t="shared" si="5"/>
        <v>1</v>
      </c>
      <c r="AA10" t="str">
        <f t="shared" si="6"/>
        <v>生存不成立</v>
      </c>
      <c r="AB10" t="str">
        <f t="shared" si="7"/>
        <v>有效</v>
      </c>
      <c r="AC10" t="str">
        <f t="shared" si="8"/>
        <v>不降</v>
      </c>
      <c r="AD10" t="s">
        <v>5574</v>
      </c>
      <c r="AE10" s="4">
        <v>35500</v>
      </c>
      <c r="AF10" s="4">
        <f>INDEX(_统一战力!$B$2:$B$501,J10)</f>
        <v>65300</v>
      </c>
      <c r="AG10">
        <v>2001</v>
      </c>
      <c r="AH10">
        <v>6</v>
      </c>
      <c r="AI10">
        <v>1</v>
      </c>
    </row>
    <row r="11" spans="1:35">
      <c r="A11" t="s">
        <v>5548</v>
      </c>
      <c r="B11" t="s">
        <v>5561</v>
      </c>
      <c r="C11" t="s">
        <v>573</v>
      </c>
      <c r="D11" t="s">
        <v>5575</v>
      </c>
      <c r="E11" t="s">
        <v>5563</v>
      </c>
      <c r="F11" t="s">
        <v>164</v>
      </c>
      <c r="G11">
        <v>35</v>
      </c>
      <c r="I11">
        <f t="shared" si="0"/>
        <v>35</v>
      </c>
      <c r="J11">
        <v>65</v>
      </c>
      <c r="K11" s="23">
        <v>1.32940347728763</v>
      </c>
      <c r="L11" s="23">
        <v>0.749430834255217</v>
      </c>
      <c r="M11" s="23">
        <v>1</v>
      </c>
      <c r="N11">
        <v>1</v>
      </c>
      <c r="O11">
        <v>1</v>
      </c>
      <c r="P11" s="18">
        <v>43.2633789670251</v>
      </c>
      <c r="Q11" s="24">
        <f>IF($I11="","",IFERROR(INDEX(_玩家曲线!$H$2:$H$286,MATCH($I11,_玩家曲线!$A$2:$A$286,0)),""))</f>
        <v>46881.9910589673</v>
      </c>
      <c r="R11" s="24">
        <f>IF($I11="","",IFERROR(INDEX(_玩家曲线!$I$2:$I$286,MATCH($I11,_玩家曲线!$A$2:$A$286,0)),""))</f>
        <v>127632.800244011</v>
      </c>
      <c r="S11" s="24">
        <f>IF(OR($J11="",$F11="不适用"),"",IFERROR(INDEX(_怪物模型!$D$2:$D$4501,(INT($J11)-1)*ROWS(_怪物类型!$A$2:$A$10)+MATCH($F11,_怪物类型!$A$2:$A$10,0))*IF($K11="",1,$K11),""))</f>
        <v>1662575.9179585</v>
      </c>
      <c r="T11" s="24">
        <f>IF(OR($J11="",$F11="不适用"),"",IFERROR(INDEX(_怪物模型!$E$2:$E$4501,(INT($J11)-1)*ROWS(_怪物类型!$A$2:$A$10)+MATCH($F11,_怪物类型!$A$2:$A$10,0))*IF($L11="",1,$L11),""))</f>
        <v>3365.69387664018</v>
      </c>
      <c r="U11" s="24">
        <f>IF(OR($J11="",$F11="不适用"),"",IFERROR(INDEX(_怪物模型!$F$2:$F$4501,(INT($J11)-1)*ROWS(_怪物类型!$A$2:$A$10)+MATCH($F11,_怪物类型!$A$2:$A$10,0))*IF($M11="",1,$M11),""))</f>
        <v>5279</v>
      </c>
      <c r="V11" s="6">
        <f t="shared" si="1"/>
        <v>0.180299873629564</v>
      </c>
      <c r="W11" s="24">
        <f t="shared" si="2"/>
        <v>2028273.34591279</v>
      </c>
      <c r="X11" s="18">
        <f t="shared" si="3"/>
        <v>43.2633789670252</v>
      </c>
      <c r="Y11" s="18">
        <f t="shared" si="4"/>
        <v>37.9216901245401</v>
      </c>
      <c r="Z11" s="18">
        <f t="shared" si="5"/>
        <v>1</v>
      </c>
      <c r="AA11" t="str">
        <f t="shared" si="6"/>
        <v>生存不成立</v>
      </c>
      <c r="AB11" t="str">
        <f t="shared" si="7"/>
        <v>有效</v>
      </c>
      <c r="AC11" t="str">
        <f t="shared" si="8"/>
        <v>不降</v>
      </c>
      <c r="AD11" t="s">
        <v>5576</v>
      </c>
      <c r="AE11" s="4">
        <v>37400</v>
      </c>
      <c r="AF11" s="4">
        <f>INDEX(_统一战力!$B$2:$B$501,J11)</f>
        <v>71400</v>
      </c>
      <c r="AG11">
        <v>2001</v>
      </c>
      <c r="AH11">
        <v>7</v>
      </c>
      <c r="AI11">
        <v>1</v>
      </c>
    </row>
    <row r="12" spans="1:35">
      <c r="A12" t="s">
        <v>5548</v>
      </c>
      <c r="B12" t="s">
        <v>5561</v>
      </c>
      <c r="C12" t="s">
        <v>573</v>
      </c>
      <c r="D12" t="s">
        <v>5577</v>
      </c>
      <c r="E12" t="s">
        <v>5563</v>
      </c>
      <c r="F12" t="s">
        <v>164</v>
      </c>
      <c r="G12">
        <v>38</v>
      </c>
      <c r="I12">
        <f t="shared" si="0"/>
        <v>38</v>
      </c>
      <c r="J12">
        <v>69</v>
      </c>
      <c r="K12" s="23">
        <v>1.34891342719017</v>
      </c>
      <c r="L12" s="23">
        <v>0.756007819424512</v>
      </c>
      <c r="M12" s="23">
        <v>1</v>
      </c>
      <c r="N12">
        <v>1</v>
      </c>
      <c r="O12">
        <v>1</v>
      </c>
      <c r="P12" s="18">
        <v>42.6868010640796</v>
      </c>
      <c r="Q12" s="24">
        <f>IF($I12="","",IFERROR(INDEX(_玩家曲线!$H$2:$H$286,MATCH($I12,_玩家曲线!$A$2:$A$286,0)),""))</f>
        <v>54339.9167049591</v>
      </c>
      <c r="R12" s="24">
        <f>IF($I12="","",IFERROR(INDEX(_玩家曲线!$I$2:$I$286,MATCH($I12,_玩家曲线!$A$2:$A$286,0)),""))</f>
        <v>143621.04196543</v>
      </c>
      <c r="S12" s="24">
        <f>IF(OR($J12="",$F12="不适用"),"",IFERROR(INDEX(_怪物模型!$D$2:$D$4501,(INT($J12)-1)*ROWS(_怪物类型!$A$2:$A$10)+MATCH($F12,_怪物类型!$A$2:$A$10,0))*IF($K12="",1,$K12),""))</f>
        <v>1878533.25936756</v>
      </c>
      <c r="T12" s="24">
        <f>IF(OR($J12="",$F12="不适用"),"",IFERROR(INDEX(_怪物模型!$E$2:$E$4501,(INT($J12)-1)*ROWS(_怪物类型!$A$2:$A$10)+MATCH($F12,_怪物类型!$A$2:$A$10,0))*IF($L12="",1,$L12),""))</f>
        <v>3654.54179909809</v>
      </c>
      <c r="U12" s="24">
        <f>IF(OR($J12="",$F12="不适用"),"",IFERROR(INDEX(_怪物模型!$F$2:$F$4501,(INT($J12)-1)*ROWS(_怪物类型!$A$2:$A$10)+MATCH($F12,_怪物类型!$A$2:$A$10,0))*IF($M12="",1,$M12),""))</f>
        <v>5635</v>
      </c>
      <c r="V12" s="6">
        <f t="shared" si="1"/>
        <v>0.190146785895057</v>
      </c>
      <c r="W12" s="24">
        <f t="shared" si="2"/>
        <v>2319597.21422324</v>
      </c>
      <c r="X12" s="18">
        <f t="shared" si="3"/>
        <v>42.6868010640795</v>
      </c>
      <c r="Y12" s="18">
        <f t="shared" si="4"/>
        <v>39.2993293990712</v>
      </c>
      <c r="Z12" s="18">
        <f t="shared" si="5"/>
        <v>0.999999999999998</v>
      </c>
      <c r="AA12" t="str">
        <f t="shared" si="6"/>
        <v>生存不成立</v>
      </c>
      <c r="AB12" t="str">
        <f t="shared" si="7"/>
        <v>有效</v>
      </c>
      <c r="AC12" t="str">
        <f t="shared" si="8"/>
        <v>不降</v>
      </c>
      <c r="AD12" t="s">
        <v>5578</v>
      </c>
      <c r="AE12" s="4">
        <v>41300</v>
      </c>
      <c r="AF12" s="4">
        <f>INDEX(_统一战力!$B$2:$B$501,J12)</f>
        <v>87000</v>
      </c>
      <c r="AG12">
        <v>2001</v>
      </c>
      <c r="AH12">
        <v>8</v>
      </c>
      <c r="AI12">
        <v>1</v>
      </c>
    </row>
    <row r="13" spans="1:35">
      <c r="A13" t="s">
        <v>5548</v>
      </c>
      <c r="B13" t="s">
        <v>5561</v>
      </c>
      <c r="C13" t="s">
        <v>573</v>
      </c>
      <c r="D13" t="s">
        <v>5579</v>
      </c>
      <c r="E13" t="s">
        <v>5563</v>
      </c>
      <c r="F13" t="s">
        <v>164</v>
      </c>
      <c r="G13">
        <v>40</v>
      </c>
      <c r="I13">
        <f t="shared" si="0"/>
        <v>40</v>
      </c>
      <c r="J13">
        <v>74</v>
      </c>
      <c r="K13" s="23">
        <v>1.33916187270092</v>
      </c>
      <c r="L13" s="23">
        <v>0.756915162915834</v>
      </c>
      <c r="M13" s="23">
        <v>1</v>
      </c>
      <c r="N13">
        <v>1</v>
      </c>
      <c r="O13">
        <v>1</v>
      </c>
      <c r="P13" s="18">
        <v>44.5796049607967</v>
      </c>
      <c r="Q13" s="24">
        <f>IF($I13="","",IFERROR(INDEX(_玩家曲线!$H$2:$H$286,MATCH($I13,_玩家曲线!$A$2:$A$286,0)),""))</f>
        <v>59707.7034555283</v>
      </c>
      <c r="R13" s="24">
        <f>IF($I13="","",IFERROR(INDEX(_玩家曲线!$I$2:$I$286,MATCH($I13,_玩家曲线!$A$2:$A$286,0)),""))</f>
        <v>154857.631643349</v>
      </c>
      <c r="S13" s="24">
        <f>IF(OR($J13="",$F13="不适用"),"",IFERROR(INDEX(_怪物模型!$D$2:$D$4501,(INT($J13)-1)*ROWS(_怪物类型!$A$2:$A$10)+MATCH($F13,_怪物类型!$A$2:$A$10,0))*IF($K13="",1,$K13),""))</f>
        <v>2123380.42200207</v>
      </c>
      <c r="T13" s="24">
        <f>IF(OR($J13="",$F13="不适用"),"",IFERROR(INDEX(_怪物模型!$E$2:$E$4501,(INT($J13)-1)*ROWS(_怪物类型!$A$2:$A$10)+MATCH($F13,_怪物类型!$A$2:$A$10,0))*IF($L13="",1,$L13),""))</f>
        <v>3991.97056921811</v>
      </c>
      <c r="U13" s="24">
        <f>IF(OR($J13="",$F13="不适用"),"",IFERROR(INDEX(_怪物模型!$F$2:$F$4501,(INT($J13)-1)*ROWS(_怪物类型!$A$2:$A$10)+MATCH($F13,_怪物类型!$A$2:$A$10,0))*IF($M13="",1,$M13),""))</f>
        <v>6085</v>
      </c>
      <c r="V13" s="6">
        <f t="shared" si="1"/>
        <v>0.20226026258933</v>
      </c>
      <c r="W13" s="24">
        <f t="shared" si="2"/>
        <v>2661745.83316384</v>
      </c>
      <c r="X13" s="18">
        <f t="shared" si="3"/>
        <v>44.5796049607966</v>
      </c>
      <c r="Y13" s="18">
        <f t="shared" si="4"/>
        <v>38.7922778883814</v>
      </c>
      <c r="Z13" s="18">
        <f t="shared" si="5"/>
        <v>0.999999999999999</v>
      </c>
      <c r="AA13" t="str">
        <f t="shared" si="6"/>
        <v>生存不成立</v>
      </c>
      <c r="AB13" t="str">
        <f t="shared" si="7"/>
        <v>有效</v>
      </c>
      <c r="AC13" t="str">
        <f t="shared" si="8"/>
        <v>不降</v>
      </c>
      <c r="AD13" t="s">
        <v>5580</v>
      </c>
      <c r="AE13" s="4">
        <v>46600</v>
      </c>
      <c r="AF13" s="4">
        <f>INDEX(_统一战力!$B$2:$B$501,J13)</f>
        <v>101000</v>
      </c>
      <c r="AG13">
        <v>2001</v>
      </c>
      <c r="AH13">
        <v>9</v>
      </c>
      <c r="AI13">
        <v>1</v>
      </c>
    </row>
    <row r="14" spans="1:35">
      <c r="A14" t="s">
        <v>5548</v>
      </c>
      <c r="B14" t="s">
        <v>5561</v>
      </c>
      <c r="C14" t="s">
        <v>573</v>
      </c>
      <c r="D14" t="s">
        <v>5581</v>
      </c>
      <c r="E14" t="s">
        <v>5563</v>
      </c>
      <c r="F14" t="s">
        <v>164</v>
      </c>
      <c r="G14">
        <v>44</v>
      </c>
      <c r="I14">
        <f t="shared" si="0"/>
        <v>44</v>
      </c>
      <c r="J14">
        <v>80</v>
      </c>
      <c r="K14" s="23">
        <v>1.33878856603578</v>
      </c>
      <c r="L14" s="23">
        <v>0.765588252851647</v>
      </c>
      <c r="M14" s="23">
        <v>1</v>
      </c>
      <c r="N14">
        <v>1</v>
      </c>
      <c r="O14">
        <v>1</v>
      </c>
      <c r="P14" s="18">
        <v>42.507068602468</v>
      </c>
      <c r="Q14" s="24">
        <f>IF($I14="","",IFERROR(INDEX(_玩家曲线!$H$2:$H$286,MATCH($I14,_玩家曲线!$A$2:$A$286,0)),""))</f>
        <v>74012.703804625</v>
      </c>
      <c r="R14" s="24">
        <f>IF($I14="","",IFERROR(INDEX(_玩家曲线!$I$2:$I$286,MATCH($I14,_玩家曲线!$A$2:$A$286,0)),""))</f>
        <v>184219.561156841</v>
      </c>
      <c r="S14" s="24">
        <f>IF(OR($J14="",$F14="不适用"),"",IFERROR(INDEX(_怪物模型!$D$2:$D$4501,(INT($J14)-1)*ROWS(_怪物类型!$A$2:$A$10)+MATCH($F14,_怪物类型!$A$2:$A$10,0))*IF($K14="",1,$K14),""))</f>
        <v>2464842.29013991</v>
      </c>
      <c r="T14" s="24">
        <f>IF(OR($J14="",$F14="不适用"),"",IFERROR(INDEX(_怪物模型!$E$2:$E$4501,(INT($J14)-1)*ROWS(_怪物类型!$A$2:$A$10)+MATCH($F14,_怪物类型!$A$2:$A$10,0))*IF($L14="",1,$L14),""))</f>
        <v>4455.72363159659</v>
      </c>
      <c r="U14" s="24">
        <f>IF(OR($J14="",$F14="不适用"),"",IFERROR(INDEX(_怪物模型!$F$2:$F$4501,(INT($J14)-1)*ROWS(_怪物类型!$A$2:$A$10)+MATCH($F14,_怪物类型!$A$2:$A$10,0))*IF($M14="",1,$M14),""))</f>
        <v>6633</v>
      </c>
      <c r="V14" s="6">
        <f t="shared" si="1"/>
        <v>0.216531191851924</v>
      </c>
      <c r="W14" s="24">
        <f t="shared" si="2"/>
        <v>3146063.07807733</v>
      </c>
      <c r="X14" s="18">
        <f t="shared" si="3"/>
        <v>42.5070686024678</v>
      </c>
      <c r="Y14" s="18">
        <f t="shared" si="4"/>
        <v>41.3444765403529</v>
      </c>
      <c r="Z14" s="18">
        <f t="shared" si="5"/>
        <v>0.999999999999996</v>
      </c>
      <c r="AA14" t="str">
        <f t="shared" si="6"/>
        <v>生存不成立</v>
      </c>
      <c r="AB14" t="str">
        <f t="shared" si="7"/>
        <v>有效</v>
      </c>
      <c r="AC14" t="str">
        <f t="shared" si="8"/>
        <v>不降</v>
      </c>
      <c r="AD14" t="s">
        <v>5582</v>
      </c>
      <c r="AE14" s="4">
        <v>54100</v>
      </c>
      <c r="AF14" s="4">
        <f>INDEX(_统一战力!$B$2:$B$501,J14)</f>
        <v>115000</v>
      </c>
      <c r="AG14">
        <v>2001</v>
      </c>
      <c r="AH14">
        <v>10</v>
      </c>
      <c r="AI14">
        <v>1</v>
      </c>
    </row>
    <row r="15" spans="1:35">
      <c r="A15" t="s">
        <v>5548</v>
      </c>
      <c r="B15" t="s">
        <v>5561</v>
      </c>
      <c r="C15" t="s">
        <v>573</v>
      </c>
      <c r="D15" t="s">
        <v>5583</v>
      </c>
      <c r="E15" t="s">
        <v>5563</v>
      </c>
      <c r="F15" t="s">
        <v>164</v>
      </c>
      <c r="G15">
        <v>46</v>
      </c>
      <c r="I15">
        <f t="shared" si="0"/>
        <v>46</v>
      </c>
      <c r="J15">
        <v>86</v>
      </c>
      <c r="K15" s="23">
        <v>1.33313056062279</v>
      </c>
      <c r="L15" s="23">
        <v>0.774885069043221</v>
      </c>
      <c r="M15" s="23">
        <v>1</v>
      </c>
      <c r="N15">
        <v>1</v>
      </c>
      <c r="O15">
        <v>1</v>
      </c>
      <c r="P15" s="18">
        <v>44.9338572078284</v>
      </c>
      <c r="Q15" s="24">
        <f>IF($I15="","",IFERROR(INDEX(_玩家曲线!$H$2:$H$286,MATCH($I15,_玩家曲线!$A$2:$A$286,0)),""))</f>
        <v>81899.7109607037</v>
      </c>
      <c r="R15" s="24">
        <f>IF($I15="","",IFERROR(INDEX(_玩家曲线!$I$2:$I$286,MATCH($I15,_玩家曲线!$A$2:$A$286,0)),""))</f>
        <v>199954.572596594</v>
      </c>
      <c r="S15" s="24">
        <f>IF(OR($J15="",$F15="不适用"),"",IFERROR(INDEX(_怪物模型!$D$2:$D$4501,(INT($J15)-1)*ROWS(_怪物类型!$A$2:$A$10)+MATCH($F15,_怪物类型!$A$2:$A$10,0))*IF($K15="",1,$K15),""))</f>
        <v>2831730.61956064</v>
      </c>
      <c r="T15" s="24">
        <f>IF(OR($J15="",$F15="不适用"),"",IFERROR(INDEX(_怪物模型!$E$2:$E$4501,(INT($J15)-1)*ROWS(_怪物类型!$A$2:$A$10)+MATCH($F15,_怪物类型!$A$2:$A$10,0))*IF($L15="",1,$L15),""))</f>
        <v>4949.19093597905</v>
      </c>
      <c r="U15" s="24">
        <f>IF(OR($J15="",$F15="不适用"),"",IFERROR(INDEX(_怪物模型!$F$2:$F$4501,(INT($J15)-1)*ROWS(_怪物类型!$A$2:$A$10)+MATCH($F15,_怪物类型!$A$2:$A$10,0))*IF($M15="",1,$M15),""))</f>
        <v>7190</v>
      </c>
      <c r="V15" s="6">
        <f t="shared" si="1"/>
        <v>0.230522603398525</v>
      </c>
      <c r="W15" s="24">
        <f t="shared" si="2"/>
        <v>3680069.91767068</v>
      </c>
      <c r="X15" s="18">
        <f t="shared" si="3"/>
        <v>44.9338572078285</v>
      </c>
      <c r="Y15" s="18">
        <f t="shared" si="4"/>
        <v>40.4014666605379</v>
      </c>
      <c r="Z15" s="18">
        <f t="shared" si="5"/>
        <v>1</v>
      </c>
      <c r="AA15" t="str">
        <f t="shared" si="6"/>
        <v>生存不成立</v>
      </c>
      <c r="AB15" t="str">
        <f t="shared" si="7"/>
        <v>有效</v>
      </c>
      <c r="AC15" t="str">
        <f t="shared" si="8"/>
        <v>不降</v>
      </c>
      <c r="AD15" t="s">
        <v>5584</v>
      </c>
      <c r="AE15" s="4">
        <v>62400</v>
      </c>
      <c r="AF15" s="4">
        <f>INDEX(_统一战力!$B$2:$B$501,J15)</f>
        <v>136000</v>
      </c>
      <c r="AG15">
        <v>2001</v>
      </c>
      <c r="AH15">
        <v>11</v>
      </c>
      <c r="AI15">
        <v>1</v>
      </c>
    </row>
    <row r="16" spans="1:35">
      <c r="A16" t="s">
        <v>5548</v>
      </c>
      <c r="B16" t="s">
        <v>5561</v>
      </c>
      <c r="C16" t="s">
        <v>573</v>
      </c>
      <c r="D16" t="s">
        <v>5585</v>
      </c>
      <c r="E16" t="s">
        <v>5563</v>
      </c>
      <c r="F16" t="s">
        <v>164</v>
      </c>
      <c r="G16">
        <v>50</v>
      </c>
      <c r="I16">
        <f t="shared" si="0"/>
        <v>50</v>
      </c>
      <c r="J16">
        <v>93</v>
      </c>
      <c r="K16" s="23">
        <v>1.32612520772742</v>
      </c>
      <c r="L16" s="23">
        <v>0.786868015257034</v>
      </c>
      <c r="M16" s="23">
        <v>1</v>
      </c>
      <c r="N16">
        <v>1</v>
      </c>
      <c r="O16">
        <v>1</v>
      </c>
      <c r="P16" s="18">
        <v>44.157441420515</v>
      </c>
      <c r="Q16" s="24">
        <f>IF($I16="","",IFERROR(INDEX(_玩家曲线!$H$2:$H$286,MATCH($I16,_玩家曲线!$A$2:$A$286,0)),""))</f>
        <v>99275.8918555477</v>
      </c>
      <c r="R16" s="24">
        <f>IF($I16="","",IFERROR(INDEX(_玩家曲线!$I$2:$I$286,MATCH($I16,_玩家曲线!$A$2:$A$286,0)),""))</f>
        <v>233634.331383281</v>
      </c>
      <c r="S16" s="24">
        <f>IF(OR($J16="",$F16="不适用"),"",IFERROR(INDEX(_怪物模型!$D$2:$D$4501,(INT($J16)-1)*ROWS(_怪物类型!$A$2:$A$10)+MATCH($F16,_怪物类型!$A$2:$A$10,0))*IF($K16="",1,$K16),""))</f>
        <v>3303415.02395482</v>
      </c>
      <c r="T16" s="24">
        <f>IF(OR($J16="",$F16="不适用"),"",IFERROR(INDEX(_怪物模型!$E$2:$E$4501,(INT($J16)-1)*ROWS(_怪物类型!$A$2:$A$10)+MATCH($F16,_怪物类型!$A$2:$A$10,0))*IF($L16="",1,$L16),""))</f>
        <v>5567.09120794352</v>
      </c>
      <c r="U16" s="24">
        <f>IF(OR($J16="",$F16="不适用"),"",IFERROR(INDEX(_怪物模型!$F$2:$F$4501,(INT($J16)-1)*ROWS(_怪物类型!$A$2:$A$10)+MATCH($F16,_怪物类型!$A$2:$A$10,0))*IF($M16="",1,$M16),""))</f>
        <v>7849</v>
      </c>
      <c r="V16" s="6">
        <f t="shared" si="1"/>
        <v>0.246444158372319</v>
      </c>
      <c r="W16" s="24">
        <f t="shared" si="2"/>
        <v>4383769.37908071</v>
      </c>
      <c r="X16" s="18">
        <f t="shared" si="3"/>
        <v>44.1574414205148</v>
      </c>
      <c r="Y16" s="18">
        <f t="shared" si="4"/>
        <v>41.9670385586489</v>
      </c>
      <c r="Z16" s="18">
        <f t="shared" si="5"/>
        <v>0.999999999999995</v>
      </c>
      <c r="AA16" t="str">
        <f t="shared" si="6"/>
        <v>生存不成立</v>
      </c>
      <c r="AB16" t="str">
        <f t="shared" si="7"/>
        <v>有效</v>
      </c>
      <c r="AC16" t="str">
        <f t="shared" si="8"/>
        <v>不降</v>
      </c>
      <c r="AD16" t="s">
        <v>5586</v>
      </c>
      <c r="AE16" s="4">
        <v>71400</v>
      </c>
      <c r="AF16" s="4">
        <f>INDEX(_统一战力!$B$2:$B$501,J16)</f>
        <v>142000</v>
      </c>
      <c r="AG16">
        <v>2001</v>
      </c>
      <c r="AH16">
        <v>12</v>
      </c>
      <c r="AI16">
        <v>1</v>
      </c>
    </row>
    <row r="17" spans="1:35">
      <c r="A17" t="s">
        <v>5548</v>
      </c>
      <c r="B17" t="s">
        <v>5561</v>
      </c>
      <c r="C17" t="s">
        <v>573</v>
      </c>
      <c r="D17" t="s">
        <v>5587</v>
      </c>
      <c r="E17" t="s">
        <v>5563</v>
      </c>
      <c r="F17" t="s">
        <v>164</v>
      </c>
      <c r="G17">
        <v>54</v>
      </c>
      <c r="I17">
        <f t="shared" si="0"/>
        <v>54</v>
      </c>
      <c r="J17">
        <v>100</v>
      </c>
      <c r="K17" s="23">
        <v>1.30702473860661</v>
      </c>
      <c r="L17" s="23">
        <v>0.795829383809821</v>
      </c>
      <c r="M17" s="23">
        <v>1</v>
      </c>
      <c r="N17">
        <v>1</v>
      </c>
      <c r="O17">
        <v>1</v>
      </c>
      <c r="P17" s="18">
        <v>43.161546435621</v>
      </c>
      <c r="Q17" s="24">
        <f>IF($I17="","",IFERROR(INDEX(_玩家曲线!$H$2:$H$286,MATCH($I17,_玩家曲线!$A$2:$A$286,0)),""))</f>
        <v>118979.779231941</v>
      </c>
      <c r="R17" s="24">
        <f>IF($I17="","",IFERROR(INDEX(_玩家曲线!$I$2:$I$286,MATCH($I17,_玩家曲线!$A$2:$A$286,0)),""))</f>
        <v>270400.047091314</v>
      </c>
      <c r="S17" s="24">
        <f>IF(OR($J17="",$F17="不适用"),"",IFERROR(INDEX(_怪物模型!$D$2:$D$4501,(INT($J17)-1)*ROWS(_怪物类型!$A$2:$A$10)+MATCH($F17,_怪物类型!$A$2:$A$10,0))*IF($K17="",1,$K17),""))</f>
        <v>3790043.67874978</v>
      </c>
      <c r="T17" s="24">
        <f>IF(OR($J17="",$F17="不适用"),"",IFERROR(INDEX(_怪物模型!$E$2:$E$4501,(INT($J17)-1)*ROWS(_怪物类型!$A$2:$A$10)+MATCH($F17,_怪物类型!$A$2:$A$10,0))*IF($L17="",1,$L17),""))</f>
        <v>6201.89838802994</v>
      </c>
      <c r="U17" s="24">
        <f>IF(OR($J17="",$F17="不适用"),"",IFERROR(INDEX(_怪物模型!$F$2:$F$4501,(INT($J17)-1)*ROWS(_怪物类型!$A$2:$A$10)+MATCH($F17,_怪物类型!$A$2:$A$10,0))*IF($M17="",1,$M17),""))</f>
        <v>8519</v>
      </c>
      <c r="V17" s="6">
        <f t="shared" si="1"/>
        <v>0.261969925274455</v>
      </c>
      <c r="W17" s="24">
        <f t="shared" si="2"/>
        <v>5135351.26621934</v>
      </c>
      <c r="X17" s="18">
        <f t="shared" si="3"/>
        <v>43.1615464356208</v>
      </c>
      <c r="Y17" s="18">
        <f t="shared" si="4"/>
        <v>43.5995610010644</v>
      </c>
      <c r="Z17" s="18">
        <f t="shared" si="5"/>
        <v>0.999999999999996</v>
      </c>
      <c r="AA17" t="str">
        <f t="shared" si="6"/>
        <v>适中</v>
      </c>
      <c r="AB17" t="str">
        <f t="shared" si="7"/>
        <v>有效</v>
      </c>
      <c r="AC17" t="str">
        <f t="shared" si="8"/>
        <v>不降</v>
      </c>
      <c r="AD17" t="s">
        <v>5588</v>
      </c>
      <c r="AE17" s="4">
        <v>82700</v>
      </c>
      <c r="AF17" s="4">
        <f>INDEX(_统一战力!$B$2:$B$501,J17)</f>
        <v>180000</v>
      </c>
      <c r="AG17">
        <v>2001</v>
      </c>
      <c r="AH17">
        <v>13</v>
      </c>
      <c r="AI17">
        <v>1</v>
      </c>
    </row>
    <row r="18" spans="1:35">
      <c r="A18" t="s">
        <v>5548</v>
      </c>
      <c r="B18" t="s">
        <v>5561</v>
      </c>
      <c r="C18" t="s">
        <v>573</v>
      </c>
      <c r="D18" t="s">
        <v>5589</v>
      </c>
      <c r="E18" t="s">
        <v>5563</v>
      </c>
      <c r="F18" t="s">
        <v>164</v>
      </c>
      <c r="G18">
        <v>57</v>
      </c>
      <c r="I18">
        <f t="shared" si="0"/>
        <v>57</v>
      </c>
      <c r="J18">
        <v>106</v>
      </c>
      <c r="K18" s="23">
        <v>1.29528071264125</v>
      </c>
      <c r="L18" s="23">
        <v>0.803215622275877</v>
      </c>
      <c r="M18" s="23">
        <v>1</v>
      </c>
      <c r="N18">
        <v>1</v>
      </c>
      <c r="O18">
        <v>1</v>
      </c>
      <c r="P18" s="18">
        <v>44.4137551611223</v>
      </c>
      <c r="Q18" s="24">
        <f>IF($I18="","",IFERROR(INDEX(_玩家曲线!$H$2:$H$286,MATCH($I18,_玩家曲线!$A$2:$A$286,0)),""))</f>
        <v>132150.182793862</v>
      </c>
      <c r="R18" s="24">
        <f>IF($I18="","",IFERROR(INDEX(_玩家曲线!$I$2:$I$286,MATCH($I18,_玩家曲线!$A$2:$A$286,0)),""))</f>
        <v>294315.434812568</v>
      </c>
      <c r="S18" s="24">
        <f>IF(OR($J18="",$F18="不适用"),"",IFERROR(INDEX(_怪物模型!$D$2:$D$4501,(INT($J18)-1)*ROWS(_怪物类型!$A$2:$A$10)+MATCH($F18,_怪物类型!$A$2:$A$10,0))*IF($K18="",1,$K18),""))</f>
        <v>4255289.87446756</v>
      </c>
      <c r="T18" s="24">
        <f>IF(OR($J18="",$F18="不适用"),"",IFERROR(INDEX(_怪物模型!$E$2:$E$4501,(INT($J18)-1)*ROWS(_怪物类型!$A$2:$A$10)+MATCH($F18,_怪物类型!$A$2:$A$10,0))*IF($L18="",1,$L18),""))</f>
        <v>6772.71412703019</v>
      </c>
      <c r="U18" s="24">
        <f>IF(OR($J18="",$F18="不适用"),"",IFERROR(INDEX(_怪物模型!$F$2:$F$4501,(INT($J18)-1)*ROWS(_怪物类型!$A$2:$A$10)+MATCH($F18,_怪物类型!$A$2:$A$10,0))*IF($M18="",1,$M18),""))</f>
        <v>9103</v>
      </c>
      <c r="V18" s="6">
        <f t="shared" si="1"/>
        <v>0.274990182158717</v>
      </c>
      <c r="W18" s="24">
        <f t="shared" si="2"/>
        <v>5869285.86310416</v>
      </c>
      <c r="X18" s="18">
        <f t="shared" si="3"/>
        <v>44.4137551611224</v>
      </c>
      <c r="Y18" s="18">
        <f t="shared" si="4"/>
        <v>43.4560545879151</v>
      </c>
      <c r="Z18" s="18">
        <f t="shared" si="5"/>
        <v>1</v>
      </c>
      <c r="AA18" t="str">
        <f t="shared" si="6"/>
        <v>生存不成立</v>
      </c>
      <c r="AB18" t="str">
        <f t="shared" si="7"/>
        <v>有效</v>
      </c>
      <c r="AC18" t="str">
        <f t="shared" si="8"/>
        <v>不降</v>
      </c>
      <c r="AD18" t="s">
        <v>5590</v>
      </c>
      <c r="AE18" s="4">
        <v>91400</v>
      </c>
      <c r="AF18" s="4">
        <f>INDEX(_统一战力!$B$2:$B$501,J18)</f>
        <v>211000</v>
      </c>
      <c r="AG18">
        <v>2001</v>
      </c>
      <c r="AH18">
        <v>14</v>
      </c>
      <c r="AI18">
        <v>1</v>
      </c>
    </row>
    <row r="19" spans="1:35">
      <c r="A19" t="s">
        <v>5548</v>
      </c>
      <c r="B19" t="s">
        <v>5561</v>
      </c>
      <c r="C19" t="s">
        <v>573</v>
      </c>
      <c r="D19" t="s">
        <v>5591</v>
      </c>
      <c r="E19" t="s">
        <v>5563</v>
      </c>
      <c r="F19" t="s">
        <v>164</v>
      </c>
      <c r="G19">
        <v>61</v>
      </c>
      <c r="I19">
        <f t="shared" si="0"/>
        <v>61</v>
      </c>
      <c r="J19">
        <v>112</v>
      </c>
      <c r="K19" s="23">
        <v>1.28503787652259</v>
      </c>
      <c r="L19" s="23">
        <v>0.811599222460109</v>
      </c>
      <c r="M19" s="23">
        <v>1</v>
      </c>
      <c r="N19">
        <v>1</v>
      </c>
      <c r="O19">
        <v>1</v>
      </c>
      <c r="P19" s="18">
        <v>44.3736042345114</v>
      </c>
      <c r="Q19" s="24">
        <f>IF($I19="","",IFERROR(INDEX(_玩家曲线!$H$2:$H$286,MATCH($I19,_玩家曲线!$A$2:$A$286,0)),""))</f>
        <v>150625.293796219</v>
      </c>
      <c r="R19" s="24">
        <f>IF($I19="","",IFERROR(INDEX(_玩家曲线!$I$2:$I$286,MATCH($I19,_玩家曲线!$A$2:$A$286,0)),""))</f>
        <v>327017.486361194</v>
      </c>
      <c r="S19" s="24">
        <f>IF(OR($J19="",$F19="不适用"),"",IFERROR(INDEX(_怪物模型!$D$2:$D$4501,(INT($J19)-1)*ROWS(_怪物类型!$A$2:$A$10)+MATCH($F19,_怪物类型!$A$2:$A$10,0))*IF($K19="",1,$K19),""))</f>
        <v>4760814.75013027</v>
      </c>
      <c r="T19" s="24">
        <f>IF(OR($J19="",$F19="不适用"),"",IFERROR(INDEX(_怪物模型!$E$2:$E$4501,(INT($J19)-1)*ROWS(_怪物类型!$A$2:$A$10)+MATCH($F19,_怪物类型!$A$2:$A$10,0))*IF($L19="",1,$L19),""))</f>
        <v>7381.49492827469</v>
      </c>
      <c r="U19" s="24">
        <f>IF(OR($J19="",$F19="不适用"),"",IFERROR(INDEX(_怪物模型!$F$2:$F$4501,(INT($J19)-1)*ROWS(_怪物类型!$A$2:$A$10)+MATCH($F19,_怪物类型!$A$2:$A$10,0))*IF($M19="",1,$M19),""))</f>
        <v>9694</v>
      </c>
      <c r="V19" s="6">
        <f t="shared" si="1"/>
        <v>0.287707010150175</v>
      </c>
      <c r="W19" s="24">
        <f t="shared" si="2"/>
        <v>6683787.17462039</v>
      </c>
      <c r="X19" s="18">
        <f t="shared" si="3"/>
        <v>44.3736042345112</v>
      </c>
      <c r="Y19" s="18">
        <f t="shared" si="4"/>
        <v>44.302338420441</v>
      </c>
      <c r="Z19" s="18">
        <f t="shared" si="5"/>
        <v>0.999999999999995</v>
      </c>
      <c r="AA19" t="str">
        <f t="shared" si="6"/>
        <v>生存不成立</v>
      </c>
      <c r="AB19" t="str">
        <f t="shared" si="7"/>
        <v>有效</v>
      </c>
      <c r="AC19" t="str">
        <f t="shared" si="8"/>
        <v>不降</v>
      </c>
      <c r="AD19" t="s">
        <v>5592</v>
      </c>
      <c r="AE19" s="4">
        <v>101000</v>
      </c>
      <c r="AF19" s="4">
        <f>INDEX(_统一战力!$B$2:$B$501,J19)</f>
        <v>225000</v>
      </c>
      <c r="AG19">
        <v>2001</v>
      </c>
      <c r="AH19">
        <v>15</v>
      </c>
      <c r="AI19">
        <v>1</v>
      </c>
    </row>
    <row r="20" spans="1:35">
      <c r="A20" t="s">
        <v>5548</v>
      </c>
      <c r="B20" t="s">
        <v>5561</v>
      </c>
      <c r="C20" t="s">
        <v>573</v>
      </c>
      <c r="D20" t="s">
        <v>5593</v>
      </c>
      <c r="E20" t="s">
        <v>5563</v>
      </c>
      <c r="F20" t="s">
        <v>164</v>
      </c>
      <c r="G20">
        <v>65</v>
      </c>
      <c r="I20">
        <f t="shared" si="0"/>
        <v>65</v>
      </c>
      <c r="J20">
        <v>118</v>
      </c>
      <c r="K20" s="23">
        <v>1.28132668357328</v>
      </c>
      <c r="L20" s="23">
        <v>0.82234194406975</v>
      </c>
      <c r="M20" s="23">
        <v>1</v>
      </c>
      <c r="N20">
        <v>1</v>
      </c>
      <c r="O20">
        <v>1</v>
      </c>
      <c r="P20" s="18">
        <v>44.3016847289828</v>
      </c>
      <c r="Q20" s="24">
        <f>IF($I20="","",IFERROR(INDEX(_玩家曲线!$H$2:$H$286,MATCH($I20,_玩家曲线!$A$2:$A$286,0)),""))</f>
        <v>171927.518056297</v>
      </c>
      <c r="R20" s="24">
        <f>IF($I20="","",IFERROR(INDEX(_玩家曲线!$I$2:$I$286,MATCH($I20,_玩家曲线!$A$2:$A$286,0)),""))</f>
        <v>364957.353601822</v>
      </c>
      <c r="S20" s="24">
        <f>IF(OR($J20="",$F20="不适用"),"",IFERROR(INDEX(_怪物模型!$D$2:$D$4501,(INT($J20)-1)*ROWS(_怪物类型!$A$2:$A$10)+MATCH($F20,_怪物类型!$A$2:$A$10,0))*IF($K20="",1,$K20),""))</f>
        <v>5330386.91397907</v>
      </c>
      <c r="T20" s="24">
        <f>IF(OR($J20="",$F20="不适用"),"",IFERROR(INDEX(_怪物模型!$E$2:$E$4501,(INT($J20)-1)*ROWS(_怪物类型!$A$2:$A$10)+MATCH($F20,_怪物类型!$A$2:$A$10,0))*IF($L20="",1,$L20),""))</f>
        <v>8044.14889689029</v>
      </c>
      <c r="U20" s="24">
        <f>IF(OR($J20="",$F20="不适用"),"",IFERROR(INDEX(_怪物模型!$F$2:$F$4501,(INT($J20)-1)*ROWS(_怪物类型!$A$2:$A$10)+MATCH($F20,_怪物类型!$A$2:$A$10,0))*IF($M20="",1,$M20),""))</f>
        <v>10294</v>
      </c>
      <c r="V20" s="6">
        <f t="shared" si="1"/>
        <v>0.3001691257946</v>
      </c>
      <c r="W20" s="24">
        <f t="shared" si="2"/>
        <v>7616678.7011666</v>
      </c>
      <c r="X20" s="18">
        <f t="shared" si="3"/>
        <v>44.301684728983</v>
      </c>
      <c r="Y20" s="18">
        <f t="shared" si="4"/>
        <v>45.3692936667181</v>
      </c>
      <c r="Z20" s="18">
        <f t="shared" si="5"/>
        <v>1</v>
      </c>
      <c r="AA20" t="str">
        <f t="shared" si="6"/>
        <v>适中</v>
      </c>
      <c r="AB20" t="str">
        <f t="shared" si="7"/>
        <v>有效</v>
      </c>
      <c r="AC20" t="str">
        <f t="shared" si="8"/>
        <v>不降</v>
      </c>
      <c r="AD20" t="s">
        <v>5594</v>
      </c>
      <c r="AE20" s="4">
        <v>110000</v>
      </c>
      <c r="AF20" s="4">
        <f>INDEX(_统一战力!$B$2:$B$501,J20)</f>
        <v>261000</v>
      </c>
      <c r="AG20">
        <v>2001</v>
      </c>
      <c r="AH20">
        <v>16</v>
      </c>
      <c r="AI20">
        <v>1</v>
      </c>
    </row>
    <row r="21" spans="1:35">
      <c r="A21" t="s">
        <v>5548</v>
      </c>
      <c r="B21" t="s">
        <v>5561</v>
      </c>
      <c r="C21" t="s">
        <v>573</v>
      </c>
      <c r="D21" t="s">
        <v>5595</v>
      </c>
      <c r="E21" t="s">
        <v>5563</v>
      </c>
      <c r="F21" t="s">
        <v>164</v>
      </c>
      <c r="G21">
        <v>68</v>
      </c>
      <c r="I21">
        <f t="shared" si="0"/>
        <v>68</v>
      </c>
      <c r="J21">
        <v>124</v>
      </c>
      <c r="K21" s="23">
        <v>1.27495714762014</v>
      </c>
      <c r="L21" s="23">
        <v>0.830446307445566</v>
      </c>
      <c r="M21" s="23">
        <v>1</v>
      </c>
      <c r="N21">
        <v>1</v>
      </c>
      <c r="O21">
        <v>1</v>
      </c>
      <c r="P21" s="18">
        <v>45.0185383396059</v>
      </c>
      <c r="Q21" s="24">
        <f>IF($I21="","",IFERROR(INDEX(_玩家曲线!$H$2:$H$286,MATCH($I21,_玩家曲线!$A$2:$A$286,0)),""))</f>
        <v>191624.950037364</v>
      </c>
      <c r="R21" s="24">
        <f>IF($I21="","",IFERROR(INDEX(_玩家曲线!$I$2:$I$286,MATCH($I21,_玩家曲线!$A$2:$A$286,0)),""))</f>
        <v>402257.4157323</v>
      </c>
      <c r="S21" s="24">
        <f>IF(OR($J21="",$F21="不适用"),"",IFERROR(INDEX(_怪物模型!$D$2:$D$4501,(INT($J21)-1)*ROWS(_怪物类型!$A$2:$A$10)+MATCH($F21,_怪物类型!$A$2:$A$10,0))*IF($K21="",1,$K21),""))</f>
        <v>5932044.11901813</v>
      </c>
      <c r="T21" s="24">
        <f>IF(OR($J21="",$F21="不适用"),"",IFERROR(INDEX(_怪物模型!$E$2:$E$4501,(INT($J21)-1)*ROWS(_怪物类型!$A$2:$A$10)+MATCH($F21,_怪物类型!$A$2:$A$10,0))*IF($L21="",1,$L21),""))</f>
        <v>8714.70355033377</v>
      </c>
      <c r="U21" s="24">
        <f>IF(OR($J21="",$F21="不适用"),"",IFERROR(INDEX(_怪物模型!$F$2:$F$4501,(INT($J21)-1)*ROWS(_怪物类型!$A$2:$A$10)+MATCH($F21,_怪物类型!$A$2:$A$10,0))*IF($M21="",1,$M21),""))</f>
        <v>10902</v>
      </c>
      <c r="V21" s="6">
        <f t="shared" si="1"/>
        <v>0.312360323190648</v>
      </c>
      <c r="W21" s="24">
        <f t="shared" si="2"/>
        <v>8626675.16008211</v>
      </c>
      <c r="X21" s="18">
        <f t="shared" si="3"/>
        <v>45.0185383396058</v>
      </c>
      <c r="Y21" s="18">
        <f t="shared" si="4"/>
        <v>46.1584738263293</v>
      </c>
      <c r="Z21" s="18">
        <f t="shared" si="5"/>
        <v>0.999999999999998</v>
      </c>
      <c r="AA21" t="str">
        <f t="shared" si="6"/>
        <v>适中</v>
      </c>
      <c r="AB21" t="str">
        <f t="shared" si="7"/>
        <v>有效</v>
      </c>
      <c r="AC21" t="str">
        <f t="shared" si="8"/>
        <v>不降</v>
      </c>
      <c r="AD21" t="s">
        <v>5596</v>
      </c>
      <c r="AE21" s="4">
        <v>120000</v>
      </c>
      <c r="AF21" s="4">
        <f>INDEX(_统一战力!$B$2:$B$501,J21)</f>
        <v>300000</v>
      </c>
      <c r="AG21">
        <v>2001</v>
      </c>
      <c r="AH21">
        <v>17</v>
      </c>
      <c r="AI21">
        <v>1</v>
      </c>
    </row>
    <row r="22" spans="1:35">
      <c r="A22" t="s">
        <v>5548</v>
      </c>
      <c r="B22" t="s">
        <v>5561</v>
      </c>
      <c r="C22" t="s">
        <v>573</v>
      </c>
      <c r="D22" t="s">
        <v>5597</v>
      </c>
      <c r="E22" t="s">
        <v>5563</v>
      </c>
      <c r="F22" t="s">
        <v>164</v>
      </c>
      <c r="G22">
        <v>72</v>
      </c>
      <c r="I22">
        <f t="shared" si="0"/>
        <v>72</v>
      </c>
      <c r="J22">
        <v>128</v>
      </c>
      <c r="K22" s="23">
        <v>1.28846543594302</v>
      </c>
      <c r="L22" s="23">
        <v>0.84183074111575</v>
      </c>
      <c r="M22" s="23">
        <v>1</v>
      </c>
      <c r="N22">
        <v>1</v>
      </c>
      <c r="O22">
        <v>1</v>
      </c>
      <c r="P22" s="18">
        <v>43.7275502613812</v>
      </c>
      <c r="Q22" s="24">
        <f>IF($I22="","",IFERROR(INDEX(_玩家曲线!$H$2:$H$286,MATCH($I22,_玩家曲线!$A$2:$A$286,0)),""))</f>
        <v>216890.590855432</v>
      </c>
      <c r="R22" s="24">
        <f>IF($I22="","",IFERROR(INDEX(_玩家曲线!$I$2:$I$286,MATCH($I22,_玩家曲线!$A$2:$A$286,0)),""))</f>
        <v>449316.591842609</v>
      </c>
      <c r="S22" s="24">
        <f>IF(OR($J22="",$F22="不适用"),"",IFERROR(INDEX(_怪物模型!$D$2:$D$4501,(INT($J22)-1)*ROWS(_怪物类型!$A$2:$A$10)+MATCH($F22,_怪物类型!$A$2:$A$10,0))*IF($K22="",1,$K22),""))</f>
        <v>6445918.13288507</v>
      </c>
      <c r="T22" s="24">
        <f>IF(OR($J22="",$F22="不适用"),"",IFERROR(INDEX(_怪物模型!$E$2:$E$4501,(INT($J22)-1)*ROWS(_怪物类型!$A$2:$A$10)+MATCH($F22,_怪物类型!$A$2:$A$10,0))*IF($L22="",1,$L22),""))</f>
        <v>9245.82702967428</v>
      </c>
      <c r="U22" s="24">
        <f>IF(OR($J22="",$F22="不适用"),"",IFERROR(INDEX(_怪物模型!$F$2:$F$4501,(INT($J22)-1)*ROWS(_怪物类型!$A$2:$A$10)+MATCH($F22,_怪物类型!$A$2:$A$10,0))*IF($M22="",1,$M22),""))</f>
        <v>11312</v>
      </c>
      <c r="V22" s="6">
        <f t="shared" si="1"/>
        <v>0.320344358858179</v>
      </c>
      <c r="W22" s="24">
        <f t="shared" si="2"/>
        <v>9484094.21285157</v>
      </c>
      <c r="X22" s="18">
        <f t="shared" si="3"/>
        <v>43.7275502613812</v>
      </c>
      <c r="Y22" s="18">
        <f t="shared" si="4"/>
        <v>48.5966902041902</v>
      </c>
      <c r="Z22" s="18">
        <f t="shared" si="5"/>
        <v>1</v>
      </c>
      <c r="AA22" t="str">
        <f t="shared" si="6"/>
        <v>适中</v>
      </c>
      <c r="AB22" t="str">
        <f t="shared" si="7"/>
        <v>有效</v>
      </c>
      <c r="AC22" t="str">
        <f t="shared" si="8"/>
        <v>不降</v>
      </c>
      <c r="AD22" t="s">
        <v>5598</v>
      </c>
      <c r="AE22" s="4">
        <v>131000</v>
      </c>
      <c r="AF22" s="4">
        <f>INDEX(_统一战力!$B$2:$B$501,J22)</f>
        <v>314000</v>
      </c>
      <c r="AG22">
        <v>2001</v>
      </c>
      <c r="AH22">
        <v>18</v>
      </c>
      <c r="AI22">
        <v>1</v>
      </c>
    </row>
    <row r="23" spans="1:35">
      <c r="A23" t="s">
        <v>5548</v>
      </c>
      <c r="B23" t="s">
        <v>5561</v>
      </c>
      <c r="C23" t="s">
        <v>573</v>
      </c>
      <c r="D23" t="s">
        <v>5599</v>
      </c>
      <c r="E23" t="s">
        <v>5563</v>
      </c>
      <c r="F23" t="s">
        <v>164</v>
      </c>
      <c r="G23">
        <v>76</v>
      </c>
      <c r="I23">
        <f t="shared" si="0"/>
        <v>76</v>
      </c>
      <c r="J23">
        <v>134</v>
      </c>
      <c r="K23" s="23">
        <v>1.27168321033411</v>
      </c>
      <c r="L23" s="23">
        <v>0.844317407687947</v>
      </c>
      <c r="M23" s="23">
        <v>1</v>
      </c>
      <c r="N23">
        <v>1</v>
      </c>
      <c r="O23">
        <v>1</v>
      </c>
      <c r="P23" s="18">
        <v>43.8003250341078</v>
      </c>
      <c r="Q23" s="24">
        <f>IF($I23="","",IFERROR(INDEX(_玩家曲线!$H$2:$H$286,MATCH($I23,_玩家曲线!$A$2:$A$286,0)),""))</f>
        <v>241771.641497773</v>
      </c>
      <c r="R23" s="24">
        <f>IF($I23="","",IFERROR(INDEX(_玩家曲线!$I$2:$I$286,MATCH($I23,_玩家曲线!$A$2:$A$286,0)),""))</f>
        <v>494857.08136754</v>
      </c>
      <c r="S23" s="24">
        <f>IF(OR($J23="",$F23="不适用"),"",IFERROR(INDEX(_怪物模型!$D$2:$D$4501,(INT($J23)-1)*ROWS(_怪物类型!$A$2:$A$10)+MATCH($F23,_怪物类型!$A$2:$A$10,0))*IF($K23="",1,$K23),""))</f>
        <v>7072751.03131227</v>
      </c>
      <c r="T23" s="24">
        <f>IF(OR($J23="",$F23="不适用"),"",IFERROR(INDEX(_怪物模型!$E$2:$E$4501,(INT($J23)-1)*ROWS(_怪物类型!$A$2:$A$10)+MATCH($F23,_怪物类型!$A$2:$A$10,0))*IF($L23="",1,$L23),""))</f>
        <v>9909.75341403343</v>
      </c>
      <c r="U23" s="24">
        <f>IF(OR($J23="",$F23="不适用"),"",IFERROR(INDEX(_怪物模型!$F$2:$F$4501,(INT($J23)-1)*ROWS(_怪物类型!$A$2:$A$10)+MATCH($F23,_怪物类型!$A$2:$A$10,0))*IF($M23="",1,$M23),""))</f>
        <v>11934</v>
      </c>
      <c r="V23" s="6">
        <f t="shared" si="1"/>
        <v>0.3321088662548</v>
      </c>
      <c r="W23" s="24">
        <f t="shared" si="2"/>
        <v>10589676.4816323</v>
      </c>
      <c r="X23" s="18">
        <f t="shared" si="3"/>
        <v>43.800325034108</v>
      </c>
      <c r="Y23" s="18">
        <f t="shared" si="4"/>
        <v>49.9363667986694</v>
      </c>
      <c r="Z23" s="18">
        <f t="shared" si="5"/>
        <v>1</v>
      </c>
      <c r="AA23" t="str">
        <f t="shared" si="6"/>
        <v>适中</v>
      </c>
      <c r="AB23" t="str">
        <f t="shared" si="7"/>
        <v>有效</v>
      </c>
      <c r="AC23" t="str">
        <f t="shared" si="8"/>
        <v>不降</v>
      </c>
      <c r="AD23" t="s">
        <v>5600</v>
      </c>
      <c r="AE23" s="4">
        <v>142000</v>
      </c>
      <c r="AF23" s="4">
        <f>INDEX(_统一战力!$B$2:$B$501,J23)</f>
        <v>347000</v>
      </c>
      <c r="AG23">
        <v>2001</v>
      </c>
      <c r="AH23">
        <v>19</v>
      </c>
      <c r="AI23">
        <v>1</v>
      </c>
    </row>
    <row r="24" spans="1:35">
      <c r="A24" t="s">
        <v>5548</v>
      </c>
      <c r="B24" t="s">
        <v>5561</v>
      </c>
      <c r="C24" t="s">
        <v>573</v>
      </c>
      <c r="D24" t="s">
        <v>5601</v>
      </c>
      <c r="E24" t="s">
        <v>5563</v>
      </c>
      <c r="F24" t="s">
        <v>164</v>
      </c>
      <c r="G24">
        <v>80</v>
      </c>
      <c r="I24">
        <f t="shared" si="0"/>
        <v>80</v>
      </c>
      <c r="J24">
        <v>140</v>
      </c>
      <c r="K24" s="23">
        <v>1.26710027476186</v>
      </c>
      <c r="L24" s="23">
        <v>0.853468057756971</v>
      </c>
      <c r="M24" s="23">
        <v>1</v>
      </c>
      <c r="N24">
        <v>1</v>
      </c>
      <c r="O24">
        <v>1</v>
      </c>
      <c r="P24" s="18">
        <v>44.3098338060085</v>
      </c>
      <c r="Q24" s="24">
        <f>IF($I24="","",IFERROR(INDEX(_玩家曲线!$H$2:$H$286,MATCH($I24,_玩家曲线!$A$2:$A$286,0)),""))</f>
        <v>268497.866642121</v>
      </c>
      <c r="R24" s="24">
        <f>IF($I24="","",IFERROR(INDEX(_玩家曲线!$I$2:$I$286,MATCH($I24,_玩家曲线!$A$2:$A$286,0)),""))</f>
        <v>542921.471861221</v>
      </c>
      <c r="S24" s="24">
        <f>IF(OR($J24="",$F24="不适用"),"",IFERROR(INDEX(_怪物模型!$D$2:$D$4501,(INT($J24)-1)*ROWS(_怪物类型!$A$2:$A$10)+MATCH($F24,_怪物类型!$A$2:$A$10,0))*IF($K24="",1,$K24),""))</f>
        <v>7809055.36473921</v>
      </c>
      <c r="T24" s="24">
        <f>IF(OR($J24="",$F24="不适用"),"",IFERROR(INDEX(_怪物模型!$E$2:$E$4501,(INT($J24)-1)*ROWS(_怪物类型!$A$2:$A$10)+MATCH($F24,_怪物类型!$A$2:$A$10,0))*IF($L24="",1,$L24),""))</f>
        <v>10684.5666150595</v>
      </c>
      <c r="U24" s="24">
        <f>IF(OR($J24="",$F24="不适用"),"",IFERROR(INDEX(_怪物模型!$F$2:$F$4501,(INT($J24)-1)*ROWS(_怪物类型!$A$2:$A$10)+MATCH($F24,_怪物类型!$A$2:$A$10,0))*IF($M24="",1,$M24),""))</f>
        <v>12564</v>
      </c>
      <c r="V24" s="6">
        <f t="shared" si="1"/>
        <v>0.343616672136528</v>
      </c>
      <c r="W24" s="24">
        <f t="shared" si="2"/>
        <v>11897095.8481802</v>
      </c>
      <c r="X24" s="18">
        <f t="shared" si="3"/>
        <v>44.3098338060084</v>
      </c>
      <c r="Y24" s="18">
        <f t="shared" si="4"/>
        <v>50.8136166324231</v>
      </c>
      <c r="Z24" s="18">
        <f t="shared" si="5"/>
        <v>0.999999999999997</v>
      </c>
      <c r="AA24" t="str">
        <f t="shared" si="6"/>
        <v>适中</v>
      </c>
      <c r="AB24" t="str">
        <f t="shared" si="7"/>
        <v>有效</v>
      </c>
      <c r="AC24" t="str">
        <f t="shared" si="8"/>
        <v>不降</v>
      </c>
      <c r="AD24" t="s">
        <v>5602</v>
      </c>
      <c r="AE24" s="4">
        <v>156000</v>
      </c>
      <c r="AF24" s="4">
        <f>INDEX(_统一战力!$B$2:$B$501,J24)</f>
        <v>381000</v>
      </c>
      <c r="AG24">
        <v>2001</v>
      </c>
      <c r="AH24">
        <v>20</v>
      </c>
      <c r="AI24">
        <v>1</v>
      </c>
    </row>
    <row r="25" spans="1:35">
      <c r="A25" t="s">
        <v>5548</v>
      </c>
      <c r="B25" t="s">
        <v>5561</v>
      </c>
      <c r="C25" t="s">
        <v>573</v>
      </c>
      <c r="D25" t="s">
        <v>5603</v>
      </c>
      <c r="E25" t="s">
        <v>5563</v>
      </c>
      <c r="F25" t="s">
        <v>164</v>
      </c>
      <c r="G25">
        <v>84</v>
      </c>
      <c r="I25">
        <f t="shared" si="0"/>
        <v>84</v>
      </c>
      <c r="J25">
        <v>145</v>
      </c>
      <c r="K25" s="23">
        <v>1.27562565058875</v>
      </c>
      <c r="L25" s="23">
        <v>0.867922351772688</v>
      </c>
      <c r="M25" s="23">
        <v>1</v>
      </c>
      <c r="N25">
        <v>1</v>
      </c>
      <c r="O25">
        <v>1</v>
      </c>
      <c r="P25" s="18">
        <v>44.4354502488853</v>
      </c>
      <c r="Q25" s="24">
        <f>IF($I25="","",IFERROR(INDEX(_玩家曲线!$H$2:$H$286,MATCH($I25,_玩家曲线!$A$2:$A$286,0)),""))</f>
        <v>297177.924285564</v>
      </c>
      <c r="R25" s="24">
        <f>IF($I25="","",IFERROR(INDEX(_玩家曲线!$I$2:$I$286,MATCH($I25,_玩家曲线!$A$2:$A$286,0)),""))</f>
        <v>593588.996599568</v>
      </c>
      <c r="S25" s="24">
        <f>IF(OR($J25="",$F25="不适用"),"",IFERROR(INDEX(_怪物模型!$D$2:$D$4501,(INT($J25)-1)*ROWS(_怪物类型!$A$2:$A$10)+MATCH($F25,_怪物类型!$A$2:$A$10,0))*IF($K25="",1,$K25),""))</f>
        <v>8543621.42800366</v>
      </c>
      <c r="T25" s="24">
        <f>IF(OR($J25="",$F25="不适用"),"",IFERROR(INDEX(_怪物模型!$E$2:$E$4501,(INT($J25)-1)*ROWS(_怪物类型!$A$2:$A$10)+MATCH($F25,_怪物类型!$A$2:$A$10,0))*IF($L25="",1,$L25),""))</f>
        <v>11448.7637422335</v>
      </c>
      <c r="U25" s="24">
        <f>IF(OR($J25="",$F25="不适用"),"",IFERROR(INDEX(_怪物模型!$F$2:$F$4501,(INT($J25)-1)*ROWS(_怪物类型!$A$2:$A$10)+MATCH($F25,_怪物类型!$A$2:$A$10,0))*IF($M25="",1,$M25),""))</f>
        <v>13095</v>
      </c>
      <c r="V25" s="6">
        <f t="shared" si="1"/>
        <v>0.353012535382127</v>
      </c>
      <c r="W25" s="24">
        <f t="shared" si="2"/>
        <v>13205234.8696582</v>
      </c>
      <c r="X25" s="18">
        <f t="shared" si="3"/>
        <v>44.4354502488852</v>
      </c>
      <c r="Y25" s="18">
        <f t="shared" si="4"/>
        <v>51.8474317370939</v>
      </c>
      <c r="Z25" s="18">
        <f t="shared" si="5"/>
        <v>0.999999999999998</v>
      </c>
      <c r="AA25" t="str">
        <f t="shared" si="6"/>
        <v>适中</v>
      </c>
      <c r="AB25" t="str">
        <f t="shared" si="7"/>
        <v>有效</v>
      </c>
      <c r="AC25" t="str">
        <f t="shared" si="8"/>
        <v>不降</v>
      </c>
      <c r="AD25" t="s">
        <v>5604</v>
      </c>
      <c r="AE25" s="4">
        <v>170000</v>
      </c>
      <c r="AF25" s="4">
        <f>INDEX(_统一战力!$B$2:$B$501,J25)</f>
        <v>403000</v>
      </c>
      <c r="AG25">
        <v>2001</v>
      </c>
      <c r="AH25">
        <v>21</v>
      </c>
      <c r="AI25">
        <v>1</v>
      </c>
    </row>
    <row r="26" spans="1:35">
      <c r="A26" t="s">
        <v>5548</v>
      </c>
      <c r="B26" t="s">
        <v>5561</v>
      </c>
      <c r="C26" t="s">
        <v>573</v>
      </c>
      <c r="D26" t="s">
        <v>5605</v>
      </c>
      <c r="E26" t="s">
        <v>5563</v>
      </c>
      <c r="F26" t="s">
        <v>164</v>
      </c>
      <c r="G26">
        <v>89</v>
      </c>
      <c r="I26">
        <f t="shared" si="0"/>
        <v>89</v>
      </c>
      <c r="J26">
        <v>151</v>
      </c>
      <c r="K26" s="23">
        <v>1.25787034943335</v>
      </c>
      <c r="L26" s="23">
        <v>0.869024495102459</v>
      </c>
      <c r="M26" s="23">
        <v>1</v>
      </c>
      <c r="N26">
        <v>1</v>
      </c>
      <c r="O26">
        <v>1</v>
      </c>
      <c r="P26" s="18">
        <v>44.7012882520538</v>
      </c>
      <c r="Q26" s="24">
        <f>IF($I26="","",IFERROR(INDEX(_玩家曲线!$H$2:$H$286,MATCH($I26,_玩家曲线!$A$2:$A$286,0)),""))</f>
        <v>326620.567530564</v>
      </c>
      <c r="R26" s="24">
        <f>IF($I26="","",IFERROR(INDEX(_玩家曲线!$I$2:$I$286,MATCH($I26,_玩家曲线!$A$2:$A$286,0)),""))</f>
        <v>644822.593466224</v>
      </c>
      <c r="S26" s="24">
        <f>IF(OR($J26="",$F26="不适用"),"",IFERROR(INDEX(_怪物模型!$D$2:$D$4501,(INT($J26)-1)*ROWS(_怪物类型!$A$2:$A$10)+MATCH($F26,_怪物类型!$A$2:$A$10,0))*IF($K26="",1,$K26),""))</f>
        <v>9284807.7190672</v>
      </c>
      <c r="T26" s="24">
        <f>IF(OR($J26="",$F26="不适用"),"",IFERROR(INDEX(_怪物模型!$E$2:$E$4501,(INT($J26)-1)*ROWS(_怪物类型!$A$2:$A$10)+MATCH($F26,_怪物类型!$A$2:$A$10,0))*IF($L26="",1,$L26),""))</f>
        <v>12187.1995193169</v>
      </c>
      <c r="U26" s="24">
        <f>IF(OR($J26="",$F26="不适用"),"",IFERROR(INDEX(_怪物模型!$F$2:$F$4501,(INT($J26)-1)*ROWS(_怪物类型!$A$2:$A$10)+MATCH($F26,_怪物类型!$A$2:$A$10,0))*IF($M26="",1,$M26),""))</f>
        <v>13740</v>
      </c>
      <c r="V26" s="6">
        <f t="shared" si="1"/>
        <v>0.364069952305246</v>
      </c>
      <c r="W26" s="24">
        <f t="shared" si="2"/>
        <v>14600360.1382332</v>
      </c>
      <c r="X26" s="18">
        <f t="shared" si="3"/>
        <v>44.7012882520539</v>
      </c>
      <c r="Y26" s="18">
        <f t="shared" si="4"/>
        <v>52.9098249720267</v>
      </c>
      <c r="Z26" s="18">
        <f t="shared" si="5"/>
        <v>1</v>
      </c>
      <c r="AA26" t="str">
        <f t="shared" si="6"/>
        <v>适中</v>
      </c>
      <c r="AB26" t="str">
        <f t="shared" si="7"/>
        <v>有效</v>
      </c>
      <c r="AC26" t="str">
        <f t="shared" si="8"/>
        <v>不降</v>
      </c>
      <c r="AD26" t="s">
        <v>5606</v>
      </c>
      <c r="AE26" s="4">
        <v>180000</v>
      </c>
      <c r="AF26" s="4">
        <f>INDEX(_统一战力!$B$2:$B$501,J26)</f>
        <v>403000</v>
      </c>
      <c r="AG26">
        <v>2001</v>
      </c>
      <c r="AH26">
        <v>22</v>
      </c>
      <c r="AI26">
        <v>1</v>
      </c>
    </row>
    <row r="27" spans="1:35">
      <c r="A27" t="s">
        <v>5548</v>
      </c>
      <c r="B27" t="s">
        <v>5561</v>
      </c>
      <c r="C27" t="s">
        <v>573</v>
      </c>
      <c r="D27" t="s">
        <v>5607</v>
      </c>
      <c r="E27" t="s">
        <v>5563</v>
      </c>
      <c r="F27" t="s">
        <v>164</v>
      </c>
      <c r="G27">
        <v>94</v>
      </c>
      <c r="I27">
        <f t="shared" si="0"/>
        <v>94</v>
      </c>
      <c r="J27">
        <v>156</v>
      </c>
      <c r="K27" s="23">
        <v>1.25285607195503</v>
      </c>
      <c r="L27" s="23">
        <v>0.875232907557164</v>
      </c>
      <c r="M27" s="23">
        <v>1</v>
      </c>
      <c r="N27">
        <v>1</v>
      </c>
      <c r="O27">
        <v>1</v>
      </c>
      <c r="P27" s="18">
        <v>44.7052091074597</v>
      </c>
      <c r="Q27" s="24">
        <f>IF($I27="","",IFERROR(INDEX(_玩家曲线!$H$2:$H$286,MATCH($I27,_玩家曲线!$A$2:$A$286,0)),""))</f>
        <v>357088.545345091</v>
      </c>
      <c r="R27" s="24">
        <f>IF($I27="","",IFERROR(INDEX(_玩家曲线!$I$2:$I$286,MATCH($I27,_玩家曲线!$A$2:$A$286,0)),""))</f>
        <v>696968.146649284</v>
      </c>
      <c r="S27" s="24">
        <f>IF(OR($J27="",$F27="不适用"),"",IFERROR(INDEX(_怪物模型!$D$2:$D$4501,(INT($J27)-1)*ROWS(_怪物类型!$A$2:$A$10)+MATCH($F27,_怪物类型!$A$2:$A$10,0))*IF($K27="",1,$K27),""))</f>
        <v>10007554.9615699</v>
      </c>
      <c r="T27" s="24">
        <f>IF(OR($J27="",$F27="不适用"),"",IFERROR(INDEX(_怪物模型!$E$2:$E$4501,(INT($J27)-1)*ROWS(_怪物类型!$A$2:$A$10)+MATCH($F27,_怪物类型!$A$2:$A$10,0))*IF($L27="",1,$L27),""))</f>
        <v>12900.9330573926</v>
      </c>
      <c r="U27" s="24">
        <f>IF(OR($J27="",$F27="不适用"),"",IFERROR(INDEX(_怪物模型!$F$2:$F$4501,(INT($J27)-1)*ROWS(_怪物类型!$A$2:$A$10)+MATCH($F27,_怪物类型!$A$2:$A$10,0))*IF($M27="",1,$M27),""))</f>
        <v>14284</v>
      </c>
      <c r="V27" s="6">
        <f t="shared" si="1"/>
        <v>0.373106258489186</v>
      </c>
      <c r="W27" s="24">
        <f t="shared" si="2"/>
        <v>15963718.0895309</v>
      </c>
      <c r="X27" s="18">
        <f t="shared" si="3"/>
        <v>44.7052091074597</v>
      </c>
      <c r="Y27" s="18">
        <f t="shared" si="4"/>
        <v>54.0246308967476</v>
      </c>
      <c r="Z27" s="18">
        <f t="shared" si="5"/>
        <v>1</v>
      </c>
      <c r="AA27" t="str">
        <f t="shared" si="6"/>
        <v>适中</v>
      </c>
      <c r="AB27" t="str">
        <f t="shared" si="7"/>
        <v>有效</v>
      </c>
      <c r="AC27" t="str">
        <f t="shared" si="8"/>
        <v>不降</v>
      </c>
      <c r="AD27" t="s">
        <v>5608</v>
      </c>
      <c r="AE27" s="4">
        <v>197000</v>
      </c>
      <c r="AF27" s="4">
        <f>INDEX(_统一战力!$B$2:$B$501,J27)</f>
        <v>409000</v>
      </c>
      <c r="AG27">
        <v>2001</v>
      </c>
      <c r="AH27">
        <v>23</v>
      </c>
      <c r="AI27">
        <v>1</v>
      </c>
    </row>
    <row r="28" spans="1:35">
      <c r="A28" t="s">
        <v>5548</v>
      </c>
      <c r="B28" t="s">
        <v>5561</v>
      </c>
      <c r="C28" t="s">
        <v>573</v>
      </c>
      <c r="D28" t="s">
        <v>5609</v>
      </c>
      <c r="E28" t="s">
        <v>5563</v>
      </c>
      <c r="F28" t="s">
        <v>164</v>
      </c>
      <c r="G28">
        <v>99</v>
      </c>
      <c r="I28">
        <f t="shared" si="0"/>
        <v>99</v>
      </c>
      <c r="J28">
        <v>161</v>
      </c>
      <c r="K28" s="23">
        <v>1.25909902523087</v>
      </c>
      <c r="L28" s="23">
        <v>0.887869756265927</v>
      </c>
      <c r="M28" s="23">
        <v>1</v>
      </c>
      <c r="N28">
        <v>1</v>
      </c>
      <c r="O28">
        <v>1</v>
      </c>
      <c r="P28" s="18">
        <v>45.1278291426989</v>
      </c>
      <c r="Q28" s="24">
        <f>IF($I28="","",IFERROR(INDEX(_玩家曲线!$H$2:$H$286,MATCH($I28,_玩家曲线!$A$2:$A$286,0)),""))</f>
        <v>389541.730298325</v>
      </c>
      <c r="R28" s="24">
        <f>IF($I28="","",IFERROR(INDEX(_玩家曲线!$I$2:$I$286,MATCH($I28,_玩家曲线!$A$2:$A$286,0)),""))</f>
        <v>751589.12299661</v>
      </c>
      <c r="S28" s="24">
        <f>IF(OR($J28="",$F28="不适用"),"",IFERROR(INDEX(_怪物模型!$D$2:$D$4501,(INT($J28)-1)*ROWS(_怪物类型!$A$2:$A$10)+MATCH($F28,_怪物类型!$A$2:$A$10,0))*IF($K28="",1,$K28),""))</f>
        <v>10864474.6368423</v>
      </c>
      <c r="T28" s="24">
        <f>IF(OR($J28="",$F28="不适用"),"",IFERROR(INDEX(_怪物模型!$E$2:$E$4501,(INT($J28)-1)*ROWS(_怪物类型!$A$2:$A$10)+MATCH($F28,_怪物类型!$A$2:$A$10,0))*IF($L28="",1,$L28),""))</f>
        <v>13741.5602177278</v>
      </c>
      <c r="U28" s="24">
        <f>IF(OR($J28="",$F28="不适用"),"",IFERROR(INDEX(_怪物模型!$F$2:$F$4501,(INT($J28)-1)*ROWS(_怪物类型!$A$2:$A$10)+MATCH($F28,_怪物类型!$A$2:$A$10,0))*IF($M28="",1,$M28),""))</f>
        <v>14833</v>
      </c>
      <c r="V28" s="6">
        <f t="shared" si="1"/>
        <v>0.381968943939433</v>
      </c>
      <c r="W28" s="24">
        <f t="shared" si="2"/>
        <v>17579172.6488541</v>
      </c>
      <c r="X28" s="18">
        <f t="shared" si="3"/>
        <v>45.1278291426989</v>
      </c>
      <c r="Y28" s="18">
        <f t="shared" si="4"/>
        <v>54.6945988001419</v>
      </c>
      <c r="Z28" s="18">
        <f t="shared" si="5"/>
        <v>1</v>
      </c>
      <c r="AA28" t="str">
        <f t="shared" si="6"/>
        <v>适中</v>
      </c>
      <c r="AB28" t="str">
        <f t="shared" si="7"/>
        <v>有效</v>
      </c>
      <c r="AC28" t="str">
        <f t="shared" si="8"/>
        <v>不降</v>
      </c>
      <c r="AD28" t="s">
        <v>5610</v>
      </c>
      <c r="AE28" s="4">
        <v>211000</v>
      </c>
      <c r="AF28" s="4">
        <f>INDEX(_统一战力!$B$2:$B$501,J28)</f>
        <v>409000</v>
      </c>
      <c r="AG28">
        <v>2001</v>
      </c>
      <c r="AH28">
        <v>24</v>
      </c>
      <c r="AI28">
        <v>1</v>
      </c>
    </row>
    <row r="29" spans="1:35">
      <c r="A29" t="s">
        <v>5548</v>
      </c>
      <c r="B29" t="s">
        <v>5561</v>
      </c>
      <c r="C29" t="s">
        <v>573</v>
      </c>
      <c r="D29" t="s">
        <v>5611</v>
      </c>
      <c r="E29" t="s">
        <v>5563</v>
      </c>
      <c r="F29" t="s">
        <v>164</v>
      </c>
      <c r="G29">
        <v>103</v>
      </c>
      <c r="I29">
        <f t="shared" si="0"/>
        <v>103</v>
      </c>
      <c r="J29">
        <v>166</v>
      </c>
      <c r="K29" s="23">
        <v>1.25763740939061</v>
      </c>
      <c r="L29" s="23">
        <v>0.897400494740218</v>
      </c>
      <c r="M29" s="23">
        <v>1</v>
      </c>
      <c r="N29">
        <v>1</v>
      </c>
      <c r="O29">
        <v>1</v>
      </c>
      <c r="P29" s="18">
        <v>44.962730345138</v>
      </c>
      <c r="Q29" s="24">
        <f>IF($I29="","",IFERROR(INDEX(_玩家曲线!$H$2:$H$286,MATCH($I29,_玩家曲线!$A$2:$A$286,0)),""))</f>
        <v>427171.772189702</v>
      </c>
      <c r="R29" s="24">
        <f>IF($I29="","",IFERROR(INDEX(_玩家曲线!$I$2:$I$286,MATCH($I29,_玩家曲线!$A$2:$A$286,0)),""))</f>
        <v>808123.253655679</v>
      </c>
      <c r="S29" s="24">
        <f>IF(OR($J29="",$F29="不适用"),"",IFERROR(INDEX(_怪物模型!$D$2:$D$4501,(INT($J29)-1)*ROWS(_怪物类型!$A$2:$A$10)+MATCH($F29,_怪物类型!$A$2:$A$10,0))*IF($K29="",1,$K29),""))</f>
        <v>11703143.619795</v>
      </c>
      <c r="T29" s="24">
        <f>IF(OR($J29="",$F29="不适用"),"",IFERROR(INDEX(_怪物模型!$E$2:$E$4501,(INT($J29)-1)*ROWS(_怪物类型!$A$2:$A$10)+MATCH($F29,_怪物类型!$A$2:$A$10,0))*IF($L29="",1,$L29),""))</f>
        <v>14569.2970321074</v>
      </c>
      <c r="U29" s="24">
        <f>IF(OR($J29="",$F29="不适用"),"",IFERROR(INDEX(_怪物模型!$F$2:$F$4501,(INT($J29)-1)*ROWS(_怪物类型!$A$2:$A$10)+MATCH($F29,_怪物类型!$A$2:$A$10,0))*IF($M29="",1,$M29),""))</f>
        <v>15388</v>
      </c>
      <c r="V29" s="6">
        <f t="shared" si="1"/>
        <v>0.39067736366406</v>
      </c>
      <c r="W29" s="24">
        <f t="shared" si="2"/>
        <v>19206809.2040202</v>
      </c>
      <c r="X29" s="18">
        <f t="shared" si="3"/>
        <v>44.9627303451379</v>
      </c>
      <c r="Y29" s="18">
        <f t="shared" si="4"/>
        <v>55.4675528870582</v>
      </c>
      <c r="Z29" s="18">
        <f t="shared" si="5"/>
        <v>0.999999999999997</v>
      </c>
      <c r="AA29" t="str">
        <f t="shared" si="6"/>
        <v>适中</v>
      </c>
      <c r="AB29" t="str">
        <f t="shared" si="7"/>
        <v>有效</v>
      </c>
      <c r="AC29" t="str">
        <f t="shared" si="8"/>
        <v>不降</v>
      </c>
      <c r="AD29" t="s">
        <v>5612</v>
      </c>
      <c r="AE29" s="4">
        <v>225000</v>
      </c>
      <c r="AF29" s="4">
        <f>INDEX(_统一战力!$B$2:$B$501,J29)</f>
        <v>417000</v>
      </c>
      <c r="AG29">
        <v>2001</v>
      </c>
      <c r="AH29">
        <v>25</v>
      </c>
      <c r="AI29">
        <v>1</v>
      </c>
    </row>
    <row r="30" spans="1:35">
      <c r="A30" t="s">
        <v>5548</v>
      </c>
      <c r="B30" t="s">
        <v>5561</v>
      </c>
      <c r="C30" t="s">
        <v>573</v>
      </c>
      <c r="D30" t="s">
        <v>5613</v>
      </c>
      <c r="E30" t="s">
        <v>5563</v>
      </c>
      <c r="F30" t="s">
        <v>164</v>
      </c>
      <c r="G30">
        <v>106</v>
      </c>
      <c r="I30">
        <f t="shared" si="0"/>
        <v>106</v>
      </c>
      <c r="J30">
        <v>172</v>
      </c>
      <c r="K30" s="23">
        <v>1.24201047838249</v>
      </c>
      <c r="L30" s="23">
        <v>0.902282805829334</v>
      </c>
      <c r="M30" s="23">
        <v>1</v>
      </c>
      <c r="N30">
        <v>1</v>
      </c>
      <c r="O30">
        <v>1</v>
      </c>
      <c r="P30" s="18">
        <v>45.7373338228556</v>
      </c>
      <c r="Q30" s="24">
        <f>IF($I30="","",IFERROR(INDEX(_玩家曲线!$H$2:$H$286,MATCH($I30,_玩家曲线!$A$2:$A$286,0)),""))</f>
        <v>460869.647293257</v>
      </c>
      <c r="R30" s="24">
        <f>IF($I30="","",IFERROR(INDEX(_玩家曲线!$I$2:$I$286,MATCH($I30,_玩家曲线!$A$2:$A$286,0)),""))</f>
        <v>856634.661818488</v>
      </c>
      <c r="S30" s="24">
        <f>IF(OR($J30="",$F30="不适用"),"",IFERROR(INDEX(_怪物模型!$D$2:$D$4501,(INT($J30)-1)*ROWS(_怪物类型!$A$2:$A$10)+MATCH($F30,_怪物类型!$A$2:$A$10,0))*IF($K30="",1,$K30),""))</f>
        <v>12627796.260041</v>
      </c>
      <c r="T30" s="24">
        <f>IF(OR($J30="",$F30="不适用"),"",IFERROR(INDEX(_怪物模型!$E$2:$E$4501,(INT($J30)-1)*ROWS(_怪物类型!$A$2:$A$10)+MATCH($F30,_怪物类型!$A$2:$A$10,0))*IF($L30="",1,$L30),""))</f>
        <v>15494.9026245072</v>
      </c>
      <c r="U30" s="24">
        <f>IF(OR($J30="",$F30="不适用"),"",IFERROR(INDEX(_怪物模型!$F$2:$F$4501,(INT($J30)-1)*ROWS(_怪物类型!$A$2:$A$10)+MATCH($F30,_怪物类型!$A$2:$A$10,0))*IF($M30="",1,$M30),""))</f>
        <v>16062</v>
      </c>
      <c r="V30" s="6">
        <f t="shared" si="1"/>
        <v>0.400928560730867</v>
      </c>
      <c r="W30" s="24">
        <f t="shared" si="2"/>
        <v>21078948.9070734</v>
      </c>
      <c r="X30" s="18">
        <f t="shared" si="3"/>
        <v>45.7373338228556</v>
      </c>
      <c r="Y30" s="18">
        <f t="shared" si="4"/>
        <v>55.2849335408931</v>
      </c>
      <c r="Z30" s="18">
        <f t="shared" si="5"/>
        <v>0.999999999999999</v>
      </c>
      <c r="AA30" t="str">
        <f t="shared" si="6"/>
        <v>适中</v>
      </c>
      <c r="AB30" t="str">
        <f t="shared" si="7"/>
        <v>有效</v>
      </c>
      <c r="AC30" t="str">
        <f t="shared" si="8"/>
        <v>不降</v>
      </c>
      <c r="AD30" t="s">
        <v>5614</v>
      </c>
      <c r="AE30" s="4">
        <v>237000</v>
      </c>
      <c r="AF30" s="4">
        <f>INDEX(_统一战力!$B$2:$B$501,J30)</f>
        <v>454000</v>
      </c>
      <c r="AG30">
        <v>2001</v>
      </c>
      <c r="AH30">
        <v>26</v>
      </c>
      <c r="AI30">
        <v>1</v>
      </c>
    </row>
    <row r="31" spans="1:35">
      <c r="A31" t="s">
        <v>5548</v>
      </c>
      <c r="B31" t="s">
        <v>5561</v>
      </c>
      <c r="C31" t="s">
        <v>573</v>
      </c>
      <c r="D31" t="s">
        <v>5615</v>
      </c>
      <c r="E31" t="s">
        <v>5563</v>
      </c>
      <c r="F31" t="s">
        <v>164</v>
      </c>
      <c r="G31">
        <v>109</v>
      </c>
      <c r="I31">
        <f t="shared" si="0"/>
        <v>109</v>
      </c>
      <c r="J31">
        <v>177</v>
      </c>
      <c r="K31" s="23">
        <v>1.23482033553715</v>
      </c>
      <c r="L31" s="23">
        <v>0.909414919855651</v>
      </c>
      <c r="M31" s="23">
        <v>1</v>
      </c>
      <c r="N31">
        <v>1</v>
      </c>
      <c r="O31">
        <v>1</v>
      </c>
      <c r="P31" s="18">
        <v>46.0081789476578</v>
      </c>
      <c r="Q31" s="24">
        <f>IF($I31="","",IFERROR(INDEX(_玩家曲线!$H$2:$H$286,MATCH($I31,_玩家曲线!$A$2:$A$286,0)),""))</f>
        <v>496512.167466769</v>
      </c>
      <c r="R31" s="24">
        <f>IF($I31="","",IFERROR(INDEX(_玩家曲线!$I$2:$I$286,MATCH($I31,_玩家曲线!$A$2:$A$286,0)),""))</f>
        <v>906819.150288173</v>
      </c>
      <c r="S31" s="24">
        <f>IF(OR($J31="",$F31="不适用"),"",IFERROR(INDEX(_怪物模型!$D$2:$D$4501,(INT($J31)-1)*ROWS(_怪物类型!$A$2:$A$10)+MATCH($F31,_怪物类型!$A$2:$A$10,0))*IF($K31="",1,$K31),""))</f>
        <v>13493979.5616927</v>
      </c>
      <c r="T31" s="24">
        <f>IF(OR($J31="",$F31="不适用"),"",IFERROR(INDEX(_怪物模型!$E$2:$E$4501,(INT($J31)-1)*ROWS(_怪物类型!$A$2:$A$10)+MATCH($F31,_怪物类型!$A$2:$A$10,0))*IF($L31="",1,$L31),""))</f>
        <v>16351.2802590046</v>
      </c>
      <c r="U31" s="24">
        <f>IF(OR($J31="",$F31="不适用"),"",IFERROR(INDEX(_怪物模型!$F$2:$F$4501,(INT($J31)-1)*ROWS(_怪物类型!$A$2:$A$10)+MATCH($F31,_怪物类型!$A$2:$A$10,0))*IF($M31="",1,$M31),""))</f>
        <v>16629</v>
      </c>
      <c r="V31" s="6">
        <f t="shared" si="1"/>
        <v>0.409288931551355</v>
      </c>
      <c r="W31" s="24">
        <f t="shared" si="2"/>
        <v>22843620.6505006</v>
      </c>
      <c r="X31" s="18">
        <f t="shared" si="3"/>
        <v>46.0081789476579</v>
      </c>
      <c r="Y31" s="18">
        <f t="shared" si="4"/>
        <v>55.4586023800057</v>
      </c>
      <c r="Z31" s="18">
        <f t="shared" si="5"/>
        <v>1</v>
      </c>
      <c r="AA31" t="str">
        <f t="shared" si="6"/>
        <v>适中</v>
      </c>
      <c r="AB31" t="str">
        <f t="shared" si="7"/>
        <v>有效</v>
      </c>
      <c r="AC31" t="str">
        <f t="shared" si="8"/>
        <v>不降</v>
      </c>
      <c r="AD31" t="s">
        <v>5616</v>
      </c>
      <c r="AE31" s="4">
        <v>255000</v>
      </c>
      <c r="AF31" s="4">
        <f>INDEX(_统一战力!$B$2:$B$501,J31)</f>
        <v>482000</v>
      </c>
      <c r="AG31">
        <v>2001</v>
      </c>
      <c r="AH31">
        <v>27</v>
      </c>
      <c r="AI31">
        <v>1</v>
      </c>
    </row>
    <row r="32" spans="1:35">
      <c r="A32" t="s">
        <v>5548</v>
      </c>
      <c r="B32" t="s">
        <v>5561</v>
      </c>
      <c r="C32" t="s">
        <v>573</v>
      </c>
      <c r="D32" t="s">
        <v>5617</v>
      </c>
      <c r="E32" t="s">
        <v>5563</v>
      </c>
      <c r="F32" t="s">
        <v>164</v>
      </c>
      <c r="G32">
        <v>113</v>
      </c>
      <c r="I32">
        <f t="shared" si="0"/>
        <v>113</v>
      </c>
      <c r="J32">
        <v>183</v>
      </c>
      <c r="K32" s="23">
        <v>1.2345730308718</v>
      </c>
      <c r="L32" s="23">
        <v>0.922470042255667</v>
      </c>
      <c r="M32" s="23">
        <v>1</v>
      </c>
      <c r="N32">
        <v>1</v>
      </c>
      <c r="O32">
        <v>1</v>
      </c>
      <c r="P32" s="18">
        <v>46.1974290985025</v>
      </c>
      <c r="Q32" s="24">
        <f>IF($I32="","",IFERROR(INDEX(_玩家曲线!$H$2:$H$286,MATCH($I32,_玩家曲线!$A$2:$A$286,0)),""))</f>
        <v>547217.712982964</v>
      </c>
      <c r="R32" s="24">
        <f>IF($I32="","",IFERROR(INDEX(_玩家曲线!$I$2:$I$286,MATCH($I32,_玩家曲线!$A$2:$A$286,0)),""))</f>
        <v>976389.561366485</v>
      </c>
      <c r="S32" s="24">
        <f>IF(OR($J32="",$F32="不适用"),"",IFERROR(INDEX(_怪物模型!$D$2:$D$4501,(INT($J32)-1)*ROWS(_怪物类型!$A$2:$A$10)+MATCH($F32,_怪物类型!$A$2:$A$10,0))*IF($K32="",1,$K32),""))</f>
        <v>14684186.9385596</v>
      </c>
      <c r="T32" s="24">
        <f>IF(OR($J32="",$F32="不适用"),"",IFERROR(INDEX(_怪物模型!$E$2:$E$4501,(INT($J32)-1)*ROWS(_怪物类型!$A$2:$A$10)+MATCH($F32,_怪物类型!$A$2:$A$10,0))*IF($L32="",1,$L32),""))</f>
        <v>17506.636461928</v>
      </c>
      <c r="U32" s="24">
        <f>IF(OR($J32="",$F32="不适用"),"",IFERROR(INDEX(_怪物模型!$F$2:$F$4501,(INT($J32)-1)*ROWS(_怪物类型!$A$2:$A$10)+MATCH($F32,_怪物类型!$A$2:$A$10,0))*IF($M32="",1,$M32),""))</f>
        <v>17318</v>
      </c>
      <c r="V32" s="6">
        <f t="shared" si="1"/>
        <v>0.419139358148991</v>
      </c>
      <c r="W32" s="24">
        <f t="shared" si="2"/>
        <v>25280051.4969752</v>
      </c>
      <c r="X32" s="18">
        <f t="shared" si="3"/>
        <v>46.1974290985025</v>
      </c>
      <c r="Y32" s="18">
        <f t="shared" si="4"/>
        <v>55.7725388020625</v>
      </c>
      <c r="Z32" s="18">
        <f t="shared" si="5"/>
        <v>1</v>
      </c>
      <c r="AA32" t="str">
        <f t="shared" si="6"/>
        <v>适中</v>
      </c>
      <c r="AB32" t="str">
        <f t="shared" si="7"/>
        <v>有效</v>
      </c>
      <c r="AC32" t="str">
        <f t="shared" si="8"/>
        <v>不降</v>
      </c>
      <c r="AD32" t="s">
        <v>5618</v>
      </c>
      <c r="AE32" s="4">
        <v>274000</v>
      </c>
      <c r="AF32" s="4">
        <f>INDEX(_统一战力!$B$2:$B$501,J32)</f>
        <v>522000</v>
      </c>
      <c r="AG32">
        <v>2001</v>
      </c>
      <c r="AH32">
        <v>28</v>
      </c>
      <c r="AI32">
        <v>1</v>
      </c>
    </row>
    <row r="33" spans="1:35">
      <c r="A33" t="s">
        <v>5548</v>
      </c>
      <c r="B33" t="s">
        <v>5561</v>
      </c>
      <c r="C33" t="s">
        <v>573</v>
      </c>
      <c r="D33" t="s">
        <v>5619</v>
      </c>
      <c r="E33" t="s">
        <v>5563</v>
      </c>
      <c r="F33" t="s">
        <v>164</v>
      </c>
      <c r="G33">
        <v>118</v>
      </c>
      <c r="I33">
        <f t="shared" si="0"/>
        <v>118</v>
      </c>
      <c r="J33">
        <v>189</v>
      </c>
      <c r="K33" s="23">
        <v>1.22958097069844</v>
      </c>
      <c r="L33" s="23">
        <v>0.932885469976352</v>
      </c>
      <c r="M33" s="23">
        <v>1</v>
      </c>
      <c r="N33">
        <v>1</v>
      </c>
      <c r="O33">
        <v>1</v>
      </c>
      <c r="P33" s="18">
        <v>45.838294511273</v>
      </c>
      <c r="Q33" s="24">
        <f>IF($I33="","",IFERROR(INDEX(_玩家曲线!$H$2:$H$286,MATCH($I33,_玩家曲线!$A$2:$A$286,0)),""))</f>
        <v>606764.251379888</v>
      </c>
      <c r="R33" s="24">
        <f>IF($I33="","",IFERROR(INDEX(_玩家曲线!$I$2:$I$286,MATCH($I33,_玩家曲线!$A$2:$A$286,0)),""))</f>
        <v>1055791.28503891</v>
      </c>
      <c r="S33" s="24">
        <f>IF(OR($J33="",$F33="不适用"),"",IFERROR(INDEX(_怪物模型!$D$2:$D$4501,(INT($J33)-1)*ROWS(_怪物类型!$A$2:$A$10)+MATCH($F33,_怪物类型!$A$2:$A$10,0))*IF($K33="",1,$K33),""))</f>
        <v>15887490.7268338</v>
      </c>
      <c r="T33" s="24">
        <f>IF(OR($J33="",$F33="不适用"),"",IFERROR(INDEX(_怪物模型!$E$2:$E$4501,(INT($J33)-1)*ROWS(_怪物类型!$A$2:$A$10)+MATCH($F33,_怪物类型!$A$2:$A$10,0))*IF($L33="",1,$L33),""))</f>
        <v>18667.9711396968</v>
      </c>
      <c r="U33" s="24">
        <f>IF(OR($J33="",$F33="不适用"),"",IFERROR(INDEX(_怪物模型!$F$2:$F$4501,(INT($J33)-1)*ROWS(_怪物类型!$A$2:$A$10)+MATCH($F33,_怪物类型!$A$2:$A$10,0))*IF($M33="",1,$M33),""))</f>
        <v>18015</v>
      </c>
      <c r="V33" s="6">
        <f t="shared" si="1"/>
        <v>0.428775437343806</v>
      </c>
      <c r="W33" s="24">
        <f t="shared" si="2"/>
        <v>27813038.4536633</v>
      </c>
      <c r="X33" s="18">
        <f t="shared" si="3"/>
        <v>45.8382945112729</v>
      </c>
      <c r="Y33" s="18">
        <f t="shared" si="4"/>
        <v>56.5562951184238</v>
      </c>
      <c r="Z33" s="18">
        <f t="shared" si="5"/>
        <v>0.999999999999998</v>
      </c>
      <c r="AA33" t="str">
        <f t="shared" si="6"/>
        <v>适中</v>
      </c>
      <c r="AB33" t="str">
        <f t="shared" si="7"/>
        <v>有效</v>
      </c>
      <c r="AC33" t="str">
        <f t="shared" si="8"/>
        <v>不降</v>
      </c>
      <c r="AD33" t="s">
        <v>5620</v>
      </c>
      <c r="AE33" s="4">
        <v>293000</v>
      </c>
      <c r="AF33" s="4">
        <f>INDEX(_统一战力!$B$2:$B$501,J33)</f>
        <v>569000</v>
      </c>
      <c r="AG33">
        <v>2001</v>
      </c>
      <c r="AH33">
        <v>29</v>
      </c>
      <c r="AI33">
        <v>1</v>
      </c>
    </row>
    <row r="34" spans="1:35">
      <c r="A34" t="s">
        <v>5548</v>
      </c>
      <c r="B34" t="s">
        <v>5561</v>
      </c>
      <c r="C34" t="s">
        <v>573</v>
      </c>
      <c r="D34" t="s">
        <v>5621</v>
      </c>
      <c r="E34" t="s">
        <v>5563</v>
      </c>
      <c r="F34" t="s">
        <v>164</v>
      </c>
      <c r="G34">
        <v>122</v>
      </c>
      <c r="I34">
        <f t="shared" si="0"/>
        <v>122</v>
      </c>
      <c r="J34">
        <v>194</v>
      </c>
      <c r="K34" s="23">
        <v>1.2271388903289</v>
      </c>
      <c r="L34" s="23">
        <v>0.94201127391457</v>
      </c>
      <c r="M34" s="23">
        <v>1</v>
      </c>
      <c r="N34">
        <v>1</v>
      </c>
      <c r="O34">
        <v>1</v>
      </c>
      <c r="P34" s="18">
        <v>46.0002975546321</v>
      </c>
      <c r="Q34" s="24">
        <f>IF($I34="","",IFERROR(INDEX(_玩家曲线!$H$2:$H$286,MATCH($I34,_玩家曲线!$A$2:$A$286,0)),""))</f>
        <v>654667.477063403</v>
      </c>
      <c r="R34" s="24">
        <f>IF($I34="","",IFERROR(INDEX(_玩家曲线!$I$2:$I$286,MATCH($I34,_玩家曲线!$A$2:$A$286,0)),""))</f>
        <v>1117995.99828374</v>
      </c>
      <c r="S34" s="24">
        <f>IF(OR($J34="",$F34="不适用"),"",IFERROR(INDEX(_怪物模型!$D$2:$D$4501,(INT($J34)-1)*ROWS(_怪物类型!$A$2:$A$10)+MATCH($F34,_怪物类型!$A$2:$A$10,0))*IF($K34="",1,$K34),""))</f>
        <v>16965343.6426028</v>
      </c>
      <c r="T34" s="24">
        <f>IF(OR($J34="",$F34="不适用"),"",IFERROR(INDEX(_怪物模型!$E$2:$E$4501,(INT($J34)-1)*ROWS(_怪物类型!$A$2:$A$10)+MATCH($F34,_怪物类型!$A$2:$A$10,0))*IF($L34="",1,$L34),""))</f>
        <v>19686.1516022667</v>
      </c>
      <c r="U34" s="24">
        <f>IF(OR($J34="",$F34="不适用"),"",IFERROR(INDEX(_怪物模型!$F$2:$F$4501,(INT($J34)-1)*ROWS(_怪物类型!$A$2:$A$10)+MATCH($F34,_怪物类型!$A$2:$A$10,0))*IF($M34="",1,$M34),""))</f>
        <v>18602</v>
      </c>
      <c r="V34" s="6">
        <f t="shared" si="1"/>
        <v>0.436646166846627</v>
      </c>
      <c r="W34" s="24">
        <f t="shared" si="2"/>
        <v>30114898.7442568</v>
      </c>
      <c r="X34" s="18">
        <f t="shared" si="3"/>
        <v>46.0002975546321</v>
      </c>
      <c r="Y34" s="18">
        <f t="shared" si="4"/>
        <v>56.7909879427634</v>
      </c>
      <c r="Z34" s="18">
        <f t="shared" si="5"/>
        <v>0.999999999999999</v>
      </c>
      <c r="AA34" t="str">
        <f t="shared" si="6"/>
        <v>适中</v>
      </c>
      <c r="AB34" t="str">
        <f t="shared" si="7"/>
        <v>有效</v>
      </c>
      <c r="AC34" t="str">
        <f t="shared" si="8"/>
        <v>不降</v>
      </c>
      <c r="AD34" t="s">
        <v>5622</v>
      </c>
      <c r="AE34" s="4">
        <v>314000</v>
      </c>
      <c r="AF34" s="4">
        <f>INDEX(_统一战力!$B$2:$B$501,J34)</f>
        <v>604000</v>
      </c>
      <c r="AG34">
        <v>2001</v>
      </c>
      <c r="AH34">
        <v>30</v>
      </c>
      <c r="AI34">
        <v>1</v>
      </c>
    </row>
    <row r="35" spans="1:35">
      <c r="A35" t="s">
        <v>5548</v>
      </c>
      <c r="B35" t="s">
        <v>5561</v>
      </c>
      <c r="C35" t="s">
        <v>576</v>
      </c>
      <c r="D35" t="s">
        <v>5623</v>
      </c>
      <c r="E35" t="s">
        <v>5563</v>
      </c>
      <c r="F35" t="s">
        <v>164</v>
      </c>
      <c r="G35">
        <v>127</v>
      </c>
      <c r="I35">
        <f t="shared" si="0"/>
        <v>127</v>
      </c>
      <c r="J35">
        <v>201</v>
      </c>
      <c r="K35" s="23">
        <v>1.21411805403748</v>
      </c>
      <c r="L35" s="23">
        <v>0.949847504969272</v>
      </c>
      <c r="M35" s="23">
        <v>1</v>
      </c>
      <c r="N35">
        <v>1</v>
      </c>
      <c r="O35">
        <v>1</v>
      </c>
      <c r="P35" s="18">
        <v>46.3764539902756</v>
      </c>
      <c r="Q35" s="24">
        <f>IF($I35="","",IFERROR(INDEX(_玩家曲线!$H$2:$H$286,MATCH($I35,_玩家曲线!$A$2:$A$286,0)),""))</f>
        <v>718612.39067118</v>
      </c>
      <c r="R35" s="24">
        <f>IF($I35="","",IFERROR(INDEX(_玩家曲线!$I$2:$I$286,MATCH($I35,_玩家曲线!$A$2:$A$286,0)),""))</f>
        <v>1198860.00494108</v>
      </c>
      <c r="S35" s="24">
        <f>IF(OR($J35="",$F35="不适用"),"",IFERROR(INDEX(_怪物模型!$D$2:$D$4501,(INT($J35)-1)*ROWS(_怪物类型!$A$2:$A$10)+MATCH($F35,_怪物类型!$A$2:$A$10,0))*IF($K35="",1,$K35),""))</f>
        <v>18415505.89062</v>
      </c>
      <c r="T35" s="24">
        <f>IF(OR($J35="",$F35="不适用"),"",IFERROR(INDEX(_怪物模型!$E$2:$E$4501,(INT($J35)-1)*ROWS(_怪物类型!$A$2:$A$10)+MATCH($F35,_怪物类型!$A$2:$A$10,0))*IF($L35="",1,$L35),""))</f>
        <v>21069.5173552284</v>
      </c>
      <c r="U35" s="24">
        <f>IF(OR($J35="",$F35="不适用"),"",IFERROR(INDEX(_怪物模型!$F$2:$F$4501,(INT($J35)-1)*ROWS(_怪物类型!$A$2:$A$10)+MATCH($F35,_怪物类型!$A$2:$A$10,0))*IF($M35="",1,$M35),""))</f>
        <v>19433</v>
      </c>
      <c r="V35" s="6">
        <f t="shared" si="1"/>
        <v>0.447424769184721</v>
      </c>
      <c r="W35" s="24">
        <f t="shared" si="2"/>
        <v>33326694.472804</v>
      </c>
      <c r="X35" s="18">
        <f t="shared" si="3"/>
        <v>46.3764539902757</v>
      </c>
      <c r="Y35" s="18">
        <f t="shared" si="4"/>
        <v>56.9002120327917</v>
      </c>
      <c r="Z35" s="18">
        <f t="shared" si="5"/>
        <v>1</v>
      </c>
      <c r="AA35" t="str">
        <f t="shared" si="6"/>
        <v>适中</v>
      </c>
      <c r="AB35" t="str">
        <f t="shared" si="7"/>
        <v>有效</v>
      </c>
      <c r="AC35" t="str">
        <f t="shared" si="8"/>
        <v>新玩法组</v>
      </c>
      <c r="AD35" t="s">
        <v>5624</v>
      </c>
      <c r="AE35" s="4">
        <v>332000</v>
      </c>
      <c r="AF35" s="4">
        <f>INDEX(_统一战力!$B$2:$B$501,J35)</f>
        <v>649000</v>
      </c>
      <c r="AG35">
        <v>2001</v>
      </c>
      <c r="AH35">
        <v>101</v>
      </c>
      <c r="AI35">
        <v>2</v>
      </c>
    </row>
    <row r="36" spans="1:35">
      <c r="A36" t="s">
        <v>5548</v>
      </c>
      <c r="B36" t="s">
        <v>5561</v>
      </c>
      <c r="C36" t="s">
        <v>576</v>
      </c>
      <c r="D36" t="s">
        <v>5625</v>
      </c>
      <c r="E36" t="s">
        <v>5563</v>
      </c>
      <c r="F36" t="s">
        <v>164</v>
      </c>
      <c r="G36">
        <v>132</v>
      </c>
      <c r="I36">
        <f t="shared" si="0"/>
        <v>132</v>
      </c>
      <c r="J36">
        <v>206</v>
      </c>
      <c r="K36" s="23">
        <v>1.22155297342148</v>
      </c>
      <c r="L36" s="23">
        <v>0.964212757521158</v>
      </c>
      <c r="M36" s="23">
        <v>1</v>
      </c>
      <c r="N36">
        <v>1</v>
      </c>
      <c r="O36">
        <v>1</v>
      </c>
      <c r="P36" s="18">
        <v>46.4331692198807</v>
      </c>
      <c r="Q36" s="24">
        <f>IF($I36="","",IFERROR(INDEX(_玩家曲线!$H$2:$H$286,MATCH($I36,_玩家曲线!$A$2:$A$286,0)),""))</f>
        <v>781156.424338479</v>
      </c>
      <c r="R36" s="24">
        <f>IF($I36="","",IFERROR(INDEX(_玩家曲线!$I$2:$I$286,MATCH($I36,_玩家曲线!$A$2:$A$286,0)),""))</f>
        <v>1275891.98519872</v>
      </c>
      <c r="S36" s="24">
        <f>IF(OR($J36="",$F36="不适用"),"",IFERROR(INDEX(_怪物模型!$D$2:$D$4501,(INT($J36)-1)*ROWS(_怪物类型!$A$2:$A$10)+MATCH($F36,_怪物类型!$A$2:$A$10,0))*IF($K36="",1,$K36),""))</f>
        <v>19769664.6270781</v>
      </c>
      <c r="T36" s="24">
        <f>IF(OR($J36="",$F36="不适用"),"",IFERROR(INDEX(_怪物模型!$E$2:$E$4501,(INT($J36)-1)*ROWS(_怪物类型!$A$2:$A$10)+MATCH($F36,_怪物类型!$A$2:$A$10,0))*IF($L36="",1,$L36),""))</f>
        <v>22302.2410814644</v>
      </c>
      <c r="U36" s="24">
        <f>IF(OR($J36="",$F36="不适用"),"",IFERROR(INDEX(_怪物模型!$F$2:$F$4501,(INT($J36)-1)*ROWS(_怪物类型!$A$2:$A$10)+MATCH($F36,_怪物类型!$A$2:$A$10,0))*IF($M36="",1,$M36),""))</f>
        <v>20033</v>
      </c>
      <c r="V36" s="6">
        <f t="shared" si="1"/>
        <v>0.454954238866305</v>
      </c>
      <c r="W36" s="24">
        <f t="shared" si="2"/>
        <v>36271568.4385054</v>
      </c>
      <c r="X36" s="18">
        <f t="shared" si="3"/>
        <v>46.4331692198806</v>
      </c>
      <c r="Y36" s="18">
        <f t="shared" si="4"/>
        <v>57.2091378861081</v>
      </c>
      <c r="Z36" s="18">
        <f t="shared" si="5"/>
        <v>0.999999999999998</v>
      </c>
      <c r="AA36" t="str">
        <f t="shared" si="6"/>
        <v>适中</v>
      </c>
      <c r="AB36" t="str">
        <f t="shared" si="7"/>
        <v>有效</v>
      </c>
      <c r="AC36" t="str">
        <f t="shared" si="8"/>
        <v>不降</v>
      </c>
      <c r="AD36" t="s">
        <v>5626</v>
      </c>
      <c r="AE36" s="4">
        <v>353000</v>
      </c>
      <c r="AF36" s="4">
        <f>INDEX(_统一战力!$B$2:$B$501,J36)</f>
        <v>694000</v>
      </c>
      <c r="AG36">
        <v>2001</v>
      </c>
      <c r="AH36">
        <v>102</v>
      </c>
      <c r="AI36">
        <v>2</v>
      </c>
    </row>
    <row r="37" spans="1:35">
      <c r="A37" t="s">
        <v>5548</v>
      </c>
      <c r="B37" t="s">
        <v>5561</v>
      </c>
      <c r="C37" t="s">
        <v>576</v>
      </c>
      <c r="D37" t="s">
        <v>5627</v>
      </c>
      <c r="E37" t="s">
        <v>5563</v>
      </c>
      <c r="F37" t="s">
        <v>164</v>
      </c>
      <c r="G37">
        <v>138</v>
      </c>
      <c r="I37">
        <f t="shared" si="0"/>
        <v>138</v>
      </c>
      <c r="J37">
        <v>213</v>
      </c>
      <c r="K37" s="23">
        <v>1.21083870687515</v>
      </c>
      <c r="L37" s="23">
        <v>0.972502979545353</v>
      </c>
      <c r="M37" s="23">
        <v>1</v>
      </c>
      <c r="N37">
        <v>1</v>
      </c>
      <c r="O37">
        <v>1</v>
      </c>
      <c r="P37" s="18">
        <v>46.9031617464853</v>
      </c>
      <c r="Q37" s="24">
        <f>IF($I37="","",IFERROR(INDEX(_玩家曲线!$H$2:$H$286,MATCH($I37,_玩家曲线!$A$2:$A$286,0)),""))</f>
        <v>854095.555061231</v>
      </c>
      <c r="R37" s="24">
        <f>IF($I37="","",IFERROR(INDEX(_玩家曲线!$I$2:$I$286,MATCH($I37,_玩家曲线!$A$2:$A$286,0)),""))</f>
        <v>1363438.7856067</v>
      </c>
      <c r="S37" s="24">
        <f>IF(OR($J37="",$F37="不适用"),"",IFERROR(INDEX(_怪物模型!$D$2:$D$4501,(INT($J37)-1)*ROWS(_怪物类型!$A$2:$A$10)+MATCH($F37,_怪物类型!$A$2:$A$10,0))*IF($K37="",1,$K37),""))</f>
        <v>21420434.1677166</v>
      </c>
      <c r="T37" s="24">
        <f>IF(OR($J37="",$F37="不适用"),"",IFERROR(INDEX(_怪物模型!$E$2:$E$4501,(INT($J37)-1)*ROWS(_怪物类型!$A$2:$A$10)+MATCH($F37,_怪物类型!$A$2:$A$10,0))*IF($L37="",1,$L37),""))</f>
        <v>23828.2680048202</v>
      </c>
      <c r="U37" s="24">
        <f>IF(OR($J37="",$F37="不适用"),"",IFERROR(INDEX(_怪物模型!$F$2:$F$4501,(INT($J37)-1)*ROWS(_怪物类型!$A$2:$A$10)+MATCH($F37,_怪物类型!$A$2:$A$10,0))*IF($M37="",1,$M37),""))</f>
        <v>20884</v>
      </c>
      <c r="V37" s="6">
        <f t="shared" si="1"/>
        <v>0.465288298725604</v>
      </c>
      <c r="W37" s="24">
        <f t="shared" si="2"/>
        <v>40059781.9659913</v>
      </c>
      <c r="X37" s="18">
        <f t="shared" si="3"/>
        <v>46.9031617464855</v>
      </c>
      <c r="Y37" s="18">
        <f t="shared" si="4"/>
        <v>57.219382681565</v>
      </c>
      <c r="Z37" s="18">
        <f t="shared" si="5"/>
        <v>1</v>
      </c>
      <c r="AA37" t="str">
        <f t="shared" si="6"/>
        <v>适中</v>
      </c>
      <c r="AB37" t="str">
        <f t="shared" si="7"/>
        <v>有效</v>
      </c>
      <c r="AC37" t="str">
        <f t="shared" si="8"/>
        <v>不降</v>
      </c>
      <c r="AD37" t="s">
        <v>5628</v>
      </c>
      <c r="AE37" s="4">
        <v>375000</v>
      </c>
      <c r="AF37" s="4">
        <f>INDEX(_统一战力!$B$2:$B$501,J37)</f>
        <v>743000</v>
      </c>
      <c r="AG37">
        <v>2001</v>
      </c>
      <c r="AH37">
        <v>103</v>
      </c>
      <c r="AI37">
        <v>2</v>
      </c>
    </row>
    <row r="38" spans="1:35">
      <c r="A38" t="s">
        <v>5548</v>
      </c>
      <c r="B38" t="s">
        <v>5561</v>
      </c>
      <c r="C38" t="s">
        <v>576</v>
      </c>
      <c r="D38" t="s">
        <v>5629</v>
      </c>
      <c r="E38" t="s">
        <v>5563</v>
      </c>
      <c r="F38" t="s">
        <v>164</v>
      </c>
      <c r="G38">
        <v>143</v>
      </c>
      <c r="I38">
        <f t="shared" si="0"/>
        <v>143</v>
      </c>
      <c r="J38">
        <v>219</v>
      </c>
      <c r="K38" s="23">
        <v>1.20685951757156</v>
      </c>
      <c r="L38" s="23">
        <v>0.9822378190764</v>
      </c>
      <c r="M38" s="23">
        <v>1</v>
      </c>
      <c r="N38">
        <v>1</v>
      </c>
      <c r="O38">
        <v>1</v>
      </c>
      <c r="P38" s="18">
        <v>47.5912124240242</v>
      </c>
      <c r="Q38" s="24">
        <f>IF($I38="","",IFERROR(INDEX(_玩家曲线!$H$2:$H$286,MATCH($I38,_玩家曲线!$A$2:$A$286,0)),""))</f>
        <v>918910.439902437</v>
      </c>
      <c r="R38" s="24">
        <f>IF($I38="","",IFERROR(INDEX(_玩家曲线!$I$2:$I$286,MATCH($I38,_玩家曲线!$A$2:$A$286,0)),""))</f>
        <v>1439235.67570825</v>
      </c>
      <c r="S38" s="24">
        <f>IF(OR($J38="",$F38="不适用"),"",IFERROR(INDEX(_怪物模型!$D$2:$D$4501,(INT($J38)-1)*ROWS(_怪物类型!$A$2:$A$10)+MATCH($F38,_怪物类型!$A$2:$A$10,0))*IF($K38="",1,$K38),""))</f>
        <v>23006279.7101599</v>
      </c>
      <c r="T38" s="24">
        <f>IF(OR($J38="",$F38="不适用"),"",IFERROR(INDEX(_怪物模型!$E$2:$E$4501,(INT($J38)-1)*ROWS(_怪物类型!$A$2:$A$10)+MATCH($F38,_怪物类型!$A$2:$A$10,0))*IF($L38="",1,$L38),""))</f>
        <v>25263.156706645</v>
      </c>
      <c r="U38" s="24">
        <f>IF(OR($J38="",$F38="不适用"),"",IFERROR(INDEX(_怪物模型!$F$2:$F$4501,(INT($J38)-1)*ROWS(_怪物类型!$A$2:$A$10)+MATCH($F38,_怪物类型!$A$2:$A$10,0))*IF($M38="",1,$M38),""))</f>
        <v>21621</v>
      </c>
      <c r="V38" s="6">
        <f t="shared" si="1"/>
        <v>0.473926481225751</v>
      </c>
      <c r="W38" s="24">
        <f t="shared" si="2"/>
        <v>43732061.9440503</v>
      </c>
      <c r="X38" s="18">
        <f t="shared" si="3"/>
        <v>47.5912124240241</v>
      </c>
      <c r="Y38" s="18">
        <f t="shared" si="4"/>
        <v>56.9697481759944</v>
      </c>
      <c r="Z38" s="18">
        <f t="shared" si="5"/>
        <v>0.999999999999997</v>
      </c>
      <c r="AA38" t="str">
        <f t="shared" si="6"/>
        <v>适中</v>
      </c>
      <c r="AB38" t="str">
        <f t="shared" si="7"/>
        <v>有效</v>
      </c>
      <c r="AC38" t="str">
        <f t="shared" si="8"/>
        <v>不降</v>
      </c>
      <c r="AD38" t="s">
        <v>5630</v>
      </c>
      <c r="AE38" s="4">
        <v>403000</v>
      </c>
      <c r="AF38" s="4">
        <f>INDEX(_统一战力!$B$2:$B$501,J38)</f>
        <v>794000</v>
      </c>
      <c r="AG38">
        <v>2001</v>
      </c>
      <c r="AH38">
        <v>104</v>
      </c>
      <c r="AI38">
        <v>2</v>
      </c>
    </row>
    <row r="39" spans="1:35">
      <c r="A39" t="s">
        <v>5548</v>
      </c>
      <c r="B39" t="s">
        <v>5561</v>
      </c>
      <c r="C39" t="s">
        <v>576</v>
      </c>
      <c r="D39" t="s">
        <v>5631</v>
      </c>
      <c r="E39" t="s">
        <v>5563</v>
      </c>
      <c r="F39" t="s">
        <v>164</v>
      </c>
      <c r="G39">
        <v>150</v>
      </c>
      <c r="I39">
        <f t="shared" si="0"/>
        <v>150</v>
      </c>
      <c r="J39">
        <v>225</v>
      </c>
      <c r="K39" s="23">
        <v>1.20670199193958</v>
      </c>
      <c r="L39" s="23">
        <v>0.994298263344287</v>
      </c>
      <c r="M39" s="23">
        <v>1</v>
      </c>
      <c r="N39">
        <v>1</v>
      </c>
      <c r="O39">
        <v>1</v>
      </c>
      <c r="P39" s="18">
        <v>47.6517799013849</v>
      </c>
      <c r="Q39" s="24">
        <f>IF($I39="","",IFERROR(INDEX(_玩家曲线!$H$2:$H$286,MATCH($I39,_玩家曲线!$A$2:$A$286,0)),""))</f>
        <v>1003594.36051948</v>
      </c>
      <c r="R39" s="24">
        <f>IF($I39="","",IFERROR(INDEX(_玩家曲线!$I$2:$I$286,MATCH($I39,_玩家曲线!$A$2:$A$286,0)),""))</f>
        <v>1535950.83460991</v>
      </c>
      <c r="S39" s="24">
        <f>IF(OR($J39="",$F39="不适用"),"",IFERROR(INDEX(_怪物模型!$D$2:$D$4501,(INT($J39)-1)*ROWS(_怪物类型!$A$2:$A$10)+MATCH($F39,_怪物类型!$A$2:$A$10,0))*IF($K39="",1,$K39),""))</f>
        <v>24753669.2446327</v>
      </c>
      <c r="T39" s="24">
        <f>IF(OR($J39="",$F39="不适用"),"",IFERROR(INDEX(_怪物模型!$E$2:$E$4501,(INT($J39)-1)*ROWS(_怪物类型!$A$2:$A$10)+MATCH($F39,_怪物类型!$A$2:$A$10,0))*IF($L39="",1,$L39),""))</f>
        <v>26826.1671450289</v>
      </c>
      <c r="U39" s="24">
        <f>IF(OR($J39="",$F39="不适用"),"",IFERROR(INDEX(_怪物模型!$F$2:$F$4501,(INT($J39)-1)*ROWS(_怪物类型!$A$2:$A$10)+MATCH($F39,_怪物类型!$A$2:$A$10,0))*IF($M39="",1,$M39),""))</f>
        <v>22367</v>
      </c>
      <c r="V39" s="6">
        <f t="shared" si="1"/>
        <v>0.482390493238726</v>
      </c>
      <c r="W39" s="24">
        <f t="shared" si="2"/>
        <v>47823057.5777451</v>
      </c>
      <c r="X39" s="18">
        <f t="shared" si="3"/>
        <v>47.6517799013846</v>
      </c>
      <c r="Y39" s="18">
        <f t="shared" si="4"/>
        <v>57.2556946471772</v>
      </c>
      <c r="Z39" s="18">
        <f t="shared" si="5"/>
        <v>0.999999999999994</v>
      </c>
      <c r="AA39" t="str">
        <f t="shared" si="6"/>
        <v>适中</v>
      </c>
      <c r="AB39" t="str">
        <f t="shared" si="7"/>
        <v>有效</v>
      </c>
      <c r="AC39" t="str">
        <f t="shared" si="8"/>
        <v>不降</v>
      </c>
      <c r="AD39" t="s">
        <v>5632</v>
      </c>
      <c r="AE39" s="4">
        <v>426000</v>
      </c>
      <c r="AF39" s="4">
        <f>INDEX(_统一战力!$B$2:$B$501,J39)</f>
        <v>840000</v>
      </c>
      <c r="AG39">
        <v>2001</v>
      </c>
      <c r="AH39">
        <v>105</v>
      </c>
      <c r="AI39">
        <v>2</v>
      </c>
    </row>
    <row r="40" spans="1:35">
      <c r="A40" t="s">
        <v>5548</v>
      </c>
      <c r="B40" t="s">
        <v>5561</v>
      </c>
      <c r="C40" t="s">
        <v>576</v>
      </c>
      <c r="D40" t="s">
        <v>5633</v>
      </c>
      <c r="E40" t="s">
        <v>5563</v>
      </c>
      <c r="F40" t="s">
        <v>164</v>
      </c>
      <c r="G40">
        <v>158</v>
      </c>
      <c r="I40">
        <f t="shared" si="0"/>
        <v>158</v>
      </c>
      <c r="J40">
        <v>233</v>
      </c>
      <c r="K40" s="23">
        <v>1.19917057353098</v>
      </c>
      <c r="L40" s="23">
        <v>1.00576900972421</v>
      </c>
      <c r="M40" s="23">
        <v>1</v>
      </c>
      <c r="N40">
        <v>1</v>
      </c>
      <c r="O40">
        <v>1</v>
      </c>
      <c r="P40" s="18">
        <v>48.408309212921</v>
      </c>
      <c r="Q40" s="24">
        <f>IF($I40="","",IFERROR(INDEX(_玩家曲线!$H$2:$H$286,MATCH($I40,_玩家曲线!$A$2:$A$286,0)),""))</f>
        <v>1103860.56001256</v>
      </c>
      <c r="R40" s="24">
        <f>IF($I40="","",IFERROR(INDEX(_玩家曲线!$I$2:$I$286,MATCH($I40,_玩家曲线!$A$2:$A$286,0)),""))</f>
        <v>1647181.96630916</v>
      </c>
      <c r="S40" s="24">
        <f>IF(OR($J40="",$F40="不适用"),"",IFERROR(INDEX(_怪物模型!$D$2:$D$4501,(INT($J40)-1)*ROWS(_怪物类型!$A$2:$A$10)+MATCH($F40,_怪物类型!$A$2:$A$10,0))*IF($K40="",1,$K40),""))</f>
        <v>27071063.4442704</v>
      </c>
      <c r="T40" s="24">
        <f>IF(OR($J40="",$F40="不适用"),"",IFERROR(INDEX(_怪物模型!$E$2:$E$4501,(INT($J40)-1)*ROWS(_怪物类型!$A$2:$A$10)+MATCH($F40,_怪物类型!$A$2:$A$10,0))*IF($L40="",1,$L40),""))</f>
        <v>28889.7090353182</v>
      </c>
      <c r="U40" s="24">
        <f>IF(OR($J40="",$F40="不适用"),"",IFERROR(INDEX(_怪物模型!$F$2:$F$4501,(INT($J40)-1)*ROWS(_怪物类型!$A$2:$A$10)+MATCH($F40,_怪物类型!$A$2:$A$10,0))*IF($M40="",1,$M40),""))</f>
        <v>23374</v>
      </c>
      <c r="V40" s="6">
        <f t="shared" si="1"/>
        <v>0.493393000379955</v>
      </c>
      <c r="W40" s="24">
        <f t="shared" si="2"/>
        <v>53436023.317036</v>
      </c>
      <c r="X40" s="18">
        <f t="shared" si="3"/>
        <v>48.4083092129209</v>
      </c>
      <c r="Y40" s="18">
        <f t="shared" si="4"/>
        <v>57.0162186228823</v>
      </c>
      <c r="Z40" s="18">
        <f t="shared" si="5"/>
        <v>0.999999999999997</v>
      </c>
      <c r="AA40" t="str">
        <f t="shared" si="6"/>
        <v>适中</v>
      </c>
      <c r="AB40" t="str">
        <f t="shared" si="7"/>
        <v>有效</v>
      </c>
      <c r="AC40" t="str">
        <f t="shared" si="8"/>
        <v>不降</v>
      </c>
      <c r="AD40" t="s">
        <v>5634</v>
      </c>
      <c r="AE40" s="4">
        <v>463000</v>
      </c>
      <c r="AF40" s="4">
        <f>INDEX(_统一战力!$B$2:$B$501,J40)</f>
        <v>909000</v>
      </c>
      <c r="AG40">
        <v>2001</v>
      </c>
      <c r="AH40">
        <v>106</v>
      </c>
      <c r="AI40">
        <v>2</v>
      </c>
    </row>
    <row r="41" spans="1:35">
      <c r="A41" t="s">
        <v>5548</v>
      </c>
      <c r="B41" t="s">
        <v>5561</v>
      </c>
      <c r="C41" t="s">
        <v>576</v>
      </c>
      <c r="D41" t="s">
        <v>5635</v>
      </c>
      <c r="E41" t="s">
        <v>5563</v>
      </c>
      <c r="F41" t="s">
        <v>164</v>
      </c>
      <c r="G41">
        <v>166</v>
      </c>
      <c r="I41">
        <f t="shared" si="0"/>
        <v>166</v>
      </c>
      <c r="J41">
        <v>240</v>
      </c>
      <c r="K41" s="23">
        <v>1.19152070582702</v>
      </c>
      <c r="L41" s="23">
        <v>1.01500814653303</v>
      </c>
      <c r="M41" s="23">
        <v>1</v>
      </c>
      <c r="N41">
        <v>1</v>
      </c>
      <c r="O41">
        <v>1</v>
      </c>
      <c r="P41" s="18">
        <v>48.974829408284</v>
      </c>
      <c r="Q41" s="24">
        <f>IF($I41="","",IFERROR(INDEX(_玩家曲线!$H$2:$H$286,MATCH($I41,_玩家曲线!$A$2:$A$286,0)),""))</f>
        <v>1198967.1717247</v>
      </c>
      <c r="R41" s="24">
        <f>IF($I41="","",IFERROR(INDEX(_玩家曲线!$I$2:$I$286,MATCH($I41,_玩家曲线!$A$2:$A$286,0)),""))</f>
        <v>1749925.3246125</v>
      </c>
      <c r="S41" s="24">
        <f>IF(OR($J41="",$F41="不适用"),"",IFERROR(INDEX(_怪物模型!$D$2:$D$4501,(INT($J41)-1)*ROWS(_怪物类型!$A$2:$A$10)+MATCH($F41,_怪物类型!$A$2:$A$10,0))*IF($K41="",1,$K41),""))</f>
        <v>29196592.0450898</v>
      </c>
      <c r="T41" s="24">
        <f>IF(OR($J41="",$F41="不适用"),"",IFERROR(INDEX(_怪物模型!$E$2:$E$4501,(INT($J41)-1)*ROWS(_怪物类型!$A$2:$A$10)+MATCH($F41,_怪物类型!$A$2:$A$10,0))*IF($L41="",1,$L41),""))</f>
        <v>30767.9419458557</v>
      </c>
      <c r="U41" s="24">
        <f>IF(OR($J41="",$F41="不适用"),"",IFERROR(INDEX(_怪物模型!$F$2:$F$4501,(INT($J41)-1)*ROWS(_怪物类型!$A$2:$A$10)+MATCH($F41,_怪物类型!$A$2:$A$10,0))*IF($M41="",1,$M41),""))</f>
        <v>24268</v>
      </c>
      <c r="V41" s="6">
        <f t="shared" si="1"/>
        <v>0.502776166404243</v>
      </c>
      <c r="W41" s="24">
        <f t="shared" si="2"/>
        <v>58719212.7013497</v>
      </c>
      <c r="X41" s="18">
        <f t="shared" si="3"/>
        <v>48.9748294082838</v>
      </c>
      <c r="Y41" s="18">
        <f t="shared" si="4"/>
        <v>56.8749553574936</v>
      </c>
      <c r="Z41" s="18">
        <f t="shared" si="5"/>
        <v>0.999999999999997</v>
      </c>
      <c r="AA41" t="str">
        <f t="shared" si="6"/>
        <v>适中</v>
      </c>
      <c r="AB41" t="str">
        <f t="shared" si="7"/>
        <v>有效</v>
      </c>
      <c r="AC41" t="str">
        <f t="shared" si="8"/>
        <v>不降</v>
      </c>
      <c r="AD41" t="s">
        <v>5636</v>
      </c>
      <c r="AE41" s="4">
        <v>492000</v>
      </c>
      <c r="AF41" s="4">
        <f>INDEX(_统一战力!$B$2:$B$501,J41)</f>
        <v>972000</v>
      </c>
      <c r="AG41">
        <v>2001</v>
      </c>
      <c r="AH41">
        <v>107</v>
      </c>
      <c r="AI41">
        <v>2</v>
      </c>
    </row>
    <row r="42" spans="1:35">
      <c r="A42" t="s">
        <v>5548</v>
      </c>
      <c r="B42" t="s">
        <v>5561</v>
      </c>
      <c r="C42" t="s">
        <v>576</v>
      </c>
      <c r="D42" t="s">
        <v>5637</v>
      </c>
      <c r="E42" t="s">
        <v>5563</v>
      </c>
      <c r="F42" t="s">
        <v>164</v>
      </c>
      <c r="G42">
        <v>174</v>
      </c>
      <c r="I42">
        <f t="shared" si="0"/>
        <v>174</v>
      </c>
      <c r="J42">
        <v>247</v>
      </c>
      <c r="K42" s="23">
        <v>1.19087453444371</v>
      </c>
      <c r="L42" s="23">
        <v>1.02786946843273</v>
      </c>
      <c r="M42" s="23">
        <v>1</v>
      </c>
      <c r="N42">
        <v>1</v>
      </c>
      <c r="O42">
        <v>1</v>
      </c>
      <c r="P42" s="18">
        <v>49.9350960730773</v>
      </c>
      <c r="Q42" s="24">
        <f>IF($I42="","",IFERROR(INDEX(_玩家曲线!$H$2:$H$286,MATCH($I42,_玩家曲线!$A$2:$A$286,0)),""))</f>
        <v>1297520.36844906</v>
      </c>
      <c r="R42" s="24">
        <f>IF($I42="","",IFERROR(INDEX(_玩家曲线!$I$2:$I$286,MATCH($I42,_玩家曲线!$A$2:$A$286,0)),""))</f>
        <v>1853676.50289907</v>
      </c>
      <c r="S42" s="24">
        <f>IF(OR($J42="",$F42="不适用"),"",IFERROR(INDEX(_怪物模型!$D$2:$D$4501,(INT($J42)-1)*ROWS(_怪物类型!$A$2:$A$10)+MATCH($F42,_怪物类型!$A$2:$A$10,0))*IF($K42="",1,$K42),""))</f>
        <v>31623755.4324956</v>
      </c>
      <c r="T42" s="24">
        <f>IF(OR($J42="",$F42="不适用"),"",IFERROR(INDEX(_怪物模型!$E$2:$E$4501,(INT($J42)-1)*ROWS(_怪物类型!$A$2:$A$10)+MATCH($F42,_怪物类型!$A$2:$A$10,0))*IF($L42="",1,$L42),""))</f>
        <v>32853.7918195154</v>
      </c>
      <c r="U42" s="24">
        <f>IF(OR($J42="",$F42="不适用"),"",IFERROR(INDEX(_怪物模型!$F$2:$F$4501,(INT($J42)-1)*ROWS(_怪物类型!$A$2:$A$10)+MATCH($F42,_怪物类型!$A$2:$A$10,0))*IF($M42="",1,$M42),""))</f>
        <v>25172</v>
      </c>
      <c r="V42" s="6">
        <f t="shared" si="1"/>
        <v>0.51191735133816</v>
      </c>
      <c r="W42" s="24">
        <f t="shared" si="2"/>
        <v>64791804.2552781</v>
      </c>
      <c r="X42" s="18">
        <f t="shared" si="3"/>
        <v>49.935096073077</v>
      </c>
      <c r="Y42" s="18">
        <f t="shared" si="4"/>
        <v>56.4219957648229</v>
      </c>
      <c r="Z42" s="18">
        <f t="shared" si="5"/>
        <v>0.999999999999994</v>
      </c>
      <c r="AA42" t="str">
        <f t="shared" si="6"/>
        <v>适中</v>
      </c>
      <c r="AB42" t="str">
        <f t="shared" si="7"/>
        <v>有效</v>
      </c>
      <c r="AC42" t="str">
        <f t="shared" si="8"/>
        <v>不降</v>
      </c>
      <c r="AD42" t="s">
        <v>5638</v>
      </c>
      <c r="AE42" s="4">
        <v>522000</v>
      </c>
      <c r="AF42" s="4">
        <f>INDEX(_统一战力!$B$2:$B$501,J42)</f>
        <v>1030000</v>
      </c>
      <c r="AG42">
        <v>2001</v>
      </c>
      <c r="AH42">
        <v>108</v>
      </c>
      <c r="AI42">
        <v>2</v>
      </c>
    </row>
    <row r="43" spans="1:35">
      <c r="A43" t="s">
        <v>5548</v>
      </c>
      <c r="B43" t="s">
        <v>5561</v>
      </c>
      <c r="C43" t="s">
        <v>576</v>
      </c>
      <c r="D43" t="s">
        <v>5639</v>
      </c>
      <c r="E43" t="s">
        <v>5563</v>
      </c>
      <c r="F43" t="s">
        <v>164</v>
      </c>
      <c r="G43">
        <v>184</v>
      </c>
      <c r="I43">
        <f t="shared" si="0"/>
        <v>184</v>
      </c>
      <c r="J43">
        <v>255</v>
      </c>
      <c r="K43" s="23">
        <v>1.18052772041216</v>
      </c>
      <c r="L43" s="23">
        <v>1.03694679307601</v>
      </c>
      <c r="M43" s="23">
        <v>1</v>
      </c>
      <c r="N43">
        <v>1</v>
      </c>
      <c r="O43">
        <v>1</v>
      </c>
      <c r="P43" s="18">
        <v>50.7898114075097</v>
      </c>
      <c r="Q43" s="24">
        <f>IF($I43="","",IFERROR(INDEX(_玩家曲线!$H$2:$H$286,MATCH($I43,_玩家曲线!$A$2:$A$286,0)),""))</f>
        <v>1413223.5244238</v>
      </c>
      <c r="R43" s="24">
        <f>IF($I43="","",IFERROR(INDEX(_玩家曲线!$I$2:$I$286,MATCH($I43,_玩家曲线!$A$2:$A$286,0)),""))</f>
        <v>1972553.08707659</v>
      </c>
      <c r="S43" s="24">
        <f>IF(OR($J43="",$F43="不适用"),"",IFERROR(INDEX(_怪物模型!$D$2:$D$4501,(INT($J43)-1)*ROWS(_怪物类型!$A$2:$A$10)+MATCH($F43,_怪物类型!$A$2:$A$10,0))*IF($K43="",1,$K43),""))</f>
        <v>34302884.3818354</v>
      </c>
      <c r="T43" s="24">
        <f>IF(OR($J43="",$F43="不适用"),"",IFERROR(INDEX(_怪物模型!$E$2:$E$4501,(INT($J43)-1)*ROWS(_怪物类型!$A$2:$A$10)+MATCH($F43,_怪物类型!$A$2:$A$10,0))*IF($L43="",1,$L43),""))</f>
        <v>35180.4938486898</v>
      </c>
      <c r="U43" s="24">
        <f>IF(OR($J43="",$F43="不适用"),"",IFERROR(INDEX(_怪物模型!$F$2:$F$4501,(INT($J43)-1)*ROWS(_怪物类型!$A$2:$A$10)+MATCH($F43,_怪物类型!$A$2:$A$10,0))*IF($M43="",1,$M43),""))</f>
        <v>26219</v>
      </c>
      <c r="V43" s="6">
        <f t="shared" si="1"/>
        <v>0.522093231645393</v>
      </c>
      <c r="W43" s="24">
        <f t="shared" si="2"/>
        <v>71777356.2821413</v>
      </c>
      <c r="X43" s="18">
        <f t="shared" si="3"/>
        <v>50.7898114075099</v>
      </c>
      <c r="Y43" s="18">
        <f t="shared" si="4"/>
        <v>56.0695110068801</v>
      </c>
      <c r="Z43" s="18">
        <f t="shared" si="5"/>
        <v>1</v>
      </c>
      <c r="AA43" t="str">
        <f t="shared" si="6"/>
        <v>适中</v>
      </c>
      <c r="AB43" t="str">
        <f t="shared" si="7"/>
        <v>有效</v>
      </c>
      <c r="AC43" t="str">
        <f t="shared" si="8"/>
        <v>不降</v>
      </c>
      <c r="AD43" t="s">
        <v>5640</v>
      </c>
      <c r="AE43" s="4">
        <v>552000</v>
      </c>
      <c r="AF43" s="4">
        <f>INDEX(_统一战力!$B$2:$B$501,J43)</f>
        <v>1100000</v>
      </c>
      <c r="AG43">
        <v>2001</v>
      </c>
      <c r="AH43">
        <v>109</v>
      </c>
      <c r="AI43">
        <v>2</v>
      </c>
    </row>
    <row r="44" spans="1:35">
      <c r="A44" t="s">
        <v>5548</v>
      </c>
      <c r="B44" t="s">
        <v>5561</v>
      </c>
      <c r="C44" t="s">
        <v>576</v>
      </c>
      <c r="D44" t="s">
        <v>5641</v>
      </c>
      <c r="E44" t="s">
        <v>5563</v>
      </c>
      <c r="F44" t="s">
        <v>164</v>
      </c>
      <c r="G44">
        <v>195</v>
      </c>
      <c r="I44">
        <f t="shared" si="0"/>
        <v>195</v>
      </c>
      <c r="J44">
        <v>263</v>
      </c>
      <c r="K44" s="23">
        <v>1.17977947077243</v>
      </c>
      <c r="L44" s="23">
        <v>1.05141327672049</v>
      </c>
      <c r="M44" s="23">
        <v>1</v>
      </c>
      <c r="N44">
        <v>1</v>
      </c>
      <c r="O44">
        <v>1</v>
      </c>
      <c r="P44" s="18">
        <v>51.9069697669197</v>
      </c>
      <c r="Q44" s="24">
        <f>IF($I44="","",IFERROR(INDEX(_玩家曲线!$H$2:$H$286,MATCH($I44,_玩家曲线!$A$2:$A$286,0)),""))</f>
        <v>1541262.7954477</v>
      </c>
      <c r="R44" s="24">
        <f>IF($I44="","",IFERROR(INDEX(_玩家曲线!$I$2:$I$286,MATCH($I44,_玩家曲线!$A$2:$A$286,0)),""))</f>
        <v>2100599.36629256</v>
      </c>
      <c r="S44" s="24">
        <f>IF(OR($J44="",$F44="不适用"),"",IFERROR(INDEX(_怪物模型!$D$2:$D$4501,(INT($J44)-1)*ROWS(_怪物类型!$A$2:$A$10)+MATCH($F44,_怪物类型!$A$2:$A$10,0))*IF($K44="",1,$K44),""))</f>
        <v>37441835.2182751</v>
      </c>
      <c r="T44" s="24">
        <f>IF(OR($J44="",$F44="不适用"),"",IFERROR(INDEX(_怪物模型!$E$2:$E$4501,(INT($J44)-1)*ROWS(_怪物类型!$A$2:$A$10)+MATCH($F44,_怪物类型!$A$2:$A$10,0))*IF($L44="",1,$L44),""))</f>
        <v>37826.6954565731</v>
      </c>
      <c r="U44" s="24">
        <f>IF(OR($J44="",$F44="不适用"),"",IFERROR(INDEX(_怪物模型!$F$2:$F$4501,(INT($J44)-1)*ROWS(_怪物类型!$A$2:$A$10)+MATCH($F44,_怪物类型!$A$2:$A$10,0))*IF($M44="",1,$M44),""))</f>
        <v>27281</v>
      </c>
      <c r="V44" s="6">
        <f t="shared" si="1"/>
        <v>0.531990405803319</v>
      </c>
      <c r="W44" s="24">
        <f t="shared" si="2"/>
        <v>80002281.3261818</v>
      </c>
      <c r="X44" s="18">
        <f t="shared" si="3"/>
        <v>51.9069697669197</v>
      </c>
      <c r="Y44" s="18">
        <f t="shared" si="4"/>
        <v>55.5321933607484</v>
      </c>
      <c r="Z44" s="18">
        <f t="shared" si="5"/>
        <v>0.999999999999999</v>
      </c>
      <c r="AA44" t="str">
        <f t="shared" si="6"/>
        <v>适中</v>
      </c>
      <c r="AB44" t="str">
        <f t="shared" si="7"/>
        <v>有效</v>
      </c>
      <c r="AC44" t="str">
        <f t="shared" si="8"/>
        <v>不降</v>
      </c>
      <c r="AD44" t="s">
        <v>5642</v>
      </c>
      <c r="AE44" s="4">
        <v>595000</v>
      </c>
      <c r="AF44" s="4">
        <f>INDEX(_统一战力!$B$2:$B$501,J44)</f>
        <v>1170000</v>
      </c>
      <c r="AG44">
        <v>2001</v>
      </c>
      <c r="AH44">
        <v>110</v>
      </c>
      <c r="AI44">
        <v>2</v>
      </c>
    </row>
    <row r="45" spans="1:35">
      <c r="A45" t="s">
        <v>5548</v>
      </c>
      <c r="B45" t="s">
        <v>5561</v>
      </c>
      <c r="C45" t="s">
        <v>576</v>
      </c>
      <c r="D45" t="s">
        <v>5643</v>
      </c>
      <c r="E45" t="s">
        <v>5563</v>
      </c>
      <c r="F45" t="s">
        <v>164</v>
      </c>
      <c r="G45">
        <v>207</v>
      </c>
      <c r="I45">
        <f t="shared" si="0"/>
        <v>207</v>
      </c>
      <c r="J45">
        <v>272</v>
      </c>
      <c r="K45" s="23">
        <v>1.17087353158689</v>
      </c>
      <c r="L45" s="23">
        <v>1.06253618928863</v>
      </c>
      <c r="M45" s="23">
        <v>1</v>
      </c>
      <c r="N45">
        <v>1</v>
      </c>
      <c r="O45">
        <v>1</v>
      </c>
      <c r="P45" s="18">
        <v>53.3263976611952</v>
      </c>
      <c r="Q45" s="24">
        <f>IF($I45="","",IFERROR(INDEX(_玩家曲线!$H$2:$H$286,MATCH($I45,_玩家曲线!$A$2:$A$286,0)),""))</f>
        <v>1679565.81881905</v>
      </c>
      <c r="R45" s="24">
        <f>IF($I45="","",IFERROR(INDEX(_玩家曲线!$I$2:$I$286,MATCH($I45,_玩家曲线!$A$2:$A$286,0)),""))</f>
        <v>2235260.48838387</v>
      </c>
      <c r="S45" s="24">
        <f>IF(OR($J45="",$F45="不适用"),"",IFERROR(INDEX(_怪物模型!$D$2:$D$4501,(INT($J45)-1)*ROWS(_怪物类型!$A$2:$A$10)+MATCH($F45,_怪物类型!$A$2:$A$10,0))*IF($K45="",1,$K45),""))</f>
        <v>40949548.9695747</v>
      </c>
      <c r="T45" s="24">
        <f>IF(OR($J45="",$F45="不适用"),"",IFERROR(INDEX(_怪物模型!$E$2:$E$4501,(INT($J45)-1)*ROWS(_怪物类型!$A$2:$A$10)+MATCH($F45,_怪物类型!$A$2:$A$10,0))*IF($L45="",1,$L45),""))</f>
        <v>40789.7017706012</v>
      </c>
      <c r="U45" s="24">
        <f>IF(OR($J45="",$F45="不适用"),"",IFERROR(INDEX(_怪物模型!$F$2:$F$4501,(INT($J45)-1)*ROWS(_怪物类型!$A$2:$A$10)+MATCH($F45,_怪物类型!$A$2:$A$10,0))*IF($M45="",1,$M45),""))</f>
        <v>28493</v>
      </c>
      <c r="V45" s="6">
        <f t="shared" si="1"/>
        <v>0.542796182348123</v>
      </c>
      <c r="W45" s="24">
        <f t="shared" si="2"/>
        <v>89565194.7524952</v>
      </c>
      <c r="X45" s="18">
        <f t="shared" si="3"/>
        <v>53.326397661195</v>
      </c>
      <c r="Y45" s="18">
        <f t="shared" si="4"/>
        <v>54.7996281256195</v>
      </c>
      <c r="Z45" s="18">
        <f t="shared" si="5"/>
        <v>0.999999999999995</v>
      </c>
      <c r="AA45" t="str">
        <f t="shared" si="6"/>
        <v>适中</v>
      </c>
      <c r="AB45" t="str">
        <f t="shared" si="7"/>
        <v>有效</v>
      </c>
      <c r="AC45" t="str">
        <f t="shared" si="8"/>
        <v>不降</v>
      </c>
      <c r="AD45" t="s">
        <v>5644</v>
      </c>
      <c r="AE45" s="4">
        <v>640000</v>
      </c>
      <c r="AF45" s="4">
        <f>INDEX(_统一战力!$B$2:$B$501,J45)</f>
        <v>1240000</v>
      </c>
      <c r="AG45">
        <v>2001</v>
      </c>
      <c r="AH45">
        <v>111</v>
      </c>
      <c r="AI45">
        <v>2</v>
      </c>
    </row>
    <row r="46" spans="1:35">
      <c r="A46" t="s">
        <v>5548</v>
      </c>
      <c r="B46" t="s">
        <v>5561</v>
      </c>
      <c r="C46" t="s">
        <v>576</v>
      </c>
      <c r="D46" t="s">
        <v>5645</v>
      </c>
      <c r="E46" t="s">
        <v>5563</v>
      </c>
      <c r="F46" t="s">
        <v>164</v>
      </c>
      <c r="G46">
        <v>217</v>
      </c>
      <c r="I46">
        <f t="shared" si="0"/>
        <v>217</v>
      </c>
      <c r="J46">
        <v>279</v>
      </c>
      <c r="K46" s="23">
        <v>1.16984801290734</v>
      </c>
      <c r="L46" s="23">
        <v>1.07434468612044</v>
      </c>
      <c r="M46" s="23">
        <v>1</v>
      </c>
      <c r="N46">
        <v>1</v>
      </c>
      <c r="O46">
        <v>1</v>
      </c>
      <c r="P46" s="18">
        <v>54.7331508398622</v>
      </c>
      <c r="Q46" s="24">
        <f>IF($I46="","",IFERROR(INDEX(_玩家曲线!$H$2:$H$286,MATCH($I46,_玩家曲线!$A$2:$A$286,0)),""))</f>
        <v>1792776.22553243</v>
      </c>
      <c r="R46" s="24">
        <f>IF($I46="","",IFERROR(INDEX(_玩家曲线!$I$2:$I$286,MATCH($I46,_玩家曲线!$A$2:$A$286,0)),""))</f>
        <v>2342960.19358197</v>
      </c>
      <c r="S46" s="24">
        <f>IF(OR($J46="",$F46="不适用"),"",IFERROR(INDEX(_怪物模型!$D$2:$D$4501,(INT($J46)-1)*ROWS(_怪物类型!$A$2:$A$10)+MATCH($F46,_怪物类型!$A$2:$A$10,0))*IF($K46="",1,$K46),""))</f>
        <v>44060375.2695174</v>
      </c>
      <c r="T46" s="24">
        <f>IF(OR($J46="",$F46="不适用"),"",IFERROR(INDEX(_怪物模型!$E$2:$E$4501,(INT($J46)-1)*ROWS(_怪物类型!$A$2:$A$10)+MATCH($F46,_怪物类型!$A$2:$A$10,0))*IF($L46="",1,$L46),""))</f>
        <v>43346.5850509014</v>
      </c>
      <c r="U46" s="24">
        <f>IF(OR($J46="",$F46="不适用"),"",IFERROR(INDEX(_怪物模型!$F$2:$F$4501,(INT($J46)-1)*ROWS(_怪物类型!$A$2:$A$10)+MATCH($F46,_怪物类型!$A$2:$A$10,0))*IF($M46="",1,$M46),""))</f>
        <v>29449</v>
      </c>
      <c r="V46" s="6">
        <f t="shared" si="1"/>
        <v>0.550973825515912</v>
      </c>
      <c r="W46" s="24">
        <f t="shared" si="2"/>
        <v>98124291.5741849</v>
      </c>
      <c r="X46" s="18">
        <f t="shared" si="3"/>
        <v>54.733150839862</v>
      </c>
      <c r="Y46" s="18">
        <f t="shared" si="4"/>
        <v>54.0517826451763</v>
      </c>
      <c r="Z46" s="18">
        <f t="shared" si="5"/>
        <v>0.999999999999996</v>
      </c>
      <c r="AA46" t="str">
        <f t="shared" si="6"/>
        <v>生存不成立</v>
      </c>
      <c r="AB46" t="str">
        <f t="shared" si="7"/>
        <v>有效</v>
      </c>
      <c r="AC46" t="str">
        <f t="shared" si="8"/>
        <v>不降</v>
      </c>
      <c r="AD46" t="s">
        <v>5646</v>
      </c>
      <c r="AE46" s="4">
        <v>677000</v>
      </c>
      <c r="AF46" s="4">
        <f>INDEX(_统一战力!$B$2:$B$501,J46)</f>
        <v>1300000</v>
      </c>
      <c r="AG46">
        <v>2001</v>
      </c>
      <c r="AH46">
        <v>112</v>
      </c>
      <c r="AI46">
        <v>2</v>
      </c>
    </row>
    <row r="47" spans="1:35">
      <c r="A47" t="s">
        <v>5548</v>
      </c>
      <c r="B47" t="s">
        <v>5561</v>
      </c>
      <c r="C47" t="s">
        <v>576</v>
      </c>
      <c r="D47" t="s">
        <v>5647</v>
      </c>
      <c r="E47" t="s">
        <v>5563</v>
      </c>
      <c r="F47" t="s">
        <v>164</v>
      </c>
      <c r="G47">
        <v>230</v>
      </c>
      <c r="I47">
        <f t="shared" si="0"/>
        <v>230</v>
      </c>
      <c r="J47">
        <v>288</v>
      </c>
      <c r="K47" s="23">
        <v>1.16879568682059</v>
      </c>
      <c r="L47" s="23">
        <v>1.08930850727018</v>
      </c>
      <c r="M47" s="23">
        <v>1</v>
      </c>
      <c r="N47">
        <v>1</v>
      </c>
      <c r="O47">
        <v>1</v>
      </c>
      <c r="P47" s="18">
        <v>56.8153661280439</v>
      </c>
      <c r="Q47" s="24">
        <f>IF($I47="","",IFERROR(INDEX(_玩家曲线!$H$2:$H$286,MATCH($I47,_玩家曲线!$A$2:$A$286,0)),""))</f>
        <v>1938743.40126813</v>
      </c>
      <c r="R47" s="24">
        <f>IF($I47="","",IFERROR(INDEX(_玩家曲线!$I$2:$I$286,MATCH($I47,_玩家曲线!$A$2:$A$286,0)),""))</f>
        <v>2478739.23130783</v>
      </c>
      <c r="S47" s="24">
        <f>IF(OR($J47="",$F47="不适用"),"",IFERROR(INDEX(_怪物模型!$D$2:$D$4501,(INT($J47)-1)*ROWS(_怪物类型!$A$2:$A$10)+MATCH($F47,_怪物类型!$A$2:$A$10,0))*IF($K47="",1,$K47),""))</f>
        <v>48335435.7616709</v>
      </c>
      <c r="T47" s="24">
        <f>IF(OR($J47="",$F47="不适用"),"",IFERROR(INDEX(_怪物模型!$E$2:$E$4501,(INT($J47)-1)*ROWS(_怪物类型!$A$2:$A$10)+MATCH($F47,_怪物类型!$A$2:$A$10,0))*IF($L47="",1,$L47),""))</f>
        <v>46810.8544829214</v>
      </c>
      <c r="U47" s="24">
        <f>IF(OR($J47="",$F47="不适用"),"",IFERROR(INDEX(_怪物模型!$F$2:$F$4501,(INT($J47)-1)*ROWS(_怪物类型!$A$2:$A$10)+MATCH($F47,_怪物类型!$A$2:$A$10,0))*IF($M47="",1,$M47),""))</f>
        <v>30693</v>
      </c>
      <c r="V47" s="6">
        <f t="shared" si="1"/>
        <v>0.56118698919423</v>
      </c>
      <c r="W47" s="24">
        <f t="shared" si="2"/>
        <v>110150416.171378</v>
      </c>
      <c r="X47" s="18">
        <f t="shared" si="3"/>
        <v>56.8153661280439</v>
      </c>
      <c r="Y47" s="18">
        <f t="shared" si="4"/>
        <v>52.95223209848</v>
      </c>
      <c r="Z47" s="18">
        <f t="shared" si="5"/>
        <v>0.999999999999999</v>
      </c>
      <c r="AA47" t="str">
        <f t="shared" si="6"/>
        <v>生存不成立</v>
      </c>
      <c r="AB47" t="str">
        <f t="shared" si="7"/>
        <v>有效</v>
      </c>
      <c r="AC47" t="str">
        <f t="shared" si="8"/>
        <v>不降</v>
      </c>
      <c r="AD47" t="s">
        <v>5648</v>
      </c>
      <c r="AE47" s="4">
        <v>726000</v>
      </c>
      <c r="AF47" s="4">
        <f>INDEX(_统一战力!$B$2:$B$501,J47)</f>
        <v>1370000</v>
      </c>
      <c r="AG47">
        <v>2001</v>
      </c>
      <c r="AH47">
        <v>113</v>
      </c>
      <c r="AI47">
        <v>2</v>
      </c>
    </row>
    <row r="48" spans="1:35">
      <c r="A48" t="s">
        <v>5548</v>
      </c>
      <c r="B48" t="s">
        <v>5561</v>
      </c>
      <c r="C48" t="s">
        <v>576</v>
      </c>
      <c r="D48" t="s">
        <v>5649</v>
      </c>
      <c r="E48" t="s">
        <v>5563</v>
      </c>
      <c r="F48" t="s">
        <v>164</v>
      </c>
      <c r="G48">
        <v>245</v>
      </c>
      <c r="I48">
        <f t="shared" si="0"/>
        <v>245</v>
      </c>
      <c r="J48">
        <v>298</v>
      </c>
      <c r="K48" s="23">
        <v>1.16463698946368</v>
      </c>
      <c r="L48" s="23">
        <v>1.10396712263151</v>
      </c>
      <c r="M48" s="23">
        <v>1</v>
      </c>
      <c r="N48">
        <v>1</v>
      </c>
      <c r="O48">
        <v>1</v>
      </c>
      <c r="P48" s="18">
        <v>59.1331107340819</v>
      </c>
      <c r="Q48" s="24">
        <f>IF($I48="","",IFERROR(INDEX(_玩家曲线!$H$2:$H$286,MATCH($I48,_玩家曲线!$A$2:$A$286,0)),""))</f>
        <v>2107600.82738491</v>
      </c>
      <c r="R48" s="24">
        <f>IF($I48="","",IFERROR(INDEX(_玩家曲线!$I$2:$I$286,MATCH($I48,_玩家曲线!$A$2:$A$286,0)),""))</f>
        <v>2631837.4353074</v>
      </c>
      <c r="S48" s="24">
        <f>IF(OR($J48="",$F48="不适用"),"",IFERROR(INDEX(_怪物模型!$D$2:$D$4501,(INT($J48)-1)*ROWS(_怪物类型!$A$2:$A$10)+MATCH($F48,_怪物类型!$A$2:$A$10,0))*IF($K48="",1,$K48),""))</f>
        <v>53319117.1631049</v>
      </c>
      <c r="T48" s="24">
        <f>IF(OR($J48="",$F48="不适用"),"",IFERROR(INDEX(_怪物模型!$E$2:$E$4501,(INT($J48)-1)*ROWS(_怪物类型!$A$2:$A$10)+MATCH($F48,_怪物类型!$A$2:$A$10,0))*IF($L48="",1,$L48),""))</f>
        <v>50825.5423588321</v>
      </c>
      <c r="U48" s="24">
        <f>IF(OR($J48="",$F48="不适用"),"",IFERROR(INDEX(_怪物模型!$F$2:$F$4501,(INT($J48)-1)*ROWS(_怪物类型!$A$2:$A$10)+MATCH($F48,_怪物类型!$A$2:$A$10,0))*IF($M48="",1,$M48),""))</f>
        <v>32098</v>
      </c>
      <c r="V48" s="6">
        <f t="shared" si="1"/>
        <v>0.572177261221434</v>
      </c>
      <c r="W48" s="24">
        <f t="shared" si="2"/>
        <v>124628993.108994</v>
      </c>
      <c r="X48" s="18">
        <f t="shared" si="3"/>
        <v>59.1331107340816</v>
      </c>
      <c r="Y48" s="18">
        <f t="shared" si="4"/>
        <v>51.7817875257766</v>
      </c>
      <c r="Z48" s="18">
        <f t="shared" si="5"/>
        <v>0.999999999999996</v>
      </c>
      <c r="AA48" t="str">
        <f t="shared" si="6"/>
        <v>生存不成立</v>
      </c>
      <c r="AB48" t="str">
        <f t="shared" si="7"/>
        <v>有效</v>
      </c>
      <c r="AC48" t="str">
        <f t="shared" si="8"/>
        <v>不降</v>
      </c>
      <c r="AD48" t="s">
        <v>5650</v>
      </c>
      <c r="AE48" s="4">
        <v>776000</v>
      </c>
      <c r="AF48" s="4">
        <f>INDEX(_统一战力!$B$2:$B$501,J48)</f>
        <v>1450000</v>
      </c>
      <c r="AG48">
        <v>2001</v>
      </c>
      <c r="AH48">
        <v>114</v>
      </c>
      <c r="AI48">
        <v>2</v>
      </c>
    </row>
    <row r="49" spans="1:35">
      <c r="A49" t="s">
        <v>5548</v>
      </c>
      <c r="B49" t="s">
        <v>5561</v>
      </c>
      <c r="C49" t="s">
        <v>576</v>
      </c>
      <c r="D49" t="s">
        <v>5651</v>
      </c>
      <c r="E49" t="s">
        <v>5563</v>
      </c>
      <c r="F49" t="s">
        <v>164</v>
      </c>
      <c r="G49">
        <v>256</v>
      </c>
      <c r="I49">
        <f t="shared" si="0"/>
        <v>256</v>
      </c>
      <c r="J49">
        <v>306</v>
      </c>
      <c r="K49" s="23">
        <v>1.15790038161442</v>
      </c>
      <c r="L49" s="23">
        <v>1.11280561087082</v>
      </c>
      <c r="M49" s="23">
        <v>1</v>
      </c>
      <c r="N49">
        <v>1</v>
      </c>
      <c r="O49">
        <v>1</v>
      </c>
      <c r="P49" s="18">
        <v>61.34735381149</v>
      </c>
      <c r="Q49" s="24">
        <f>IF($I49="","",IFERROR(INDEX(_玩家曲线!$H$2:$H$286,MATCH($I49,_玩家曲线!$A$2:$A$286,0)),""))</f>
        <v>2231967.5201529</v>
      </c>
      <c r="R49" s="24">
        <f>IF($I49="","",IFERROR(INDEX(_玩家曲线!$I$2:$I$286,MATCH($I49,_玩家曲线!$A$2:$A$286,0)),""))</f>
        <v>2742098.55432471</v>
      </c>
      <c r="S49" s="24">
        <f>IF(OR($J49="",$F49="不适用"),"",IFERROR(INDEX(_怪物模型!$D$2:$D$4501,(INT($J49)-1)*ROWS(_怪物类型!$A$2:$A$10)+MATCH($F49,_怪物类型!$A$2:$A$10,0))*IF($K49="",1,$K49),""))</f>
        <v>57413033.7836709</v>
      </c>
      <c r="T49" s="24">
        <f>IF(OR($J49="",$F49="不适用"),"",IFERROR(INDEX(_怪物模型!$E$2:$E$4501,(INT($J49)-1)*ROWS(_怪物类型!$A$2:$A$10)+MATCH($F49,_怪物类型!$A$2:$A$10,0))*IF($L49="",1,$L49),""))</f>
        <v>54094.5935500414</v>
      </c>
      <c r="U49" s="24">
        <f>IF(OR($J49="",$F49="不适用"),"",IFERROR(INDEX(_怪物模型!$F$2:$F$4501,(INT($J49)-1)*ROWS(_怪物类型!$A$2:$A$10)+MATCH($F49,_怪物类型!$A$2:$A$10,0))*IF($M49="",1,$M49),""))</f>
        <v>33238</v>
      </c>
      <c r="V49" s="6">
        <f t="shared" si="1"/>
        <v>0.580698137600895</v>
      </c>
      <c r="W49" s="24">
        <f t="shared" si="2"/>
        <v>136925301.154573</v>
      </c>
      <c r="X49" s="18">
        <f t="shared" si="3"/>
        <v>61.3473538114897</v>
      </c>
      <c r="Y49" s="18">
        <f t="shared" si="4"/>
        <v>50.6908061299706</v>
      </c>
      <c r="Z49" s="18">
        <f t="shared" si="5"/>
        <v>0.999999999999995</v>
      </c>
      <c r="AA49" t="str">
        <f t="shared" si="6"/>
        <v>生存不成立</v>
      </c>
      <c r="AB49" t="str">
        <f t="shared" si="7"/>
        <v>有效</v>
      </c>
      <c r="AC49" t="str">
        <f t="shared" si="8"/>
        <v>不降</v>
      </c>
      <c r="AD49" t="s">
        <v>5652</v>
      </c>
      <c r="AE49" s="4">
        <v>825000</v>
      </c>
      <c r="AF49" s="4">
        <f>INDEX(_统一战力!$B$2:$B$501,J49)</f>
        <v>1510000</v>
      </c>
      <c r="AG49">
        <v>2001</v>
      </c>
      <c r="AH49">
        <v>115</v>
      </c>
      <c r="AI49">
        <v>2</v>
      </c>
    </row>
    <row r="50" spans="1:35">
      <c r="A50" t="s">
        <v>5548</v>
      </c>
      <c r="B50" t="s">
        <v>5561</v>
      </c>
      <c r="C50" t="s">
        <v>576</v>
      </c>
      <c r="D50" t="s">
        <v>5653</v>
      </c>
      <c r="E50" t="s">
        <v>5563</v>
      </c>
      <c r="F50" t="s">
        <v>164</v>
      </c>
      <c r="G50">
        <v>270</v>
      </c>
      <c r="I50">
        <f t="shared" si="0"/>
        <v>270</v>
      </c>
      <c r="J50">
        <v>316</v>
      </c>
      <c r="K50" s="23">
        <v>1.15231802654783</v>
      </c>
      <c r="L50" s="23">
        <v>1.12513085631003</v>
      </c>
      <c r="M50" s="23">
        <v>1</v>
      </c>
      <c r="N50">
        <v>1</v>
      </c>
      <c r="O50">
        <v>1</v>
      </c>
      <c r="P50" s="18">
        <v>64.4056633538983</v>
      </c>
      <c r="Q50" s="24">
        <f>IF($I50="","",IFERROR(INDEX(_玩家曲线!$H$2:$H$286,MATCH($I50,_玩家曲线!$A$2:$A$286,0)),""))</f>
        <v>2392189.15150611</v>
      </c>
      <c r="R50" s="24">
        <f>IF($I50="","",IFERROR(INDEX(_玩家曲线!$I$2:$I$286,MATCH($I50,_玩家曲线!$A$2:$A$286,0)),""))</f>
        <v>2881262.13375399</v>
      </c>
      <c r="S50" s="24">
        <f>IF(OR($J50="",$F50="不适用"),"",IFERROR(INDEX(_怪物模型!$D$2:$D$4501,(INT($J50)-1)*ROWS(_怪物类型!$A$2:$A$10)+MATCH($F50,_怪物类型!$A$2:$A$10,0))*IF($K50="",1,$K50),""))</f>
        <v>63010236.1818896</v>
      </c>
      <c r="T50" s="24">
        <f>IF(OR($J50="",$F50="不适用"),"",IFERROR(INDEX(_怪物模型!$E$2:$E$4501,(INT($J50)-1)*ROWS(_怪物类型!$A$2:$A$10)+MATCH($F50,_怪物类型!$A$2:$A$10,0))*IF($L50="",1,$L50),""))</f>
        <v>58484.3019109954</v>
      </c>
      <c r="U50" s="24">
        <f>IF(OR($J50="",$F50="不适用"),"",IFERROR(INDEX(_怪物模型!$F$2:$F$4501,(INT($J50)-1)*ROWS(_怪物类型!$A$2:$A$10)+MATCH($F50,_怪物类型!$A$2:$A$10,0))*IF($M50="",1,$M50),""))</f>
        <v>34684</v>
      </c>
      <c r="V50" s="6">
        <f t="shared" si="1"/>
        <v>0.591029922977302</v>
      </c>
      <c r="W50" s="24">
        <f t="shared" si="2"/>
        <v>154070529.17075</v>
      </c>
      <c r="X50" s="18">
        <f t="shared" si="3"/>
        <v>64.4056633538984</v>
      </c>
      <c r="Y50" s="18">
        <f t="shared" si="4"/>
        <v>49.2655642558383</v>
      </c>
      <c r="Z50" s="18">
        <f t="shared" si="5"/>
        <v>1</v>
      </c>
      <c r="AA50" t="str">
        <f t="shared" si="6"/>
        <v>生存不成立</v>
      </c>
      <c r="AB50" t="str">
        <f t="shared" si="7"/>
        <v>有效</v>
      </c>
      <c r="AC50" t="str">
        <f t="shared" si="8"/>
        <v>不降</v>
      </c>
      <c r="AD50" t="s">
        <v>5654</v>
      </c>
      <c r="AE50" s="4">
        <v>878000</v>
      </c>
      <c r="AF50" s="4">
        <f>INDEX(_统一战力!$B$2:$B$501,J50)</f>
        <v>1590000</v>
      </c>
      <c r="AG50">
        <v>2001</v>
      </c>
      <c r="AH50">
        <v>116</v>
      </c>
      <c r="AI50">
        <v>2</v>
      </c>
    </row>
    <row r="51" spans="1:35">
      <c r="A51" t="s">
        <v>5548</v>
      </c>
      <c r="B51" t="s">
        <v>5561</v>
      </c>
      <c r="C51" t="s">
        <v>576</v>
      </c>
      <c r="D51" t="s">
        <v>5655</v>
      </c>
      <c r="E51" t="s">
        <v>5563</v>
      </c>
      <c r="F51" t="s">
        <v>164</v>
      </c>
      <c r="G51">
        <v>278</v>
      </c>
      <c r="I51">
        <f t="shared" si="0"/>
        <v>278</v>
      </c>
      <c r="J51">
        <v>323</v>
      </c>
      <c r="K51" s="23">
        <v>1.14815104457938</v>
      </c>
      <c r="L51" s="23">
        <v>1.13251372328814</v>
      </c>
      <c r="M51" s="23">
        <v>1</v>
      </c>
      <c r="N51">
        <v>1</v>
      </c>
      <c r="O51">
        <v>1</v>
      </c>
      <c r="P51" s="18">
        <v>67.2230574858507</v>
      </c>
      <c r="Q51" s="24">
        <f>IF($I51="","",IFERROR(INDEX(_玩家曲线!$H$2:$H$286,MATCH($I51,_玩家曲线!$A$2:$A$286,0)),""))</f>
        <v>2485348.50314207</v>
      </c>
      <c r="R51" s="24">
        <f>IF($I51="","",IFERROR(INDEX(_玩家曲线!$I$2:$I$286,MATCH($I51,_玩家曲线!$A$2:$A$286,0)),""))</f>
        <v>2960774.85867836</v>
      </c>
      <c r="S51" s="24">
        <f>IF(OR($J51="",$F51="不适用"),"",IFERROR(INDEX(_怪物模型!$D$2:$D$4501,(INT($J51)-1)*ROWS(_怪物类型!$A$2:$A$10)+MATCH($F51,_怪物类型!$A$2:$A$10,0))*IF($K51="",1,$K51),""))</f>
        <v>67154790.855285</v>
      </c>
      <c r="T51" s="24">
        <f>IF(OR($J51="",$F51="不适用"),"",IFERROR(INDEX(_怪物模型!$E$2:$E$4501,(INT($J51)-1)*ROWS(_怪物类型!$A$2:$A$10)+MATCH($F51,_怪物类型!$A$2:$A$10,0))*IF($L51="",1,$L51),""))</f>
        <v>61658.5771506995</v>
      </c>
      <c r="U51" s="24">
        <f>IF(OR($J51="",$F51="不适用"),"",IFERROR(INDEX(_怪物模型!$F$2:$F$4501,(INT($J51)-1)*ROWS(_怪物类型!$A$2:$A$10)+MATCH($F51,_怪物类型!$A$2:$A$10,0))*IF($M51="",1,$M51),""))</f>
        <v>35709</v>
      </c>
      <c r="V51" s="6">
        <f t="shared" si="1"/>
        <v>0.598050545143948</v>
      </c>
      <c r="W51" s="24">
        <f t="shared" si="2"/>
        <v>167072725.299092</v>
      </c>
      <c r="X51" s="18">
        <f t="shared" si="3"/>
        <v>67.2230574858507</v>
      </c>
      <c r="Y51" s="18">
        <f t="shared" si="4"/>
        <v>48.0188644548502</v>
      </c>
      <c r="Z51" s="18">
        <f t="shared" si="5"/>
        <v>1</v>
      </c>
      <c r="AA51" t="str">
        <f t="shared" si="6"/>
        <v>生存不成立</v>
      </c>
      <c r="AB51" t="str">
        <f t="shared" si="7"/>
        <v>有效</v>
      </c>
      <c r="AC51" t="str">
        <f t="shared" si="8"/>
        <v>不降</v>
      </c>
      <c r="AD51" t="s">
        <v>5656</v>
      </c>
      <c r="AE51" s="4">
        <v>924000</v>
      </c>
      <c r="AF51" s="4">
        <f>INDEX(_统一战力!$B$2:$B$501,J51)</f>
        <v>1640000</v>
      </c>
      <c r="AG51">
        <v>2001</v>
      </c>
      <c r="AH51">
        <v>117</v>
      </c>
      <c r="AI51">
        <v>2</v>
      </c>
    </row>
    <row r="52" spans="1:35">
      <c r="A52" t="s">
        <v>5548</v>
      </c>
      <c r="B52" t="s">
        <v>5561</v>
      </c>
      <c r="C52" t="s">
        <v>576</v>
      </c>
      <c r="D52" t="s">
        <v>5657</v>
      </c>
      <c r="E52" t="s">
        <v>5563</v>
      </c>
      <c r="F52" t="s">
        <v>164</v>
      </c>
      <c r="G52">
        <v>278</v>
      </c>
      <c r="I52">
        <f t="shared" si="0"/>
        <v>278</v>
      </c>
      <c r="J52">
        <v>328</v>
      </c>
      <c r="K52" s="23">
        <v>1.14859125349865</v>
      </c>
      <c r="L52" s="23">
        <v>1.13719917106741</v>
      </c>
      <c r="M52" s="23">
        <v>1</v>
      </c>
      <c r="N52">
        <v>1</v>
      </c>
      <c r="O52">
        <v>1</v>
      </c>
      <c r="P52" s="18">
        <v>71.3945782039728</v>
      </c>
      <c r="Q52" s="24">
        <f>IF($I52="","",IFERROR(INDEX(_玩家曲线!$H$2:$H$286,MATCH($I52,_玩家曲线!$A$2:$A$286,0)),""))</f>
        <v>2485348.50314207</v>
      </c>
      <c r="R52" s="24">
        <f>IF($I52="","",IFERROR(INDEX(_玩家曲线!$I$2:$I$286,MATCH($I52,_玩家曲线!$A$2:$A$286,0)),""))</f>
        <v>2960774.85867836</v>
      </c>
      <c r="S52" s="24">
        <f>IF(OR($J52="",$F52="不适用"),"",IFERROR(INDEX(_怪物模型!$D$2:$D$4501,(INT($J52)-1)*ROWS(_怪物类型!$A$2:$A$10)+MATCH($F52,_怪物类型!$A$2:$A$10,0))*IF($K52="",1,$K52),""))</f>
        <v>70450135.5499086</v>
      </c>
      <c r="T52" s="24">
        <f>IF(OR($J52="",$F52="不适用"),"",IFERROR(INDEX(_怪物模型!$E$2:$E$4501,(INT($J52)-1)*ROWS(_怪物类型!$A$2:$A$10)+MATCH($F52,_怪物类型!$A$2:$A$10,0))*IF($L52="",1,$L52),""))</f>
        <v>63978.8253642525</v>
      </c>
      <c r="U52" s="24">
        <f>IF(OR($J52="",$F52="不适用"),"",IFERROR(INDEX(_怪物模型!$F$2:$F$4501,(INT($J52)-1)*ROWS(_怪物类型!$A$2:$A$10)+MATCH($F52,_怪物类型!$A$2:$A$10,0))*IF($M52="",1,$M52),""))</f>
        <v>36448</v>
      </c>
      <c r="V52" s="6">
        <f t="shared" si="1"/>
        <v>0.602964531498147</v>
      </c>
      <c r="W52" s="24">
        <f t="shared" si="2"/>
        <v>177440408.071703</v>
      </c>
      <c r="X52" s="18">
        <f t="shared" si="3"/>
        <v>71.3945782039728</v>
      </c>
      <c r="Y52" s="18">
        <f t="shared" si="4"/>
        <v>46.2774182211332</v>
      </c>
      <c r="Z52" s="18">
        <f t="shared" si="5"/>
        <v>1</v>
      </c>
      <c r="AA52" t="str">
        <f t="shared" si="6"/>
        <v>生存不成立</v>
      </c>
      <c r="AB52" t="str">
        <f t="shared" si="7"/>
        <v>有效</v>
      </c>
      <c r="AC52" t="str">
        <f t="shared" si="8"/>
        <v>不降</v>
      </c>
      <c r="AD52" t="s">
        <v>5658</v>
      </c>
      <c r="AE52" s="4">
        <v>951000</v>
      </c>
      <c r="AF52" s="4">
        <f>INDEX(_统一战力!$B$2:$B$501,J52)</f>
        <v>1690000</v>
      </c>
      <c r="AG52">
        <v>2001</v>
      </c>
      <c r="AH52">
        <v>118</v>
      </c>
      <c r="AI52">
        <v>2</v>
      </c>
    </row>
    <row r="53" spans="1:35">
      <c r="A53" t="s">
        <v>5548</v>
      </c>
      <c r="B53" t="s">
        <v>5561</v>
      </c>
      <c r="C53" t="s">
        <v>576</v>
      </c>
      <c r="D53" t="s">
        <v>5659</v>
      </c>
      <c r="E53" t="s">
        <v>5563</v>
      </c>
      <c r="F53" t="s">
        <v>164</v>
      </c>
      <c r="G53">
        <v>278</v>
      </c>
      <c r="I53">
        <f t="shared" si="0"/>
        <v>278</v>
      </c>
      <c r="J53">
        <v>332</v>
      </c>
      <c r="K53" s="23">
        <v>1.14892937750966</v>
      </c>
      <c r="L53" s="23">
        <v>1.1408460345058</v>
      </c>
      <c r="M53" s="23">
        <v>1</v>
      </c>
      <c r="N53">
        <v>1</v>
      </c>
      <c r="O53">
        <v>1</v>
      </c>
      <c r="P53" s="18">
        <v>74.8895195458088</v>
      </c>
      <c r="Q53" s="24">
        <f>IF($I53="","",IFERROR(INDEX(_玩家曲线!$H$2:$H$286,MATCH($I53,_玩家曲线!$A$2:$A$286,0)),""))</f>
        <v>2485348.50314207</v>
      </c>
      <c r="R53" s="24">
        <f>IF($I53="","",IFERROR(INDEX(_玩家曲线!$I$2:$I$286,MATCH($I53,_玩家曲线!$A$2:$A$286,0)),""))</f>
        <v>2960774.85867836</v>
      </c>
      <c r="S53" s="24">
        <f>IF(OR($J53="",$F53="不适用"),"",IFERROR(INDEX(_怪物模型!$D$2:$D$4501,(INT($J53)-1)*ROWS(_怪物类型!$A$2:$A$10)+MATCH($F53,_怪物类型!$A$2:$A$10,0))*IF($K53="",1,$K53),""))</f>
        <v>73177336.4671534</v>
      </c>
      <c r="T53" s="24">
        <f>IF(OR($J53="",$F53="不适用"),"",IFERROR(INDEX(_怪物模型!$E$2:$E$4501,(INT($J53)-1)*ROWS(_怪物类型!$A$2:$A$10)+MATCH($F53,_怪物类型!$A$2:$A$10,0))*IF($L53="",1,$L53),""))</f>
        <v>65879.2951085719</v>
      </c>
      <c r="U53" s="24">
        <f>IF(OR($J53="",$F53="不适用"),"",IFERROR(INDEX(_怪物模型!$F$2:$F$4501,(INT($J53)-1)*ROWS(_怪物类型!$A$2:$A$10)+MATCH($F53,_怪物类型!$A$2:$A$10,0))*IF($M53="",1,$M53),""))</f>
        <v>37044</v>
      </c>
      <c r="V53" s="6">
        <f t="shared" si="1"/>
        <v>0.606840967171221</v>
      </c>
      <c r="W53" s="24">
        <f t="shared" si="2"/>
        <v>186126555.304205</v>
      </c>
      <c r="X53" s="18">
        <f t="shared" si="3"/>
        <v>74.8895195458088</v>
      </c>
      <c r="Y53" s="18">
        <f t="shared" si="4"/>
        <v>44.9424186126897</v>
      </c>
      <c r="Z53" s="18">
        <f t="shared" si="5"/>
        <v>1</v>
      </c>
      <c r="AA53" t="str">
        <f t="shared" si="6"/>
        <v>生存不成立</v>
      </c>
      <c r="AB53" t="str">
        <f t="shared" si="7"/>
        <v>有效</v>
      </c>
      <c r="AC53" t="str">
        <f t="shared" si="8"/>
        <v>不降</v>
      </c>
      <c r="AD53" t="s">
        <v>5660</v>
      </c>
      <c r="AE53" s="4">
        <v>979000</v>
      </c>
      <c r="AF53" s="4">
        <f>INDEX(_统一战力!$B$2:$B$501,J53)</f>
        <v>1720000</v>
      </c>
      <c r="AG53">
        <v>2001</v>
      </c>
      <c r="AH53">
        <v>119</v>
      </c>
      <c r="AI53">
        <v>2</v>
      </c>
    </row>
    <row r="54" spans="1:35">
      <c r="A54" t="s">
        <v>5548</v>
      </c>
      <c r="B54" t="s">
        <v>5561</v>
      </c>
      <c r="C54" t="s">
        <v>576</v>
      </c>
      <c r="D54" t="s">
        <v>5661</v>
      </c>
      <c r="E54" t="s">
        <v>5563</v>
      </c>
      <c r="F54" t="s">
        <v>164</v>
      </c>
      <c r="G54">
        <v>278</v>
      </c>
      <c r="I54">
        <f t="shared" si="0"/>
        <v>278</v>
      </c>
      <c r="J54">
        <v>336</v>
      </c>
      <c r="K54" s="23">
        <v>1.14926632436461</v>
      </c>
      <c r="L54" s="23">
        <v>1.14439867356177</v>
      </c>
      <c r="M54" s="23">
        <v>1</v>
      </c>
      <c r="N54">
        <v>1</v>
      </c>
      <c r="O54">
        <v>1</v>
      </c>
      <c r="P54" s="18">
        <v>78.5292669580907</v>
      </c>
      <c r="Q54" s="24">
        <f>IF($I54="","",IFERROR(INDEX(_玩家曲线!$H$2:$H$286,MATCH($I54,_玩家曲线!$A$2:$A$286,0)),""))</f>
        <v>2485348.50314207</v>
      </c>
      <c r="R54" s="24">
        <f>IF($I54="","",IFERROR(INDEX(_玩家曲线!$I$2:$I$286,MATCH($I54,_玩家曲线!$A$2:$A$286,0)),""))</f>
        <v>2960774.85867836</v>
      </c>
      <c r="S54" s="24">
        <f>IF(OR($J54="",$F54="不适用"),"",IFERROR(INDEX(_怪物模型!$D$2:$D$4501,(INT($J54)-1)*ROWS(_怪物类型!$A$2:$A$10)+MATCH($F54,_怪物类型!$A$2:$A$10,0))*IF($K54="",1,$K54),""))</f>
        <v>75988227.4725639</v>
      </c>
      <c r="T54" s="24">
        <f>IF(OR($J54="",$F54="不适用"),"",IFERROR(INDEX(_怪物模型!$E$2:$E$4501,(INT($J54)-1)*ROWS(_怪物类型!$A$2:$A$10)+MATCH($F54,_怪物类型!$A$2:$A$10,0))*IF($L54="",1,$L54),""))</f>
        <v>67821.6429899647</v>
      </c>
      <c r="U54" s="24">
        <f>IF(OR($J54="",$F54="不适用"),"",IFERROR(INDEX(_怪物模型!$F$2:$F$4501,(INT($J54)-1)*ROWS(_怪物类型!$A$2:$A$10)+MATCH($F54,_怪物类型!$A$2:$A$10,0))*IF($M54="",1,$M54),""))</f>
        <v>37643</v>
      </c>
      <c r="V54" s="6">
        <f t="shared" si="1"/>
        <v>0.610661388965495</v>
      </c>
      <c r="W54" s="24">
        <f t="shared" si="2"/>
        <v>195172596.087136</v>
      </c>
      <c r="X54" s="18">
        <f t="shared" si="3"/>
        <v>78.529266958091</v>
      </c>
      <c r="Y54" s="18">
        <f t="shared" si="4"/>
        <v>43.655310136271</v>
      </c>
      <c r="Z54" s="18">
        <f t="shared" si="5"/>
        <v>1</v>
      </c>
      <c r="AA54" t="str">
        <f t="shared" si="6"/>
        <v>生存不成立</v>
      </c>
      <c r="AB54" t="str">
        <f t="shared" si="7"/>
        <v>有效</v>
      </c>
      <c r="AC54" t="str">
        <f t="shared" si="8"/>
        <v>不降</v>
      </c>
      <c r="AD54" t="s">
        <v>5662</v>
      </c>
      <c r="AE54" s="4">
        <v>1010000</v>
      </c>
      <c r="AF54" s="4">
        <f>INDEX(_统一战力!$B$2:$B$501,J54)</f>
        <v>1760000</v>
      </c>
      <c r="AG54">
        <v>2001</v>
      </c>
      <c r="AH54">
        <v>120</v>
      </c>
      <c r="AI54">
        <v>2</v>
      </c>
    </row>
    <row r="55" spans="1:35">
      <c r="A55" t="s">
        <v>5548</v>
      </c>
      <c r="B55" t="s">
        <v>5561</v>
      </c>
      <c r="C55" t="s">
        <v>576</v>
      </c>
      <c r="D55" t="s">
        <v>5663</v>
      </c>
      <c r="E55" t="s">
        <v>5563</v>
      </c>
      <c r="F55" t="s">
        <v>164</v>
      </c>
      <c r="G55">
        <v>278</v>
      </c>
      <c r="I55">
        <f t="shared" si="0"/>
        <v>278</v>
      </c>
      <c r="J55">
        <v>342</v>
      </c>
      <c r="K55" s="23">
        <v>1.13637087029345</v>
      </c>
      <c r="L55" s="23">
        <v>1.14135639306328</v>
      </c>
      <c r="M55" s="23">
        <v>1</v>
      </c>
      <c r="N55">
        <v>1</v>
      </c>
      <c r="O55">
        <v>1</v>
      </c>
      <c r="P55" s="18">
        <v>83.2905299302231</v>
      </c>
      <c r="Q55" s="24">
        <f>IF($I55="","",IFERROR(INDEX(_玩家曲线!$H$2:$H$286,MATCH($I55,_玩家曲线!$A$2:$A$286,0)),""))</f>
        <v>2485348.50314207</v>
      </c>
      <c r="R55" s="24">
        <f>IF($I55="","",IFERROR(INDEX(_玩家曲线!$I$2:$I$286,MATCH($I55,_玩家曲线!$A$2:$A$286,0)),""))</f>
        <v>2960774.85867836</v>
      </c>
      <c r="S55" s="24">
        <f>IF(OR($J55="",$F55="不适用"),"",IFERROR(INDEX(_怪物模型!$D$2:$D$4501,(INT($J55)-1)*ROWS(_怪物类型!$A$2:$A$10)+MATCH($F55,_怪物类型!$A$2:$A$10,0))*IF($K55="",1,$K55),""))</f>
        <v>79429299.9506263</v>
      </c>
      <c r="T55" s="24">
        <f>IF(OR($J55="",$F55="不适用"),"",IFERROR(INDEX(_怪物模型!$E$2:$E$4501,(INT($J55)-1)*ROWS(_怪物类型!$A$2:$A$10)+MATCH($F55,_怪物类型!$A$2:$A$10,0))*IF($L55="",1,$L55),""))</f>
        <v>70306.412456305</v>
      </c>
      <c r="U55" s="24">
        <f>IF(OR($J55="",$F55="不适用"),"",IFERROR(INDEX(_怪物模型!$F$2:$F$4501,(INT($J55)-1)*ROWS(_怪物类型!$A$2:$A$10)+MATCH($F55,_怪物类型!$A$2:$A$10,0))*IF($M55="",1,$M55),""))</f>
        <v>38548</v>
      </c>
      <c r="V55" s="6">
        <f t="shared" si="1"/>
        <v>0.616294685681397</v>
      </c>
      <c r="W55" s="24">
        <f t="shared" si="2"/>
        <v>207005993.887991</v>
      </c>
      <c r="X55" s="18">
        <f t="shared" si="3"/>
        <v>83.2905299302234</v>
      </c>
      <c r="Y55" s="18">
        <f t="shared" si="4"/>
        <v>42.1124440180825</v>
      </c>
      <c r="Z55" s="18">
        <f t="shared" si="5"/>
        <v>1</v>
      </c>
      <c r="AA55" t="str">
        <f t="shared" si="6"/>
        <v>生存不成立</v>
      </c>
      <c r="AB55" t="str">
        <f t="shared" si="7"/>
        <v>有效</v>
      </c>
      <c r="AC55" t="str">
        <f t="shared" si="8"/>
        <v>不降</v>
      </c>
      <c r="AD55" t="s">
        <v>5664</v>
      </c>
      <c r="AE55" s="4">
        <v>1040000</v>
      </c>
      <c r="AF55" s="4">
        <f>INDEX(_统一战力!$B$2:$B$501,J55)</f>
        <v>1820000</v>
      </c>
      <c r="AG55">
        <v>2001</v>
      </c>
      <c r="AH55">
        <v>121</v>
      </c>
      <c r="AI55">
        <v>2</v>
      </c>
    </row>
    <row r="56" spans="1:35">
      <c r="A56" t="s">
        <v>5548</v>
      </c>
      <c r="B56" t="s">
        <v>5561</v>
      </c>
      <c r="C56" t="s">
        <v>576</v>
      </c>
      <c r="D56" t="s">
        <v>5665</v>
      </c>
      <c r="E56" t="s">
        <v>5563</v>
      </c>
      <c r="F56" t="s">
        <v>164</v>
      </c>
      <c r="G56">
        <v>278</v>
      </c>
      <c r="I56">
        <f t="shared" si="0"/>
        <v>278</v>
      </c>
      <c r="J56">
        <v>346</v>
      </c>
      <c r="K56" s="23">
        <v>1.13673568122657</v>
      </c>
      <c r="L56" s="23">
        <v>1.14471395156196</v>
      </c>
      <c r="M56" s="23">
        <v>1</v>
      </c>
      <c r="N56">
        <v>1</v>
      </c>
      <c r="O56">
        <v>1</v>
      </c>
      <c r="P56" s="18">
        <v>87.2739084441828</v>
      </c>
      <c r="Q56" s="24">
        <f>IF($I56="","",IFERROR(INDEX(_玩家曲线!$H$2:$H$286,MATCH($I56,_玩家曲线!$A$2:$A$286,0)),""))</f>
        <v>2485348.50314207</v>
      </c>
      <c r="R56" s="24">
        <f>IF($I56="","",IFERROR(INDEX(_玩家曲线!$I$2:$I$286,MATCH($I56,_玩家曲线!$A$2:$A$286,0)),""))</f>
        <v>2960774.85867836</v>
      </c>
      <c r="S56" s="24">
        <f>IF(OR($J56="",$F56="不适用"),"",IFERROR(INDEX(_怪物模型!$D$2:$D$4501,(INT($J56)-1)*ROWS(_怪物类型!$A$2:$A$10)+MATCH($F56,_怪物类型!$A$2:$A$10,0))*IF($K56="",1,$K56),""))</f>
        <v>82425477.2260018</v>
      </c>
      <c r="T56" s="24">
        <f>IF(OR($J56="",$F56="不适用"),"",IFERROR(INDEX(_怪物模型!$E$2:$E$4501,(INT($J56)-1)*ROWS(_怪物类型!$A$2:$A$10)+MATCH($F56,_怪物类型!$A$2:$A$10,0))*IF($L56="",1,$L56),""))</f>
        <v>72342.4875968612</v>
      </c>
      <c r="U56" s="24">
        <f>IF(OR($J56="",$F56="不适用"),"",IFERROR(INDEX(_怪物模型!$F$2:$F$4501,(INT($J56)-1)*ROWS(_怪物类型!$A$2:$A$10)+MATCH($F56,_怪物类型!$A$2:$A$10,0))*IF($M56="",1,$M56),""))</f>
        <v>39157</v>
      </c>
      <c r="V56" s="6">
        <f t="shared" si="1"/>
        <v>0.619994616590402</v>
      </c>
      <c r="W56" s="24">
        <f t="shared" si="2"/>
        <v>216906077.715108</v>
      </c>
      <c r="X56" s="18">
        <f t="shared" si="3"/>
        <v>87.273908444183</v>
      </c>
      <c r="Y56" s="18">
        <f t="shared" si="4"/>
        <v>40.9271917103224</v>
      </c>
      <c r="Z56" s="18">
        <f t="shared" si="5"/>
        <v>1</v>
      </c>
      <c r="AA56" t="str">
        <f t="shared" si="6"/>
        <v>生存不成立</v>
      </c>
      <c r="AB56" t="str">
        <f t="shared" si="7"/>
        <v>有效</v>
      </c>
      <c r="AC56" t="str">
        <f t="shared" si="8"/>
        <v>不降</v>
      </c>
      <c r="AD56" t="s">
        <v>5666</v>
      </c>
      <c r="AE56" s="4">
        <v>1070000</v>
      </c>
      <c r="AF56" s="4">
        <f>INDEX(_统一战力!$B$2:$B$501,J56)</f>
        <v>1860000</v>
      </c>
      <c r="AG56">
        <v>2001</v>
      </c>
      <c r="AH56">
        <v>122</v>
      </c>
      <c r="AI56">
        <v>2</v>
      </c>
    </row>
    <row r="57" spans="1:35">
      <c r="A57" t="s">
        <v>5548</v>
      </c>
      <c r="B57" t="s">
        <v>5561</v>
      </c>
      <c r="C57" t="s">
        <v>576</v>
      </c>
      <c r="D57" t="s">
        <v>5667</v>
      </c>
      <c r="E57" t="s">
        <v>5563</v>
      </c>
      <c r="F57" t="s">
        <v>164</v>
      </c>
      <c r="G57">
        <v>278</v>
      </c>
      <c r="I57">
        <f t="shared" si="0"/>
        <v>278</v>
      </c>
      <c r="J57">
        <v>350</v>
      </c>
      <c r="K57" s="23">
        <v>1.13710152318637</v>
      </c>
      <c r="L57" s="23">
        <v>1.14798526654775</v>
      </c>
      <c r="M57" s="23">
        <v>1</v>
      </c>
      <c r="N57">
        <v>1</v>
      </c>
      <c r="O57">
        <v>1</v>
      </c>
      <c r="P57" s="18">
        <v>91.4192482355679</v>
      </c>
      <c r="Q57" s="24">
        <f>IF($I57="","",IFERROR(INDEX(_玩家曲线!$H$2:$H$286,MATCH($I57,_玩家曲线!$A$2:$A$286,0)),""))</f>
        <v>2485348.50314207</v>
      </c>
      <c r="R57" s="24">
        <f>IF($I57="","",IFERROR(INDEX(_玩家曲线!$I$2:$I$286,MATCH($I57,_玩家曲线!$A$2:$A$286,0)),""))</f>
        <v>2960774.85867836</v>
      </c>
      <c r="S57" s="24">
        <f>IF(OR($J57="",$F57="不适用"),"",IFERROR(INDEX(_怪物模型!$D$2:$D$4501,(INT($J57)-1)*ROWS(_怪物类型!$A$2:$A$10)+MATCH($F57,_怪物类型!$A$2:$A$10,0))*IF($K57="",1,$K57),""))</f>
        <v>85511903.9385191</v>
      </c>
      <c r="T57" s="24">
        <f>IF(OR($J57="",$F57="不适用"),"",IFERROR(INDEX(_怪物模型!$E$2:$E$4501,(INT($J57)-1)*ROWS(_怪物类型!$A$2:$A$10)+MATCH($F57,_怪物类型!$A$2:$A$10,0))*IF($L57="",1,$L57),""))</f>
        <v>74420.440874491</v>
      </c>
      <c r="U57" s="24">
        <f>IF(OR($J57="",$F57="不适用"),"",IFERROR(INDEX(_怪物模型!$F$2:$F$4501,(INT($J57)-1)*ROWS(_怪物类型!$A$2:$A$10)+MATCH($F57,_怪物类型!$A$2:$A$10,0))*IF($M57="",1,$M57),""))</f>
        <v>39769</v>
      </c>
      <c r="V57" s="6">
        <f t="shared" si="1"/>
        <v>0.623641581332622</v>
      </c>
      <c r="W57" s="24">
        <f t="shared" si="2"/>
        <v>227208691.760643</v>
      </c>
      <c r="X57" s="18">
        <f t="shared" si="3"/>
        <v>91.4192482355682</v>
      </c>
      <c r="Y57" s="18">
        <f t="shared" si="4"/>
        <v>39.7844305124672</v>
      </c>
      <c r="Z57" s="18">
        <f t="shared" si="5"/>
        <v>1</v>
      </c>
      <c r="AA57" t="str">
        <f t="shared" si="6"/>
        <v>生存不成立</v>
      </c>
      <c r="AB57" t="str">
        <f t="shared" si="7"/>
        <v>有效</v>
      </c>
      <c r="AC57" t="str">
        <f t="shared" si="8"/>
        <v>不降</v>
      </c>
      <c r="AD57" t="s">
        <v>5668</v>
      </c>
      <c r="AE57" s="4">
        <v>1100000</v>
      </c>
      <c r="AF57" s="4">
        <f>INDEX(_统一战力!$B$2:$B$501,J57)</f>
        <v>1900000</v>
      </c>
      <c r="AG57">
        <v>2001</v>
      </c>
      <c r="AH57">
        <v>123</v>
      </c>
      <c r="AI57">
        <v>2</v>
      </c>
    </row>
    <row r="58" spans="1:35">
      <c r="A58" t="s">
        <v>5548</v>
      </c>
      <c r="B58" t="s">
        <v>5561</v>
      </c>
      <c r="C58" t="s">
        <v>576</v>
      </c>
      <c r="D58" t="s">
        <v>5669</v>
      </c>
      <c r="E58" t="s">
        <v>5563</v>
      </c>
      <c r="F58" t="s">
        <v>164</v>
      </c>
      <c r="G58">
        <v>278</v>
      </c>
      <c r="I58">
        <f t="shared" si="0"/>
        <v>278</v>
      </c>
      <c r="J58">
        <v>354</v>
      </c>
      <c r="K58" s="23">
        <v>1.13748697511078</v>
      </c>
      <c r="L58" s="23">
        <v>1.1511523271976</v>
      </c>
      <c r="M58" s="23">
        <v>1</v>
      </c>
      <c r="N58">
        <v>1</v>
      </c>
      <c r="O58">
        <v>1</v>
      </c>
      <c r="P58" s="18">
        <v>95.7337104680081</v>
      </c>
      <c r="Q58" s="24">
        <f>IF($I58="","",IFERROR(INDEX(_玩家曲线!$H$2:$H$286,MATCH($I58,_玩家曲线!$A$2:$A$286,0)),""))</f>
        <v>2485348.50314207</v>
      </c>
      <c r="R58" s="24">
        <f>IF($I58="","",IFERROR(INDEX(_玩家曲线!$I$2:$I$286,MATCH($I58,_玩家曲线!$A$2:$A$286,0)),""))</f>
        <v>2960774.85867836</v>
      </c>
      <c r="S58" s="24">
        <f>IF(OR($J58="",$F58="不适用"),"",IFERROR(INDEX(_怪物模型!$D$2:$D$4501,(INT($J58)-1)*ROWS(_怪物类型!$A$2:$A$10)+MATCH($F58,_怪物类型!$A$2:$A$10,0))*IF($K58="",1,$K58),""))</f>
        <v>88692209.4974781</v>
      </c>
      <c r="T58" s="24">
        <f>IF(OR($J58="",$F58="不适用"),"",IFERROR(INDEX(_怪物模型!$E$2:$E$4501,(INT($J58)-1)*ROWS(_怪物类型!$A$2:$A$10)+MATCH($F58,_怪物类型!$A$2:$A$10,0))*IF($L58="",1,$L58),""))</f>
        <v>76541.2693876956</v>
      </c>
      <c r="U58" s="24">
        <f>IF(OR($J58="",$F58="不适用"),"",IFERROR(INDEX(_怪物模型!$F$2:$F$4501,(INT($J58)-1)*ROWS(_怪物类型!$A$2:$A$10)+MATCH($F58,_怪物类型!$A$2:$A$10,0))*IF($M58="",1,$M58),""))</f>
        <v>40384</v>
      </c>
      <c r="V58" s="6">
        <f t="shared" si="1"/>
        <v>0.627236580516899</v>
      </c>
      <c r="W58" s="24">
        <f t="shared" si="2"/>
        <v>237931634.011901</v>
      </c>
      <c r="X58" s="18">
        <f t="shared" si="3"/>
        <v>95.7337104680085</v>
      </c>
      <c r="Y58" s="18">
        <f t="shared" si="4"/>
        <v>38.6820715460243</v>
      </c>
      <c r="Z58" s="18">
        <f t="shared" si="5"/>
        <v>1</v>
      </c>
      <c r="AA58" t="str">
        <f t="shared" si="6"/>
        <v>生存不成立</v>
      </c>
      <c r="AB58" t="str">
        <f t="shared" si="7"/>
        <v>有效</v>
      </c>
      <c r="AC58" t="str">
        <f t="shared" si="8"/>
        <v>不降</v>
      </c>
      <c r="AD58" t="s">
        <v>5670</v>
      </c>
      <c r="AE58" s="4">
        <v>1120000</v>
      </c>
      <c r="AF58" s="4">
        <f>INDEX(_统一战力!$B$2:$B$501,J58)</f>
        <v>1940000</v>
      </c>
      <c r="AG58">
        <v>2001</v>
      </c>
      <c r="AH58">
        <v>124</v>
      </c>
      <c r="AI58">
        <v>2</v>
      </c>
    </row>
    <row r="59" spans="1:35">
      <c r="A59" t="s">
        <v>5548</v>
      </c>
      <c r="B59" t="s">
        <v>5561</v>
      </c>
      <c r="C59" t="s">
        <v>576</v>
      </c>
      <c r="D59" t="s">
        <v>5671</v>
      </c>
      <c r="E59" t="s">
        <v>5563</v>
      </c>
      <c r="F59" t="s">
        <v>164</v>
      </c>
      <c r="G59">
        <v>278</v>
      </c>
      <c r="I59">
        <f t="shared" si="0"/>
        <v>278</v>
      </c>
      <c r="J59">
        <v>358</v>
      </c>
      <c r="K59" s="23">
        <v>1.13783556333648</v>
      </c>
      <c r="L59" s="23">
        <v>1.15424727351154</v>
      </c>
      <c r="M59" s="23">
        <v>1</v>
      </c>
      <c r="N59">
        <v>1</v>
      </c>
      <c r="O59">
        <v>1</v>
      </c>
      <c r="P59" s="18">
        <v>100.219862896681</v>
      </c>
      <c r="Q59" s="24">
        <f>IF($I59="","",IFERROR(INDEX(_玩家曲线!$H$2:$H$286,MATCH($I59,_玩家曲线!$A$2:$A$286,0)),""))</f>
        <v>2485348.50314207</v>
      </c>
      <c r="R59" s="24">
        <f>IF($I59="","",IFERROR(INDEX(_玩家曲线!$I$2:$I$286,MATCH($I59,_玩家曲线!$A$2:$A$286,0)),""))</f>
        <v>2960774.85867836</v>
      </c>
      <c r="S59" s="24">
        <f>IF(OR($J59="",$F59="不适用"),"",IFERROR(INDEX(_怪物模型!$D$2:$D$4501,(INT($J59)-1)*ROWS(_怪物类型!$A$2:$A$10)+MATCH($F59,_怪物类型!$A$2:$A$10,0))*IF($K59="",1,$K59),""))</f>
        <v>91964230.414733</v>
      </c>
      <c r="T59" s="24">
        <f>IF(OR($J59="",$F59="不适用"),"",IFERROR(INDEX(_怪物模型!$E$2:$E$4501,(INT($J59)-1)*ROWS(_怪物类型!$A$2:$A$10)+MATCH($F59,_怪物类型!$A$2:$A$10,0))*IF($L59="",1,$L59),""))</f>
        <v>78706.9673334784</v>
      </c>
      <c r="U59" s="24">
        <f>IF(OR($J59="",$F59="不适用"),"",IFERROR(INDEX(_怪物模型!$F$2:$F$4501,(INT($J59)-1)*ROWS(_怪物类型!$A$2:$A$10)+MATCH($F59,_怪物类型!$A$2:$A$10,0))*IF($M59="",1,$M59),""))</f>
        <v>41003</v>
      </c>
      <c r="V59" s="6">
        <f t="shared" si="1"/>
        <v>0.630786271402858</v>
      </c>
      <c r="W59" s="24">
        <f t="shared" si="2"/>
        <v>249081286.23537</v>
      </c>
      <c r="X59" s="18">
        <f t="shared" si="3"/>
        <v>100.219862896681</v>
      </c>
      <c r="Y59" s="18">
        <f t="shared" si="4"/>
        <v>37.6176971237333</v>
      </c>
      <c r="Z59" s="18">
        <f t="shared" si="5"/>
        <v>1</v>
      </c>
      <c r="AA59" t="str">
        <f t="shared" si="6"/>
        <v>生存不成立</v>
      </c>
      <c r="AB59" t="str">
        <f t="shared" si="7"/>
        <v>有效</v>
      </c>
      <c r="AC59" t="str">
        <f t="shared" si="8"/>
        <v>不降</v>
      </c>
      <c r="AD59" t="s">
        <v>5672</v>
      </c>
      <c r="AE59" s="4">
        <v>1150000</v>
      </c>
      <c r="AF59" s="4">
        <f>INDEX(_统一战力!$B$2:$B$501,J59)</f>
        <v>1980000</v>
      </c>
      <c r="AG59">
        <v>2001</v>
      </c>
      <c r="AH59">
        <v>125</v>
      </c>
      <c r="AI59">
        <v>2</v>
      </c>
    </row>
    <row r="60" spans="1:35">
      <c r="A60" t="s">
        <v>5548</v>
      </c>
      <c r="B60" t="s">
        <v>5561</v>
      </c>
      <c r="C60" t="s">
        <v>576</v>
      </c>
      <c r="D60" t="s">
        <v>5673</v>
      </c>
      <c r="E60" t="s">
        <v>5563</v>
      </c>
      <c r="F60" t="s">
        <v>164</v>
      </c>
      <c r="G60">
        <v>278</v>
      </c>
      <c r="I60">
        <f t="shared" si="0"/>
        <v>278</v>
      </c>
      <c r="J60">
        <v>362</v>
      </c>
      <c r="K60" s="23">
        <v>1.13816744512566</v>
      </c>
      <c r="L60" s="23">
        <v>1.15723774311513</v>
      </c>
      <c r="M60" s="23">
        <v>1</v>
      </c>
      <c r="N60">
        <v>1</v>
      </c>
      <c r="O60">
        <v>1</v>
      </c>
      <c r="P60" s="18">
        <v>104.885188677311</v>
      </c>
      <c r="Q60" s="24">
        <f>IF($I60="","",IFERROR(INDEX(_玩家曲线!$H$2:$H$286,MATCH($I60,_玩家曲线!$A$2:$A$286,0)),""))</f>
        <v>2485348.50314207</v>
      </c>
      <c r="R60" s="24">
        <f>IF($I60="","",IFERROR(INDEX(_玩家曲线!$I$2:$I$286,MATCH($I60,_玩家曲线!$A$2:$A$286,0)),""))</f>
        <v>2960774.85867836</v>
      </c>
      <c r="S60" s="24">
        <f>IF(OR($J60="",$F60="不适用"),"",IFERROR(INDEX(_怪物模型!$D$2:$D$4501,(INT($J60)-1)*ROWS(_怪物类型!$A$2:$A$10)+MATCH($F60,_怪物类型!$A$2:$A$10,0))*IF($K60="",1,$K60),""))</f>
        <v>95331574.6859819</v>
      </c>
      <c r="T60" s="24">
        <f>IF(OR($J60="",$F60="不适用"),"",IFERROR(INDEX(_怪物模型!$E$2:$E$4501,(INT($J60)-1)*ROWS(_怪物类型!$A$2:$A$10)+MATCH($F60,_怪物类型!$A$2:$A$10,0))*IF($L60="",1,$L60),""))</f>
        <v>80917.5347118392</v>
      </c>
      <c r="U60" s="24">
        <f>IF(OR($J60="",$F60="不适用"),"",IFERROR(INDEX(_怪物模型!$F$2:$F$4501,(INT($J60)-1)*ROWS(_怪物类型!$A$2:$A$10)+MATCH($F60,_怪物类型!$A$2:$A$10,0))*IF($M60="",1,$M60),""))</f>
        <v>41626</v>
      </c>
      <c r="V60" s="6">
        <f t="shared" si="1"/>
        <v>0.634291286989913</v>
      </c>
      <c r="W60" s="24">
        <f t="shared" si="2"/>
        <v>260676246.680927</v>
      </c>
      <c r="X60" s="18">
        <f t="shared" si="3"/>
        <v>104.88518867731</v>
      </c>
      <c r="Y60" s="18">
        <f t="shared" si="4"/>
        <v>36.5900279738152</v>
      </c>
      <c r="Z60" s="18">
        <f t="shared" si="5"/>
        <v>0.999999999999995</v>
      </c>
      <c r="AA60" t="str">
        <f t="shared" si="6"/>
        <v>生存不成立</v>
      </c>
      <c r="AB60" t="str">
        <f t="shared" si="7"/>
        <v>有效</v>
      </c>
      <c r="AC60" t="str">
        <f t="shared" si="8"/>
        <v>不降</v>
      </c>
      <c r="AD60" t="s">
        <v>5674</v>
      </c>
      <c r="AE60" s="4">
        <v>1180000</v>
      </c>
      <c r="AF60" s="4">
        <f>INDEX(_统一战力!$B$2:$B$501,J60)</f>
        <v>2020000</v>
      </c>
      <c r="AG60">
        <v>2001</v>
      </c>
      <c r="AH60">
        <v>126</v>
      </c>
      <c r="AI60">
        <v>2</v>
      </c>
    </row>
    <row r="61" spans="1:35">
      <c r="A61" t="s">
        <v>5548</v>
      </c>
      <c r="B61" t="s">
        <v>5561</v>
      </c>
      <c r="C61" t="s">
        <v>576</v>
      </c>
      <c r="D61" t="s">
        <v>5675</v>
      </c>
      <c r="E61" t="s">
        <v>5563</v>
      </c>
      <c r="F61" t="s">
        <v>164</v>
      </c>
      <c r="G61">
        <v>278</v>
      </c>
      <c r="I61">
        <f t="shared" si="0"/>
        <v>278</v>
      </c>
      <c r="J61">
        <v>366</v>
      </c>
      <c r="K61" s="23">
        <v>1.13850064066516</v>
      </c>
      <c r="L61" s="23">
        <v>1.16015917650443</v>
      </c>
      <c r="M61" s="23">
        <v>1</v>
      </c>
      <c r="N61">
        <v>1</v>
      </c>
      <c r="O61">
        <v>1</v>
      </c>
      <c r="P61" s="18">
        <v>109.735810738208</v>
      </c>
      <c r="Q61" s="24">
        <f>IF($I61="","",IFERROR(INDEX(_玩家曲线!$H$2:$H$286,MATCH($I61,_玩家曲线!$A$2:$A$286,0)),""))</f>
        <v>2485348.50314207</v>
      </c>
      <c r="R61" s="24">
        <f>IF($I61="","",IFERROR(INDEX(_玩家曲线!$I$2:$I$286,MATCH($I61,_玩家曲线!$A$2:$A$286,0)),""))</f>
        <v>2960774.85867836</v>
      </c>
      <c r="S61" s="24">
        <f>IF(OR($J61="",$F61="不适用"),"",IFERROR(INDEX(_怪物模型!$D$2:$D$4501,(INT($J61)-1)*ROWS(_怪物类型!$A$2:$A$10)+MATCH($F61,_怪物类型!$A$2:$A$10,0))*IF($K61="",1,$K61),""))</f>
        <v>98797947.0962819</v>
      </c>
      <c r="T61" s="24">
        <f>IF(OR($J61="",$F61="不适用"),"",IFERROR(INDEX(_怪物模型!$E$2:$E$4501,(INT($J61)-1)*ROWS(_怪物类型!$A$2:$A$10)+MATCH($F61,_怪物类型!$A$2:$A$10,0))*IF($L61="",1,$L61),""))</f>
        <v>83172.9715227791</v>
      </c>
      <c r="U61" s="24">
        <f>IF(OR($J61="",$F61="不适用"),"",IFERROR(INDEX(_怪物模型!$F$2:$F$4501,(INT($J61)-1)*ROWS(_怪物类型!$A$2:$A$10)+MATCH($F61,_怪物类型!$A$2:$A$10,0))*IF($M61="",1,$M61),""))</f>
        <v>42252</v>
      </c>
      <c r="V61" s="6">
        <f t="shared" si="1"/>
        <v>0.637746785002717</v>
      </c>
      <c r="W61" s="24">
        <f t="shared" si="2"/>
        <v>272731732.959286</v>
      </c>
      <c r="X61" s="18">
        <f t="shared" si="3"/>
        <v>109.735810738208</v>
      </c>
      <c r="Y61" s="18">
        <f t="shared" si="4"/>
        <v>35.5978006372836</v>
      </c>
      <c r="Z61" s="18">
        <f t="shared" si="5"/>
        <v>0.999999999999998</v>
      </c>
      <c r="AA61" t="str">
        <f t="shared" si="6"/>
        <v>生存不成立</v>
      </c>
      <c r="AB61" t="str">
        <f t="shared" si="7"/>
        <v>有效</v>
      </c>
      <c r="AC61" t="str">
        <f t="shared" si="8"/>
        <v>不降</v>
      </c>
      <c r="AD61" t="s">
        <v>5676</v>
      </c>
      <c r="AE61" s="4">
        <v>1210000</v>
      </c>
      <c r="AF61" s="4">
        <f>INDEX(_统一战力!$B$2:$B$501,J61)</f>
        <v>2060000</v>
      </c>
      <c r="AG61">
        <v>2001</v>
      </c>
      <c r="AH61">
        <v>127</v>
      </c>
      <c r="AI61">
        <v>2</v>
      </c>
    </row>
    <row r="62" spans="1:35">
      <c r="A62" t="s">
        <v>5548</v>
      </c>
      <c r="B62" t="s">
        <v>5561</v>
      </c>
      <c r="C62" t="s">
        <v>576</v>
      </c>
      <c r="D62" t="s">
        <v>5677</v>
      </c>
      <c r="E62" t="s">
        <v>5563</v>
      </c>
      <c r="F62" t="s">
        <v>164</v>
      </c>
      <c r="G62">
        <v>278</v>
      </c>
      <c r="I62">
        <f t="shared" si="0"/>
        <v>278</v>
      </c>
      <c r="J62">
        <v>370</v>
      </c>
      <c r="K62" s="23">
        <v>1.13882001059118</v>
      </c>
      <c r="L62" s="23">
        <v>1.16297859563512</v>
      </c>
      <c r="M62" s="23">
        <v>1</v>
      </c>
      <c r="N62">
        <v>1</v>
      </c>
      <c r="O62">
        <v>1</v>
      </c>
      <c r="P62" s="18">
        <v>114.779924992467</v>
      </c>
      <c r="Q62" s="24">
        <f>IF($I62="","",IFERROR(INDEX(_玩家曲线!$H$2:$H$286,MATCH($I62,_玩家曲线!$A$2:$A$286,0)),""))</f>
        <v>2485348.50314207</v>
      </c>
      <c r="R62" s="24">
        <f>IF($I62="","",IFERROR(INDEX(_玩家曲线!$I$2:$I$286,MATCH($I62,_玩家曲线!$A$2:$A$286,0)),""))</f>
        <v>2960774.85867836</v>
      </c>
      <c r="S62" s="24">
        <f>IF(OR($J62="",$F62="不适用"),"",IFERROR(INDEX(_怪物模型!$D$2:$D$4501,(INT($J62)-1)*ROWS(_怪物类型!$A$2:$A$10)+MATCH($F62,_怪物类型!$A$2:$A$10,0))*IF($K62="",1,$K62),""))</f>
        <v>102364349.004962</v>
      </c>
      <c r="T62" s="24">
        <f>IF(OR($J62="",$F62="不适用"),"",IFERROR(INDEX(_怪物模型!$E$2:$E$4501,(INT($J62)-1)*ROWS(_怪物类型!$A$2:$A$10)+MATCH($F62,_怪物类型!$A$2:$A$10,0))*IF($L62="",1,$L62),""))</f>
        <v>85474.2748647988</v>
      </c>
      <c r="U62" s="24">
        <f>IF(OR($J62="",$F62="不适用"),"",IFERROR(INDEX(_怪物模型!$F$2:$F$4501,(INT($J62)-1)*ROWS(_怪物类型!$A$2:$A$10)+MATCH($F62,_怪物类型!$A$2:$A$10,0))*IF($M62="",1,$M62),""))</f>
        <v>42883</v>
      </c>
      <c r="V62" s="6">
        <f t="shared" si="1"/>
        <v>0.641164421452387</v>
      </c>
      <c r="W62" s="24">
        <f t="shared" si="2"/>
        <v>285268114.770787</v>
      </c>
      <c r="X62" s="18">
        <f t="shared" si="3"/>
        <v>114.779924992467</v>
      </c>
      <c r="Y62" s="18">
        <f t="shared" si="4"/>
        <v>34.639367966112</v>
      </c>
      <c r="Z62" s="18">
        <f t="shared" si="5"/>
        <v>1</v>
      </c>
      <c r="AA62" t="str">
        <f t="shared" si="6"/>
        <v>生存不成立</v>
      </c>
      <c r="AB62" t="str">
        <f t="shared" si="7"/>
        <v>有效</v>
      </c>
      <c r="AC62" t="str">
        <f t="shared" si="8"/>
        <v>不降</v>
      </c>
      <c r="AD62" t="s">
        <v>5678</v>
      </c>
      <c r="AE62" s="4">
        <v>1240000</v>
      </c>
      <c r="AF62" s="4">
        <f>INDEX(_统一战力!$B$2:$B$501,J62)</f>
        <v>2110000</v>
      </c>
      <c r="AG62">
        <v>2001</v>
      </c>
      <c r="AH62">
        <v>128</v>
      </c>
      <c r="AI62">
        <v>2</v>
      </c>
    </row>
    <row r="63" spans="1:35">
      <c r="A63" t="s">
        <v>5548</v>
      </c>
      <c r="B63" t="s">
        <v>5561</v>
      </c>
      <c r="C63" t="s">
        <v>576</v>
      </c>
      <c r="D63" t="s">
        <v>5679</v>
      </c>
      <c r="E63" t="s">
        <v>5563</v>
      </c>
      <c r="F63" t="s">
        <v>164</v>
      </c>
      <c r="G63">
        <v>278</v>
      </c>
      <c r="I63">
        <f t="shared" si="0"/>
        <v>278</v>
      </c>
      <c r="J63">
        <v>374</v>
      </c>
      <c r="K63" s="23">
        <v>1.13913941288448</v>
      </c>
      <c r="L63" s="23">
        <v>1.16571241387348</v>
      </c>
      <c r="M63" s="23">
        <v>1</v>
      </c>
      <c r="N63">
        <v>1</v>
      </c>
      <c r="O63">
        <v>1</v>
      </c>
      <c r="P63" s="18">
        <v>120.020243333565</v>
      </c>
      <c r="Q63" s="24">
        <f>IF($I63="","",IFERROR(INDEX(_玩家曲线!$H$2:$H$286,MATCH($I63,_玩家曲线!$A$2:$A$286,0)),""))</f>
        <v>2485348.50314207</v>
      </c>
      <c r="R63" s="24">
        <f>IF($I63="","",IFERROR(INDEX(_玩家曲线!$I$2:$I$286,MATCH($I63,_玩家曲线!$A$2:$A$286,0)),""))</f>
        <v>2960774.85867836</v>
      </c>
      <c r="S63" s="24">
        <f>IF(OR($J63="",$F63="不适用"),"",IFERROR(INDEX(_怪物模型!$D$2:$D$4501,(INT($J63)-1)*ROWS(_怪物类型!$A$2:$A$10)+MATCH($F63,_怪物类型!$A$2:$A$10,0))*IF($K63="",1,$K63),""))</f>
        <v>106034290.698201</v>
      </c>
      <c r="T63" s="24">
        <f>IF(OR($J63="",$F63="不适用"),"",IFERROR(INDEX(_怪物模型!$E$2:$E$4501,(INT($J63)-1)*ROWS(_怪物类型!$A$2:$A$10)+MATCH($F63,_怪物类型!$A$2:$A$10,0))*IF($L63="",1,$L63),""))</f>
        <v>87822.4418364002</v>
      </c>
      <c r="U63" s="24">
        <f>IF(OR($J63="",$F63="不适用"),"",IFERROR(INDEX(_怪物模型!$F$2:$F$4501,(INT($J63)-1)*ROWS(_怪物类型!$A$2:$A$10)+MATCH($F63,_怪物类型!$A$2:$A$10,0))*IF($M63="",1,$M63),""))</f>
        <v>43516</v>
      </c>
      <c r="V63" s="6">
        <f t="shared" si="1"/>
        <v>0.644528704307127</v>
      </c>
      <c r="W63" s="24">
        <f t="shared" si="2"/>
        <v>298292132.115823</v>
      </c>
      <c r="X63" s="18">
        <f t="shared" si="3"/>
        <v>120.020243333565</v>
      </c>
      <c r="Y63" s="18">
        <f t="shared" si="4"/>
        <v>33.7131921723815</v>
      </c>
      <c r="Z63" s="18">
        <f t="shared" si="5"/>
        <v>1</v>
      </c>
      <c r="AA63" t="str">
        <f t="shared" si="6"/>
        <v>生存不成立</v>
      </c>
      <c r="AB63" t="str">
        <f t="shared" si="7"/>
        <v>有效</v>
      </c>
      <c r="AC63" t="str">
        <f t="shared" si="8"/>
        <v>不降</v>
      </c>
      <c r="AD63" t="s">
        <v>5680</v>
      </c>
      <c r="AE63" s="4">
        <v>1270000</v>
      </c>
      <c r="AF63" s="4">
        <f>INDEX(_统一战力!$B$2:$B$501,J63)</f>
        <v>2150000</v>
      </c>
      <c r="AG63">
        <v>2001</v>
      </c>
      <c r="AH63">
        <v>129</v>
      </c>
      <c r="AI63">
        <v>2</v>
      </c>
    </row>
    <row r="64" spans="1:35">
      <c r="A64" t="s">
        <v>5548</v>
      </c>
      <c r="B64" t="s">
        <v>5561</v>
      </c>
      <c r="C64" t="s">
        <v>576</v>
      </c>
      <c r="D64" t="s">
        <v>5681</v>
      </c>
      <c r="E64" t="s">
        <v>5563</v>
      </c>
      <c r="F64" t="s">
        <v>164</v>
      </c>
      <c r="G64">
        <v>278</v>
      </c>
      <c r="I64">
        <f t="shared" si="0"/>
        <v>278</v>
      </c>
      <c r="J64">
        <v>378</v>
      </c>
      <c r="K64" s="23">
        <v>1.13942673898147</v>
      </c>
      <c r="L64" s="23">
        <v>1.1683606093927</v>
      </c>
      <c r="M64" s="23">
        <v>1</v>
      </c>
      <c r="N64">
        <v>1</v>
      </c>
      <c r="O64">
        <v>1</v>
      </c>
      <c r="P64" s="18">
        <v>125.465305184338</v>
      </c>
      <c r="Q64" s="24">
        <f>IF($I64="","",IFERROR(INDEX(_玩家曲线!$H$2:$H$286,MATCH($I64,_玩家曲线!$A$2:$A$286,0)),""))</f>
        <v>2485348.50314207</v>
      </c>
      <c r="R64" s="24">
        <f>IF($I64="","",IFERROR(INDEX(_玩家曲线!$I$2:$I$286,MATCH($I64,_玩家曲线!$A$2:$A$286,0)),""))</f>
        <v>2960774.85867836</v>
      </c>
      <c r="S64" s="24">
        <f>IF(OR($J64="",$F64="不适用"),"",IFERROR(INDEX(_怪物模型!$D$2:$D$4501,(INT($J64)-1)*ROWS(_怪物类型!$A$2:$A$10)+MATCH($F64,_怪物类型!$A$2:$A$10,0))*IF($K64="",1,$K64),""))</f>
        <v>109807204.308885</v>
      </c>
      <c r="T64" s="24">
        <f>IF(OR($J64="",$F64="不适用"),"",IFERROR(INDEX(_怪物模型!$E$2:$E$4501,(INT($J64)-1)*ROWS(_怪物类型!$A$2:$A$10)+MATCH($F64,_怪物类型!$A$2:$A$10,0))*IF($L64="",1,$L64),""))</f>
        <v>90218.4695360855</v>
      </c>
      <c r="U64" s="24">
        <f>IF(OR($J64="",$F64="不适用"),"",IFERROR(INDEX(_怪物模型!$F$2:$F$4501,(INT($J64)-1)*ROWS(_怪物类型!$A$2:$A$10)+MATCH($F64,_怪物类型!$A$2:$A$10,0))*IF($M64="",1,$M64),""))</f>
        <v>44154</v>
      </c>
      <c r="V64" s="6">
        <f t="shared" si="1"/>
        <v>0.647856325380755</v>
      </c>
      <c r="W64" s="24">
        <f t="shared" si="2"/>
        <v>311825008.436158</v>
      </c>
      <c r="X64" s="18">
        <f t="shared" si="3"/>
        <v>125.465305184338</v>
      </c>
      <c r="Y64" s="18">
        <f t="shared" si="4"/>
        <v>32.8178351273639</v>
      </c>
      <c r="Z64" s="18">
        <f t="shared" si="5"/>
        <v>1</v>
      </c>
      <c r="AA64" t="str">
        <f t="shared" si="6"/>
        <v>生存不成立</v>
      </c>
      <c r="AB64" t="str">
        <f t="shared" si="7"/>
        <v>有效</v>
      </c>
      <c r="AC64" t="str">
        <f t="shared" si="8"/>
        <v>不降</v>
      </c>
      <c r="AD64" t="s">
        <v>5682</v>
      </c>
      <c r="AE64" s="4">
        <v>1300000</v>
      </c>
      <c r="AF64" s="4">
        <f>INDEX(_统一战力!$B$2:$B$501,J64)</f>
        <v>2190000</v>
      </c>
      <c r="AG64">
        <v>2001</v>
      </c>
      <c r="AH64">
        <v>130</v>
      </c>
      <c r="AI64">
        <v>2</v>
      </c>
    </row>
    <row r="65" spans="1:35">
      <c r="A65" t="s">
        <v>5548</v>
      </c>
      <c r="B65" t="s">
        <v>5561</v>
      </c>
      <c r="C65" t="s">
        <v>579</v>
      </c>
      <c r="D65" t="s">
        <v>5683</v>
      </c>
      <c r="E65" t="s">
        <v>5563</v>
      </c>
      <c r="F65" t="s">
        <v>164</v>
      </c>
      <c r="G65">
        <v>278</v>
      </c>
      <c r="I65">
        <f t="shared" si="0"/>
        <v>278</v>
      </c>
      <c r="J65">
        <v>383</v>
      </c>
      <c r="K65" s="23">
        <v>1.12735172031573</v>
      </c>
      <c r="L65" s="23">
        <v>1.16377832714393</v>
      </c>
      <c r="M65" s="23">
        <v>1</v>
      </c>
      <c r="N65">
        <v>1</v>
      </c>
      <c r="O65">
        <v>1</v>
      </c>
      <c r="P65" s="18">
        <v>131.121910940032</v>
      </c>
      <c r="Q65" s="24">
        <f>IF($I65="","",IFERROR(INDEX(_玩家曲线!$H$2:$H$286,MATCH($I65,_玩家曲线!$A$2:$A$286,0)),""))</f>
        <v>2485348.50314207</v>
      </c>
      <c r="R65" s="24">
        <f>IF($I65="","",IFERROR(INDEX(_玩家曲线!$I$2:$I$286,MATCH($I65,_玩家曲线!$A$2:$A$286,0)),""))</f>
        <v>2960774.85867836</v>
      </c>
      <c r="S65" s="24">
        <f>IF(OR($J65="",$F65="不适用"),"",IFERROR(INDEX(_怪物模型!$D$2:$D$4501,(INT($J65)-1)*ROWS(_怪物类型!$A$2:$A$10)+MATCH($F65,_怪物类型!$A$2:$A$10,0))*IF($K65="",1,$K65),""))</f>
        <v>113424805.77209</v>
      </c>
      <c r="T65" s="24">
        <f>IF(OR($J65="",$F65="不适用"),"",IFERROR(INDEX(_怪物模型!$E$2:$E$4501,(INT($J65)-1)*ROWS(_怪物类型!$A$2:$A$10)+MATCH($F65,_怪物类型!$A$2:$A$10,0))*IF($L65="",1,$L65),""))</f>
        <v>92662.357963854</v>
      </c>
      <c r="U65" s="24">
        <f>IF(OR($J65="",$F65="不适用"),"",IFERROR(INDEX(_怪物模型!$F$2:$F$4501,(INT($J65)-1)*ROWS(_怪物类型!$A$2:$A$10)+MATCH($F65,_怪物类型!$A$2:$A$10,0))*IF($M65="",1,$M65),""))</f>
        <v>44955</v>
      </c>
      <c r="V65" s="6">
        <f t="shared" si="1"/>
        <v>0.651946921905591</v>
      </c>
      <c r="W65" s="24">
        <f t="shared" si="2"/>
        <v>325883645.083936</v>
      </c>
      <c r="X65" s="18">
        <f t="shared" si="3"/>
        <v>131.121910940032</v>
      </c>
      <c r="Y65" s="18">
        <f t="shared" si="4"/>
        <v>31.9522935066395</v>
      </c>
      <c r="Z65" s="18">
        <f t="shared" si="5"/>
        <v>0.999999999999999</v>
      </c>
      <c r="AA65" t="str">
        <f t="shared" si="6"/>
        <v>生存不成立</v>
      </c>
      <c r="AB65" t="str">
        <f t="shared" si="7"/>
        <v>有效</v>
      </c>
      <c r="AC65" t="str">
        <f t="shared" si="8"/>
        <v>新玩法组</v>
      </c>
      <c r="AD65" t="s">
        <v>5684</v>
      </c>
      <c r="AE65" s="4">
        <v>1330000</v>
      </c>
      <c r="AF65" s="4">
        <f>INDEX(_统一战力!$B$2:$B$501,J65)</f>
        <v>2250000</v>
      </c>
      <c r="AG65">
        <v>2001</v>
      </c>
      <c r="AH65">
        <v>201</v>
      </c>
      <c r="AI65">
        <v>3</v>
      </c>
    </row>
    <row r="66" spans="1:35">
      <c r="A66" t="s">
        <v>5548</v>
      </c>
      <c r="B66" t="s">
        <v>5561</v>
      </c>
      <c r="C66" t="s">
        <v>579</v>
      </c>
      <c r="D66" t="s">
        <v>5685</v>
      </c>
      <c r="E66" t="s">
        <v>5563</v>
      </c>
      <c r="F66" t="s">
        <v>164</v>
      </c>
      <c r="G66">
        <v>278</v>
      </c>
      <c r="I66">
        <f t="shared" si="0"/>
        <v>278</v>
      </c>
      <c r="J66">
        <v>387</v>
      </c>
      <c r="K66" s="23">
        <v>1.12767769208495</v>
      </c>
      <c r="L66" s="23">
        <v>1.1662879862015</v>
      </c>
      <c r="M66" s="23">
        <v>1</v>
      </c>
      <c r="N66">
        <v>1</v>
      </c>
      <c r="O66">
        <v>1</v>
      </c>
      <c r="P66" s="18">
        <v>136.994923091773</v>
      </c>
      <c r="Q66" s="24">
        <f>IF($I66="","",IFERROR(INDEX(_玩家曲线!$H$2:$H$286,MATCH($I66,_玩家曲线!$A$2:$A$286,0)),""))</f>
        <v>2485348.50314207</v>
      </c>
      <c r="R66" s="24">
        <f>IF($I66="","",IFERROR(INDEX(_玩家曲线!$I$2:$I$286,MATCH($I66,_玩家曲线!$A$2:$A$286,0)),""))</f>
        <v>2960774.85867836</v>
      </c>
      <c r="S66" s="24">
        <f>IF(OR($J66="",$F66="不适用"),"",IFERROR(INDEX(_怪物模型!$D$2:$D$4501,(INT($J66)-1)*ROWS(_怪物类型!$A$2:$A$10)+MATCH($F66,_怪物类型!$A$2:$A$10,0))*IF($K66="",1,$K66),""))</f>
        <v>117405253.502979</v>
      </c>
      <c r="T66" s="24">
        <f>IF(OR($J66="",$F66="不适用"),"",IFERROR(INDEX(_怪物模型!$E$2:$E$4501,(INT($J66)-1)*ROWS(_怪物类型!$A$2:$A$10)+MATCH($F66,_怪物类型!$A$2:$A$10,0))*IF($L66="",1,$L66),""))</f>
        <v>95155.104218208</v>
      </c>
      <c r="U66" s="24">
        <f>IF(OR($J66="",$F66="不适用"),"",IFERROR(INDEX(_怪物模型!$F$2:$F$4501,(INT($J66)-1)*ROWS(_怪物类型!$A$2:$A$10)+MATCH($F66,_怪物类型!$A$2:$A$10,0))*IF($M66="",1,$M66),""))</f>
        <v>45601</v>
      </c>
      <c r="V66" s="6">
        <f t="shared" si="1"/>
        <v>0.655177368141262</v>
      </c>
      <c r="W66" s="24">
        <f t="shared" si="2"/>
        <v>340480127.044202</v>
      </c>
      <c r="X66" s="18">
        <f t="shared" si="3"/>
        <v>136.994923091773</v>
      </c>
      <c r="Y66" s="18">
        <f t="shared" si="4"/>
        <v>31.1152500226237</v>
      </c>
      <c r="Z66" s="18">
        <f t="shared" si="5"/>
        <v>1</v>
      </c>
      <c r="AA66" t="str">
        <f t="shared" si="6"/>
        <v>生存不成立</v>
      </c>
      <c r="AB66" t="str">
        <f t="shared" si="7"/>
        <v>有效</v>
      </c>
      <c r="AC66" t="str">
        <f t="shared" si="8"/>
        <v>不降</v>
      </c>
      <c r="AD66" t="s">
        <v>5686</v>
      </c>
      <c r="AE66" s="4">
        <v>1360000</v>
      </c>
      <c r="AF66" s="4">
        <f>INDEX(_统一战力!$B$2:$B$501,J66)</f>
        <v>2290000</v>
      </c>
      <c r="AG66">
        <v>2001</v>
      </c>
      <c r="AH66">
        <v>202</v>
      </c>
      <c r="AI66">
        <v>3</v>
      </c>
    </row>
    <row r="67" spans="1:35">
      <c r="A67" t="s">
        <v>5548</v>
      </c>
      <c r="B67" t="s">
        <v>5561</v>
      </c>
      <c r="C67" t="s">
        <v>579</v>
      </c>
      <c r="D67" t="s">
        <v>5687</v>
      </c>
      <c r="E67" t="s">
        <v>5563</v>
      </c>
      <c r="F67" t="s">
        <v>164</v>
      </c>
      <c r="G67">
        <v>278</v>
      </c>
      <c r="I67">
        <f t="shared" si="0"/>
        <v>278</v>
      </c>
      <c r="J67">
        <v>390</v>
      </c>
      <c r="K67" s="23">
        <v>1.12795747680883</v>
      </c>
      <c r="L67" s="23">
        <v>1.16808967458214</v>
      </c>
      <c r="M67" s="23">
        <v>1</v>
      </c>
      <c r="N67">
        <v>1</v>
      </c>
      <c r="O67">
        <v>1</v>
      </c>
      <c r="P67" s="18">
        <v>141.550797105099</v>
      </c>
      <c r="Q67" s="24">
        <f>IF($I67="","",IFERROR(INDEX(_玩家曲线!$H$2:$H$286,MATCH($I67,_玩家曲线!$A$2:$A$286,0)),""))</f>
        <v>2485348.50314207</v>
      </c>
      <c r="R67" s="24">
        <f>IF($I67="","",IFERROR(INDEX(_玩家曲线!$I$2:$I$286,MATCH($I67,_玩家曲线!$A$2:$A$286,0)),""))</f>
        <v>2960774.85867836</v>
      </c>
      <c r="S67" s="24">
        <f>IF(OR($J67="",$F67="不适用"),"",IFERROR(INDEX(_怪物模型!$D$2:$D$4501,(INT($J67)-1)*ROWS(_怪物类型!$A$2:$A$10)+MATCH($F67,_怪物类型!$A$2:$A$10,0))*IF($K67="",1,$K67),""))</f>
        <v>120468467.488827</v>
      </c>
      <c r="T67" s="24">
        <f>IF(OR($J67="",$F67="不适用"),"",IFERROR(INDEX(_怪物模型!$E$2:$E$4501,(INT($J67)-1)*ROWS(_怪物类型!$A$2:$A$10)+MATCH($F67,_怪物类型!$A$2:$A$10,0))*IF($L67="",1,$L67),""))</f>
        <v>97056.57106103</v>
      </c>
      <c r="U67" s="24">
        <f>IF(OR($J67="",$F67="不适用"),"",IFERROR(INDEX(_怪物模型!$F$2:$F$4501,(INT($J67)-1)*ROWS(_怪物类型!$A$2:$A$10)+MATCH($F67,_怪物类型!$A$2:$A$10,0))*IF($M67="",1,$M67),""))</f>
        <v>46087</v>
      </c>
      <c r="V67" s="6">
        <f t="shared" si="1"/>
        <v>0.657568450639919</v>
      </c>
      <c r="W67" s="24">
        <f t="shared" si="2"/>
        <v>351803061.703726</v>
      </c>
      <c r="X67" s="18">
        <f t="shared" si="3"/>
        <v>141.550797105099</v>
      </c>
      <c r="Y67" s="18">
        <f t="shared" si="4"/>
        <v>30.5056610419154</v>
      </c>
      <c r="Z67" s="18">
        <f t="shared" si="5"/>
        <v>1</v>
      </c>
      <c r="AA67" t="str">
        <f t="shared" si="6"/>
        <v>生存不成立</v>
      </c>
      <c r="AB67" t="str">
        <f t="shared" si="7"/>
        <v>有效</v>
      </c>
      <c r="AC67" t="str">
        <f t="shared" si="8"/>
        <v>不降</v>
      </c>
      <c r="AD67" t="s">
        <v>5688</v>
      </c>
      <c r="AE67" s="4">
        <v>1390000</v>
      </c>
      <c r="AF67" s="4">
        <f>INDEX(_统一战力!$B$2:$B$501,J67)</f>
        <v>2330000</v>
      </c>
      <c r="AG67">
        <v>2001</v>
      </c>
      <c r="AH67">
        <v>203</v>
      </c>
      <c r="AI67">
        <v>3</v>
      </c>
    </row>
    <row r="68" spans="1:35">
      <c r="A68" t="s">
        <v>5548</v>
      </c>
      <c r="B68" t="s">
        <v>5561</v>
      </c>
      <c r="C68" t="s">
        <v>579</v>
      </c>
      <c r="D68" t="s">
        <v>5689</v>
      </c>
      <c r="E68" t="s">
        <v>5563</v>
      </c>
      <c r="F68" t="s">
        <v>164</v>
      </c>
      <c r="G68">
        <v>278</v>
      </c>
      <c r="I68">
        <f t="shared" si="0"/>
        <v>278</v>
      </c>
      <c r="J68">
        <v>394</v>
      </c>
      <c r="K68" s="23">
        <v>1.12828724671302</v>
      </c>
      <c r="L68" s="23">
        <v>1.17044022325508</v>
      </c>
      <c r="M68" s="23">
        <v>1</v>
      </c>
      <c r="N68">
        <v>1</v>
      </c>
      <c r="O68">
        <v>1</v>
      </c>
      <c r="P68" s="18">
        <v>147.825442195279</v>
      </c>
      <c r="Q68" s="24">
        <f>IF($I68="","",IFERROR(INDEX(_玩家曲线!$H$2:$H$286,MATCH($I68,_玩家曲线!$A$2:$A$286,0)),""))</f>
        <v>2485348.50314207</v>
      </c>
      <c r="R68" s="24">
        <f>IF($I68="","",IFERROR(INDEX(_玩家曲线!$I$2:$I$286,MATCH($I68,_玩家曲线!$A$2:$A$286,0)),""))</f>
        <v>2960774.85867836</v>
      </c>
      <c r="S68" s="24">
        <f>IF(OR($J68="",$F68="不适用"),"",IFERROR(INDEX(_怪物模型!$D$2:$D$4501,(INT($J68)-1)*ROWS(_怪物类型!$A$2:$A$10)+MATCH($F68,_怪物类型!$A$2:$A$10,0))*IF($K68="",1,$K68),""))</f>
        <v>124649002.610616</v>
      </c>
      <c r="T68" s="24">
        <f>IF(OR($J68="",$F68="不适用"),"",IFERROR(INDEX(_怪物模型!$E$2:$E$4501,(INT($J68)-1)*ROWS(_怪物类型!$A$2:$A$10)+MATCH($F68,_怪物类型!$A$2:$A$10,0))*IF($L68="",1,$L68),""))</f>
        <v>99636.0648850352</v>
      </c>
      <c r="U68" s="24">
        <f>IF(OR($J68="",$F68="不适用"),"",IFERROR(INDEX(_怪物模型!$F$2:$F$4501,(INT($J68)-1)*ROWS(_怪物类型!$A$2:$A$10)+MATCH($F68,_怪物类型!$A$2:$A$10,0))*IF($M68="",1,$M68),""))</f>
        <v>46739</v>
      </c>
      <c r="V68" s="6">
        <f t="shared" si="1"/>
        <v>0.660724635632395</v>
      </c>
      <c r="W68" s="24">
        <f t="shared" si="2"/>
        <v>367397741.486349</v>
      </c>
      <c r="X68" s="18">
        <f t="shared" si="3"/>
        <v>147.825442195278</v>
      </c>
      <c r="Y68" s="18">
        <f t="shared" si="4"/>
        <v>29.7158951640116</v>
      </c>
      <c r="Z68" s="18">
        <f t="shared" si="5"/>
        <v>0.999999999999993</v>
      </c>
      <c r="AA68" t="str">
        <f t="shared" si="6"/>
        <v>生存不成立</v>
      </c>
      <c r="AB68" t="str">
        <f t="shared" si="7"/>
        <v>有效</v>
      </c>
      <c r="AC68" t="str">
        <f t="shared" si="8"/>
        <v>不降</v>
      </c>
      <c r="AD68" t="s">
        <v>5690</v>
      </c>
      <c r="AE68" s="4">
        <v>1420000</v>
      </c>
      <c r="AF68" s="4">
        <f>INDEX(_统一战力!$B$2:$B$501,J68)</f>
        <v>2370000</v>
      </c>
      <c r="AG68">
        <v>2001</v>
      </c>
      <c r="AH68">
        <v>204</v>
      </c>
      <c r="AI68">
        <v>3</v>
      </c>
    </row>
    <row r="69" spans="1:35">
      <c r="A69" t="s">
        <v>5548</v>
      </c>
      <c r="B69" t="s">
        <v>5561</v>
      </c>
      <c r="C69" t="s">
        <v>579</v>
      </c>
      <c r="D69" t="s">
        <v>5691</v>
      </c>
      <c r="E69" t="s">
        <v>5563</v>
      </c>
      <c r="F69" t="s">
        <v>164</v>
      </c>
      <c r="G69">
        <v>278</v>
      </c>
      <c r="I69">
        <f t="shared" ref="I69:I124" si="9">IF($H69="",$G69,$H69)</f>
        <v>278</v>
      </c>
      <c r="J69">
        <v>398</v>
      </c>
      <c r="K69" s="23">
        <v>1.12860392541256</v>
      </c>
      <c r="L69" s="23">
        <v>1.17271068310817</v>
      </c>
      <c r="M69" s="23">
        <v>1</v>
      </c>
      <c r="N69">
        <v>1</v>
      </c>
      <c r="O69">
        <v>1</v>
      </c>
      <c r="P69" s="18">
        <v>154.339087578392</v>
      </c>
      <c r="Q69" s="24">
        <f>IF($I69="","",IFERROR(INDEX(_玩家曲线!$H$2:$H$286,MATCH($I69,_玩家曲线!$A$2:$A$286,0)),""))</f>
        <v>2485348.50314207</v>
      </c>
      <c r="R69" s="24">
        <f>IF($I69="","",IFERROR(INDEX(_玩家曲线!$I$2:$I$286,MATCH($I69,_玩家曲线!$A$2:$A$286,0)),""))</f>
        <v>2960774.85867836</v>
      </c>
      <c r="S69" s="24">
        <f>IF(OR($J69="",$F69="不适用"),"",IFERROR(INDEX(_怪物模型!$D$2:$D$4501,(INT($J69)-1)*ROWS(_怪物类型!$A$2:$A$10)+MATCH($F69,_怪物类型!$A$2:$A$10,0))*IF($K69="",1,$K69),""))</f>
        <v>128945641.668778</v>
      </c>
      <c r="T69" s="24">
        <f>IF(OR($J69="",$F69="不适用"),"",IFERROR(INDEX(_怪物模型!$E$2:$E$4501,(INT($J69)-1)*ROWS(_怪物类型!$A$2:$A$10)+MATCH($F69,_怪物类型!$A$2:$A$10,0))*IF($L69="",1,$L69),""))</f>
        <v>102267.407831131</v>
      </c>
      <c r="U69" s="24">
        <f>IF(OR($J69="",$F69="不适用"),"",IFERROR(INDEX(_怪物模型!$F$2:$F$4501,(INT($J69)-1)*ROWS(_怪物类型!$A$2:$A$10)+MATCH($F69,_怪物类型!$A$2:$A$10,0))*IF($M69="",1,$M69),""))</f>
        <v>47395</v>
      </c>
      <c r="V69" s="6">
        <f t="shared" ref="V69:V124" si="10">IF($U69="","",MIN(0.75,$U69/($U69+24000)))</f>
        <v>0.663842005742699</v>
      </c>
      <c r="W69" s="24">
        <f t="shared" ref="W69:W124" si="11">IF($S69="","",$S69/(1-$V69)*IF($N69="",1,$N69))</f>
        <v>383586420.289268</v>
      </c>
      <c r="X69" s="18">
        <f t="shared" ref="X69:X124" si="12">IF(OR($W69="",$Q69="",$Q69=0),"",$W69/$Q69)</f>
        <v>154.339087578391</v>
      </c>
      <c r="Y69" s="18">
        <f t="shared" ref="Y69:Y124" si="13">IF(OR($R69="",$T69="",$T69=0),"",$R69/($T69*IF($O69="",1,$O69)))</f>
        <v>28.9513044426367</v>
      </c>
      <c r="Z69" s="18">
        <f t="shared" ref="Z69:Z124" si="14">IF(OR($X69="",$P69="",$P69=0),"",$X69/$P69)</f>
        <v>0.999999999999995</v>
      </c>
      <c r="AA69" t="str">
        <f t="shared" ref="AA69:AA124" si="15">IF($J69="","待填怪物等级",IF(OR($I69="",$Q69=""),"待填对照关卡",IF($P69="","已计算",IF(AND($Y69&lt;&gt;"",$Y69&lt;$X69),"生存不成立",IF($Z69&lt;0.5,"碾压",IF($Z69&lt;0.8,"偏简单",IF($Z69&lt;=1.2,"适中",IF($Z69&lt;=1.5,"偏难","过难"))))))))</f>
        <v>生存不成立</v>
      </c>
      <c r="AB69" t="str">
        <f t="shared" ref="AB69:AB124" si="16">IF($J69="","待填",IF(AND(ISNUMBER($J69),$J69&gt;=1,$J69&lt;=500,MOD($J69,1)=0),"有效","超范围"))</f>
        <v>有效</v>
      </c>
      <c r="AC69" t="str">
        <f t="shared" si="8"/>
        <v>不降</v>
      </c>
      <c r="AD69" t="s">
        <v>5692</v>
      </c>
      <c r="AE69" s="4">
        <v>1450000</v>
      </c>
      <c r="AF69" s="4">
        <f>INDEX(_统一战力!$B$2:$B$501,J69)</f>
        <v>2420000</v>
      </c>
      <c r="AG69">
        <v>2001</v>
      </c>
      <c r="AH69">
        <v>205</v>
      </c>
      <c r="AI69">
        <v>3</v>
      </c>
    </row>
    <row r="70" spans="1:35">
      <c r="A70" t="s">
        <v>5548</v>
      </c>
      <c r="B70" t="s">
        <v>5561</v>
      </c>
      <c r="C70" t="s">
        <v>579</v>
      </c>
      <c r="D70" t="s">
        <v>5693</v>
      </c>
      <c r="E70" t="s">
        <v>5563</v>
      </c>
      <c r="F70" t="s">
        <v>164</v>
      </c>
      <c r="G70">
        <v>278</v>
      </c>
      <c r="I70">
        <f t="shared" si="9"/>
        <v>278</v>
      </c>
      <c r="J70">
        <v>401</v>
      </c>
      <c r="K70" s="23">
        <v>1.12883798708128</v>
      </c>
      <c r="L70" s="23">
        <v>1.17436894219228</v>
      </c>
      <c r="M70" s="23">
        <v>1</v>
      </c>
      <c r="N70">
        <v>1</v>
      </c>
      <c r="O70">
        <v>1</v>
      </c>
      <c r="P70" s="18">
        <v>159.385293221673</v>
      </c>
      <c r="Q70" s="24">
        <f>IF($I70="","",IFERROR(INDEX(_玩家曲线!$H$2:$H$286,MATCH($I70,_玩家曲线!$A$2:$A$286,0)),""))</f>
        <v>2485348.50314207</v>
      </c>
      <c r="R70" s="24">
        <f>IF($I70="","",IFERROR(INDEX(_玩家曲线!$I$2:$I$286,MATCH($I70,_玩家曲线!$A$2:$A$286,0)),""))</f>
        <v>2960774.85867836</v>
      </c>
      <c r="S70" s="24">
        <f>IF(OR($J70="",$F70="不适用"),"",IFERROR(INDEX(_怪物模型!$D$2:$D$4501,(INT($J70)-1)*ROWS(_怪物类型!$A$2:$A$10)+MATCH($F70,_怪物类型!$A$2:$A$10,0))*IF($K70="",1,$K70),""))</f>
        <v>132246546.736668</v>
      </c>
      <c r="T70" s="24">
        <f>IF(OR($J70="",$F70="不适用"),"",IFERROR(INDEX(_怪物模型!$E$2:$E$4501,(INT($J70)-1)*ROWS(_怪物类型!$A$2:$A$10)+MATCH($F70,_怪物类型!$A$2:$A$10,0))*IF($L70="",1,$L70),""))</f>
        <v>104274.567115137</v>
      </c>
      <c r="U70" s="24">
        <f>IF(OR($J70="",$F70="不适用"),"",IFERROR(INDEX(_怪物模型!$F$2:$F$4501,(INT($J70)-1)*ROWS(_怪物类型!$A$2:$A$10)+MATCH($F70,_怪物类型!$A$2:$A$10,0))*IF($M70="",1,$M70),""))</f>
        <v>47889</v>
      </c>
      <c r="V70" s="6">
        <f t="shared" si="10"/>
        <v>0.666151984309143</v>
      </c>
      <c r="W70" s="24">
        <f t="shared" si="11"/>
        <v>396127999.931346</v>
      </c>
      <c r="X70" s="18">
        <f t="shared" si="12"/>
        <v>159.385293221673</v>
      </c>
      <c r="Y70" s="18">
        <f t="shared" si="13"/>
        <v>28.3940268522924</v>
      </c>
      <c r="Z70" s="18">
        <f t="shared" si="14"/>
        <v>1</v>
      </c>
      <c r="AA70" t="str">
        <f t="shared" si="15"/>
        <v>生存不成立</v>
      </c>
      <c r="AB70" t="str">
        <f t="shared" si="16"/>
        <v>有效</v>
      </c>
      <c r="AC70" t="str">
        <f t="shared" ref="AC70:AC124" si="17">IF(C70&lt;&gt;C69,"新玩法组",IF(J70&gt;=J69,"不降","回退"))</f>
        <v>不降</v>
      </c>
      <c r="AD70" t="s">
        <v>5694</v>
      </c>
      <c r="AE70" s="4">
        <v>1480000</v>
      </c>
      <c r="AF70" s="4">
        <f>INDEX(_统一战力!$B$2:$B$501,J70)</f>
        <v>2450000</v>
      </c>
      <c r="AG70">
        <v>2001</v>
      </c>
      <c r="AH70">
        <v>206</v>
      </c>
      <c r="AI70">
        <v>3</v>
      </c>
    </row>
    <row r="71" spans="1:35">
      <c r="A71" t="s">
        <v>5548</v>
      </c>
      <c r="B71" t="s">
        <v>5561</v>
      </c>
      <c r="C71" t="s">
        <v>579</v>
      </c>
      <c r="D71" t="s">
        <v>5695</v>
      </c>
      <c r="E71" t="s">
        <v>5563</v>
      </c>
      <c r="F71" t="s">
        <v>164</v>
      </c>
      <c r="G71">
        <v>278</v>
      </c>
      <c r="I71">
        <f t="shared" si="9"/>
        <v>278</v>
      </c>
      <c r="J71">
        <v>405</v>
      </c>
      <c r="K71" s="23">
        <v>1.12914154904076</v>
      </c>
      <c r="L71" s="23">
        <v>1.17648742565716</v>
      </c>
      <c r="M71" s="23">
        <v>1</v>
      </c>
      <c r="N71">
        <v>1</v>
      </c>
      <c r="O71">
        <v>1</v>
      </c>
      <c r="P71" s="18">
        <v>166.33530373071</v>
      </c>
      <c r="Q71" s="24">
        <f>IF($I71="","",IFERROR(INDEX(_玩家曲线!$H$2:$H$286,MATCH($I71,_玩家曲线!$A$2:$A$286,0)),""))</f>
        <v>2485348.50314207</v>
      </c>
      <c r="R71" s="24">
        <f>IF($I71="","",IFERROR(INDEX(_玩家曲线!$I$2:$I$286,MATCH($I71,_玩家曲线!$A$2:$A$286,0)),""))</f>
        <v>2960774.85867836</v>
      </c>
      <c r="S71" s="24">
        <f>IF(OR($J71="",$F71="不适用"),"",IFERROR(INDEX(_怪物模型!$D$2:$D$4501,(INT($J71)-1)*ROWS(_怪物类型!$A$2:$A$10)+MATCH($F71,_怪物类型!$A$2:$A$10,0))*IF($K71="",1,$K71),""))</f>
        <v>136753852.538535</v>
      </c>
      <c r="T71" s="24">
        <f>IF(OR($J71="",$F71="不适用"),"",IFERROR(INDEX(_怪物模型!$E$2:$E$4501,(INT($J71)-1)*ROWS(_怪物类型!$A$2:$A$10)+MATCH($F71,_怪物类型!$A$2:$A$10,0))*IF($L71="",1,$L71),""))</f>
        <v>106995.64892639</v>
      </c>
      <c r="U71" s="24">
        <f>IF(OR($J71="",$F71="不适用"),"",IFERROR(INDEX(_怪物模型!$F$2:$F$4501,(INT($J71)-1)*ROWS(_怪物类型!$A$2:$A$10)+MATCH($F71,_怪物类型!$A$2:$A$10,0))*IF($M71="",1,$M71),""))</f>
        <v>48551</v>
      </c>
      <c r="V71" s="6">
        <f t="shared" si="10"/>
        <v>0.669198219183747</v>
      </c>
      <c r="W71" s="24">
        <f t="shared" si="11"/>
        <v>413401198.146802</v>
      </c>
      <c r="X71" s="18">
        <f t="shared" si="12"/>
        <v>166.33530373071</v>
      </c>
      <c r="Y71" s="18">
        <f t="shared" si="13"/>
        <v>27.6719183292704</v>
      </c>
      <c r="Z71" s="18">
        <f t="shared" si="14"/>
        <v>1</v>
      </c>
      <c r="AA71" t="str">
        <f t="shared" si="15"/>
        <v>生存不成立</v>
      </c>
      <c r="AB71" t="str">
        <f t="shared" si="16"/>
        <v>有效</v>
      </c>
      <c r="AC71" t="str">
        <f t="shared" si="17"/>
        <v>不降</v>
      </c>
      <c r="AD71" t="s">
        <v>5696</v>
      </c>
      <c r="AE71" s="4">
        <v>1510000</v>
      </c>
      <c r="AF71" s="4">
        <f>INDEX(_统一战力!$B$2:$B$501,J71)</f>
        <v>2500000</v>
      </c>
      <c r="AG71">
        <v>2001</v>
      </c>
      <c r="AH71">
        <v>207</v>
      </c>
      <c r="AI71">
        <v>3</v>
      </c>
    </row>
    <row r="72" spans="1:35">
      <c r="A72" t="s">
        <v>5548</v>
      </c>
      <c r="B72" t="s">
        <v>5561</v>
      </c>
      <c r="C72" t="s">
        <v>579</v>
      </c>
      <c r="D72" t="s">
        <v>5697</v>
      </c>
      <c r="E72" t="s">
        <v>5563</v>
      </c>
      <c r="F72" t="s">
        <v>164</v>
      </c>
      <c r="G72">
        <v>278</v>
      </c>
      <c r="I72">
        <f t="shared" si="9"/>
        <v>278</v>
      </c>
      <c r="J72">
        <v>408</v>
      </c>
      <c r="K72" s="23">
        <v>1.12936333502891</v>
      </c>
      <c r="L72" s="23">
        <v>1.1780317968529</v>
      </c>
      <c r="M72" s="23">
        <v>1</v>
      </c>
      <c r="N72">
        <v>1</v>
      </c>
      <c r="O72">
        <v>1</v>
      </c>
      <c r="P72" s="18">
        <v>171.718656812052</v>
      </c>
      <c r="Q72" s="24">
        <f>IF($I72="","",IFERROR(INDEX(_玩家曲线!$H$2:$H$286,MATCH($I72,_玩家曲线!$A$2:$A$286,0)),""))</f>
        <v>2485348.50314207</v>
      </c>
      <c r="R72" s="24">
        <f>IF($I72="","",IFERROR(INDEX(_玩家曲线!$I$2:$I$286,MATCH($I72,_玩家曲线!$A$2:$A$286,0)),""))</f>
        <v>2960774.85867836</v>
      </c>
      <c r="S72" s="24">
        <f>IF(OR($J72="",$F72="不适用"),"",IFERROR(INDEX(_怪物模型!$D$2:$D$4501,(INT($J72)-1)*ROWS(_怪物类型!$A$2:$A$10)+MATCH($F72,_怪物类型!$A$2:$A$10,0))*IF($K72="",1,$K72),""))</f>
        <v>140215427.242513</v>
      </c>
      <c r="T72" s="24">
        <f>IF(OR($J72="",$F72="不适用"),"",IFERROR(INDEX(_怪物模型!$E$2:$E$4501,(INT($J72)-1)*ROWS(_怪物类型!$A$2:$A$10)+MATCH($F72,_怪物类型!$A$2:$A$10,0))*IF($L72="",1,$L72),""))</f>
        <v>109071.608007016</v>
      </c>
      <c r="U72" s="24">
        <f>IF(OR($J72="",$F72="不适用"),"",IFERROR(INDEX(_怪物模型!$F$2:$F$4501,(INT($J72)-1)*ROWS(_怪物类型!$A$2:$A$10)+MATCH($F72,_怪物类型!$A$2:$A$10,0))*IF($M72="",1,$M72),""))</f>
        <v>49050</v>
      </c>
      <c r="V72" s="6">
        <f t="shared" si="10"/>
        <v>0.671457905544148</v>
      </c>
      <c r="W72" s="24">
        <f t="shared" si="11"/>
        <v>426780706.6694</v>
      </c>
      <c r="X72" s="18">
        <f t="shared" si="12"/>
        <v>171.718656812052</v>
      </c>
      <c r="Y72" s="18">
        <f t="shared" si="13"/>
        <v>27.1452389194436</v>
      </c>
      <c r="Z72" s="18">
        <f t="shared" si="14"/>
        <v>0.999999999999999</v>
      </c>
      <c r="AA72" t="str">
        <f t="shared" si="15"/>
        <v>生存不成立</v>
      </c>
      <c r="AB72" t="str">
        <f t="shared" si="16"/>
        <v>有效</v>
      </c>
      <c r="AC72" t="str">
        <f t="shared" si="17"/>
        <v>不降</v>
      </c>
      <c r="AD72" t="s">
        <v>5698</v>
      </c>
      <c r="AE72" s="4">
        <v>1540000</v>
      </c>
      <c r="AF72" s="4">
        <f>INDEX(_统一战力!$B$2:$B$501,J72)</f>
        <v>2540000</v>
      </c>
      <c r="AG72">
        <v>2001</v>
      </c>
      <c r="AH72">
        <v>208</v>
      </c>
      <c r="AI72">
        <v>3</v>
      </c>
    </row>
    <row r="73" spans="1:35">
      <c r="A73" t="s">
        <v>5548</v>
      </c>
      <c r="B73" t="s">
        <v>5561</v>
      </c>
      <c r="C73" t="s">
        <v>579</v>
      </c>
      <c r="D73" t="s">
        <v>5699</v>
      </c>
      <c r="E73" t="s">
        <v>5563</v>
      </c>
      <c r="F73" t="s">
        <v>164</v>
      </c>
      <c r="G73">
        <v>278</v>
      </c>
      <c r="I73">
        <f t="shared" si="9"/>
        <v>278</v>
      </c>
      <c r="J73">
        <v>412</v>
      </c>
      <c r="K73" s="23">
        <v>1.12965610554697</v>
      </c>
      <c r="L73" s="23">
        <v>1.18002485922812</v>
      </c>
      <c r="M73" s="23">
        <v>1</v>
      </c>
      <c r="N73">
        <v>1</v>
      </c>
      <c r="O73">
        <v>1</v>
      </c>
      <c r="P73" s="18">
        <v>179.13017829536</v>
      </c>
      <c r="Q73" s="24">
        <f>IF($I73="","",IFERROR(INDEX(_玩家曲线!$H$2:$H$286,MATCH($I73,_玩家曲线!$A$2:$A$286,0)),""))</f>
        <v>2485348.50314207</v>
      </c>
      <c r="R73" s="24">
        <f>IF($I73="","",IFERROR(INDEX(_玩家曲线!$I$2:$I$286,MATCH($I73,_玩家曲线!$A$2:$A$286,0)),""))</f>
        <v>2960774.85867836</v>
      </c>
      <c r="S73" s="24">
        <f>IF(OR($J73="",$F73="不适用"),"",IFERROR(INDEX(_怪物模型!$D$2:$D$4501,(INT($J73)-1)*ROWS(_怪物类型!$A$2:$A$10)+MATCH($F73,_怪物类型!$A$2:$A$10,0))*IF($K73="",1,$K73),""))</f>
        <v>144941833.634318</v>
      </c>
      <c r="T73" s="24">
        <f>IF(OR($J73="",$F73="不适用"),"",IFERROR(INDEX(_怪物模型!$E$2:$E$4501,(INT($J73)-1)*ROWS(_怪物类型!$A$2:$A$10)+MATCH($F73,_怪物类型!$A$2:$A$10,0))*IF($L73="",1,$L73),""))</f>
        <v>111886.417077433</v>
      </c>
      <c r="U73" s="24">
        <f>IF(OR($J73="",$F73="不适用"),"",IFERROR(INDEX(_怪物模型!$F$2:$F$4501,(INT($J73)-1)*ROWS(_怪物类型!$A$2:$A$10)+MATCH($F73,_怪物类型!$A$2:$A$10,0))*IF($M73="",1,$M73),""))</f>
        <v>49718</v>
      </c>
      <c r="V73" s="6">
        <f t="shared" si="10"/>
        <v>0.674435009088689</v>
      </c>
      <c r="W73" s="24">
        <f t="shared" si="11"/>
        <v>445200920.493944</v>
      </c>
      <c r="X73" s="18">
        <f t="shared" si="12"/>
        <v>179.13017829536</v>
      </c>
      <c r="Y73" s="18">
        <f t="shared" si="13"/>
        <v>26.4623261340946</v>
      </c>
      <c r="Z73" s="18">
        <f t="shared" si="14"/>
        <v>0.999999999999998</v>
      </c>
      <c r="AA73" t="str">
        <f t="shared" si="15"/>
        <v>生存不成立</v>
      </c>
      <c r="AB73" t="str">
        <f t="shared" si="16"/>
        <v>有效</v>
      </c>
      <c r="AC73" t="str">
        <f t="shared" si="17"/>
        <v>不降</v>
      </c>
      <c r="AD73" t="s">
        <v>5700</v>
      </c>
      <c r="AE73" s="4">
        <v>1570000</v>
      </c>
      <c r="AF73" s="4">
        <f>INDEX(_统一战力!$B$2:$B$501,J73)</f>
        <v>2580000</v>
      </c>
      <c r="AG73">
        <v>2001</v>
      </c>
      <c r="AH73">
        <v>209</v>
      </c>
      <c r="AI73">
        <v>3</v>
      </c>
    </row>
    <row r="74" spans="1:35">
      <c r="A74" t="s">
        <v>5548</v>
      </c>
      <c r="B74" t="s">
        <v>5561</v>
      </c>
      <c r="C74" t="s">
        <v>579</v>
      </c>
      <c r="D74" t="s">
        <v>5701</v>
      </c>
      <c r="E74" t="s">
        <v>5563</v>
      </c>
      <c r="F74" t="s">
        <v>164</v>
      </c>
      <c r="G74">
        <v>278</v>
      </c>
      <c r="I74">
        <f t="shared" si="9"/>
        <v>278</v>
      </c>
      <c r="J74">
        <v>415</v>
      </c>
      <c r="K74" s="23">
        <v>1.12988141538256</v>
      </c>
      <c r="L74" s="23">
        <v>1.18147050448292</v>
      </c>
      <c r="M74" s="23">
        <v>1</v>
      </c>
      <c r="N74">
        <v>1</v>
      </c>
      <c r="O74">
        <v>1</v>
      </c>
      <c r="P74" s="18">
        <v>184.869998928256</v>
      </c>
      <c r="Q74" s="24">
        <f>IF($I74="","",IFERROR(INDEX(_玩家曲线!$H$2:$H$286,MATCH($I74,_玩家曲线!$A$2:$A$286,0)),""))</f>
        <v>2485348.50314207</v>
      </c>
      <c r="R74" s="24">
        <f>IF($I74="","",IFERROR(INDEX(_玩家曲线!$I$2:$I$286,MATCH($I74,_玩家曲线!$A$2:$A$286,0)),""))</f>
        <v>2960774.85867836</v>
      </c>
      <c r="S74" s="24">
        <f>IF(OR($J74="",$F74="不适用"),"",IFERROR(INDEX(_怪物模型!$D$2:$D$4501,(INT($J74)-1)*ROWS(_怪物类型!$A$2:$A$10)+MATCH($F74,_怪物类型!$A$2:$A$10,0))*IF($K74="",1,$K74),""))</f>
        <v>148572412.156845</v>
      </c>
      <c r="T74" s="24">
        <f>IF(OR($J74="",$F74="不适用"),"",IFERROR(INDEX(_怪物模型!$E$2:$E$4501,(INT($J74)-1)*ROWS(_怪物类型!$A$2:$A$10)+MATCH($F74,_怪物类型!$A$2:$A$10,0))*IF($L74="",1,$L74),""))</f>
        <v>114033.170151682</v>
      </c>
      <c r="U74" s="24">
        <f>IF(OR($J74="",$F74="不适用"),"",IFERROR(INDEX(_怪物模型!$F$2:$F$4501,(INT($J74)-1)*ROWS(_怪物类型!$A$2:$A$10)+MATCH($F74,_怪物类型!$A$2:$A$10,0))*IF($M74="",1,$M74),""))</f>
        <v>50221</v>
      </c>
      <c r="V74" s="6">
        <f t="shared" si="10"/>
        <v>0.676641381819162</v>
      </c>
      <c r="W74" s="24">
        <f t="shared" si="11"/>
        <v>459466375.112218</v>
      </c>
      <c r="X74" s="18">
        <f t="shared" si="12"/>
        <v>184.869998928256</v>
      </c>
      <c r="Y74" s="18">
        <f t="shared" si="13"/>
        <v>25.9641545941418</v>
      </c>
      <c r="Z74" s="18">
        <f t="shared" si="14"/>
        <v>1</v>
      </c>
      <c r="AA74" t="str">
        <f t="shared" si="15"/>
        <v>生存不成立</v>
      </c>
      <c r="AB74" t="str">
        <f t="shared" si="16"/>
        <v>有效</v>
      </c>
      <c r="AC74" t="str">
        <f t="shared" si="17"/>
        <v>不降</v>
      </c>
      <c r="AD74" t="s">
        <v>5702</v>
      </c>
      <c r="AE74" s="4">
        <v>1600000</v>
      </c>
      <c r="AF74" s="4">
        <f>INDEX(_统一战力!$B$2:$B$501,J74)</f>
        <v>2620000</v>
      </c>
      <c r="AG74">
        <v>2001</v>
      </c>
      <c r="AH74">
        <v>210</v>
      </c>
      <c r="AI74">
        <v>3</v>
      </c>
    </row>
    <row r="75" spans="1:35">
      <c r="A75" t="s">
        <v>5548</v>
      </c>
      <c r="B75" t="s">
        <v>5561</v>
      </c>
      <c r="C75" t="s">
        <v>579</v>
      </c>
      <c r="D75" t="s">
        <v>5703</v>
      </c>
      <c r="E75" t="s">
        <v>5563</v>
      </c>
      <c r="F75" t="s">
        <v>164</v>
      </c>
      <c r="G75">
        <v>278</v>
      </c>
      <c r="I75">
        <f t="shared" si="9"/>
        <v>278</v>
      </c>
      <c r="J75">
        <v>418</v>
      </c>
      <c r="K75" s="23">
        <v>1.13009341680632</v>
      </c>
      <c r="L75" s="23">
        <v>1.18287780933369</v>
      </c>
      <c r="M75" s="23">
        <v>1</v>
      </c>
      <c r="N75">
        <v>1</v>
      </c>
      <c r="O75">
        <v>1</v>
      </c>
      <c r="P75" s="18">
        <v>190.769598699849</v>
      </c>
      <c r="Q75" s="24">
        <f>IF($I75="","",IFERROR(INDEX(_玩家曲线!$H$2:$H$286,MATCH($I75,_玩家曲线!$A$2:$A$286,0)),""))</f>
        <v>2485348.50314207</v>
      </c>
      <c r="R75" s="24">
        <f>IF($I75="","",IFERROR(INDEX(_玩家曲线!$I$2:$I$286,MATCH($I75,_玩家曲线!$A$2:$A$286,0)),""))</f>
        <v>2960774.85867836</v>
      </c>
      <c r="S75" s="24">
        <f>IF(OR($J75="",$F75="不适用"),"",IFERROR(INDEX(_怪物模型!$D$2:$D$4501,(INT($J75)-1)*ROWS(_怪物类型!$A$2:$A$10)+MATCH($F75,_怪物类型!$A$2:$A$10,0))*IF($K75="",1,$K75),""))</f>
        <v>152275542.678929</v>
      </c>
      <c r="T75" s="24">
        <f>IF(OR($J75="",$F75="不适用"),"",IFERROR(INDEX(_怪物模型!$E$2:$E$4501,(INT($J75)-1)*ROWS(_怪物类型!$A$2:$A$10)+MATCH($F75,_怪物类型!$A$2:$A$10,0))*IF($L75="",1,$L75),""))</f>
        <v>116211.830377988</v>
      </c>
      <c r="U75" s="24">
        <f>IF(OR($J75="",$F75="不适用"),"",IFERROR(INDEX(_怪物模型!$F$2:$F$4501,(INT($J75)-1)*ROWS(_怪物类型!$A$2:$A$10)+MATCH($F75,_怪物类型!$A$2:$A$10,0))*IF($M75="",1,$M75),""))</f>
        <v>50727</v>
      </c>
      <c r="V75" s="6">
        <f t="shared" si="10"/>
        <v>0.678830944638484</v>
      </c>
      <c r="W75" s="24">
        <f t="shared" si="11"/>
        <v>474128936.573681</v>
      </c>
      <c r="X75" s="18">
        <f t="shared" si="12"/>
        <v>190.769598699848</v>
      </c>
      <c r="Y75" s="18">
        <f t="shared" si="13"/>
        <v>25.4773963119607</v>
      </c>
      <c r="Z75" s="18">
        <f t="shared" si="14"/>
        <v>0.999999999999995</v>
      </c>
      <c r="AA75" t="str">
        <f t="shared" si="15"/>
        <v>生存不成立</v>
      </c>
      <c r="AB75" t="str">
        <f t="shared" si="16"/>
        <v>有效</v>
      </c>
      <c r="AC75" t="str">
        <f t="shared" si="17"/>
        <v>不降</v>
      </c>
      <c r="AD75" t="s">
        <v>5704</v>
      </c>
      <c r="AE75" s="4">
        <v>1600000</v>
      </c>
      <c r="AF75" s="4">
        <f>INDEX(_统一战力!$B$2:$B$501,J75)</f>
        <v>2660000</v>
      </c>
      <c r="AG75">
        <v>2001</v>
      </c>
      <c r="AH75">
        <v>211</v>
      </c>
      <c r="AI75">
        <v>3</v>
      </c>
    </row>
    <row r="76" spans="1:35">
      <c r="A76" t="s">
        <v>5548</v>
      </c>
      <c r="B76" t="s">
        <v>5561</v>
      </c>
      <c r="C76" t="s">
        <v>579</v>
      </c>
      <c r="D76" t="s">
        <v>5705</v>
      </c>
      <c r="E76" t="s">
        <v>5563</v>
      </c>
      <c r="F76" t="s">
        <v>164</v>
      </c>
      <c r="G76">
        <v>278</v>
      </c>
      <c r="I76">
        <f t="shared" si="9"/>
        <v>278</v>
      </c>
      <c r="J76">
        <v>422</v>
      </c>
      <c r="K76" s="23">
        <v>1.13037843791371</v>
      </c>
      <c r="L76" s="23">
        <v>1.18466657994138</v>
      </c>
      <c r="M76" s="23">
        <v>1</v>
      </c>
      <c r="N76">
        <v>1</v>
      </c>
      <c r="O76">
        <v>1</v>
      </c>
      <c r="P76" s="18">
        <v>198.888638312418</v>
      </c>
      <c r="Q76" s="24">
        <f>IF($I76="","",IFERROR(INDEX(_玩家曲线!$H$2:$H$286,MATCH($I76,_玩家曲线!$A$2:$A$286,0)),""))</f>
        <v>2485348.50314207</v>
      </c>
      <c r="R76" s="24">
        <f>IF($I76="","",IFERROR(INDEX(_玩家曲线!$I$2:$I$286,MATCH($I76,_玩家曲线!$A$2:$A$286,0)),""))</f>
        <v>2960774.85867836</v>
      </c>
      <c r="S76" s="24">
        <f>IF(OR($J76="",$F76="不适用"),"",IFERROR(INDEX(_怪物模型!$D$2:$D$4501,(INT($J76)-1)*ROWS(_怪物类型!$A$2:$A$10)+MATCH($F76,_怪物类型!$A$2:$A$10,0))*IF($K76="",1,$K76),""))</f>
        <v>157330936.137627</v>
      </c>
      <c r="T76" s="24">
        <f>IF(OR($J76="",$F76="不适用"),"",IFERROR(INDEX(_怪物模型!$E$2:$E$4501,(INT($J76)-1)*ROWS(_怪物类型!$A$2:$A$10)+MATCH($F76,_怪物类型!$A$2:$A$10,0))*IF($L76="",1,$L76),""))</f>
        <v>119163.241943144</v>
      </c>
      <c r="U76" s="24">
        <f>IF(OR($J76="",$F76="不适用"),"",IFERROR(INDEX(_怪物模型!$F$2:$F$4501,(INT($J76)-1)*ROWS(_怪物类型!$A$2:$A$10)+MATCH($F76,_怪物类型!$A$2:$A$10,0))*IF($M76="",1,$M76),""))</f>
        <v>51404</v>
      </c>
      <c r="V76" s="6">
        <f t="shared" si="10"/>
        <v>0.68171449790462</v>
      </c>
      <c r="W76" s="24">
        <f t="shared" si="11"/>
        <v>494307579.521734</v>
      </c>
      <c r="X76" s="18">
        <f t="shared" si="12"/>
        <v>198.888638312419</v>
      </c>
      <c r="Y76" s="18">
        <f t="shared" si="13"/>
        <v>24.8463772082589</v>
      </c>
      <c r="Z76" s="18">
        <f t="shared" si="14"/>
        <v>1</v>
      </c>
      <c r="AA76" t="str">
        <f t="shared" si="15"/>
        <v>生存不成立</v>
      </c>
      <c r="AB76" t="str">
        <f t="shared" si="16"/>
        <v>有效</v>
      </c>
      <c r="AC76" t="str">
        <f t="shared" si="17"/>
        <v>不降</v>
      </c>
      <c r="AD76" t="s">
        <v>5706</v>
      </c>
      <c r="AE76" s="4">
        <v>1600000</v>
      </c>
      <c r="AF76" s="4">
        <f>INDEX(_统一战力!$B$2:$B$501,J76)</f>
        <v>2710000</v>
      </c>
      <c r="AG76">
        <v>2001</v>
      </c>
      <c r="AH76">
        <v>212</v>
      </c>
      <c r="AI76">
        <v>3</v>
      </c>
    </row>
    <row r="77" spans="1:35">
      <c r="A77" t="s">
        <v>5548</v>
      </c>
      <c r="B77" t="s">
        <v>5561</v>
      </c>
      <c r="C77" t="s">
        <v>579</v>
      </c>
      <c r="D77" t="s">
        <v>5707</v>
      </c>
      <c r="E77" t="s">
        <v>5563</v>
      </c>
      <c r="F77" t="s">
        <v>164</v>
      </c>
      <c r="G77">
        <v>278</v>
      </c>
      <c r="I77">
        <f t="shared" si="9"/>
        <v>278</v>
      </c>
      <c r="J77">
        <v>425</v>
      </c>
      <c r="K77" s="23">
        <v>1.13056348873847</v>
      </c>
      <c r="L77" s="23">
        <v>1.1859682968672</v>
      </c>
      <c r="M77" s="23">
        <v>1</v>
      </c>
      <c r="N77">
        <v>1</v>
      </c>
      <c r="O77">
        <v>1</v>
      </c>
      <c r="P77" s="18">
        <v>205.171075960127</v>
      </c>
      <c r="Q77" s="24">
        <f>IF($I77="","",IFERROR(INDEX(_玩家曲线!$H$2:$H$286,MATCH($I77,_玩家曲线!$A$2:$A$286,0)),""))</f>
        <v>2485348.50314207</v>
      </c>
      <c r="R77" s="24">
        <f>IF($I77="","",IFERROR(INDEX(_玩家曲线!$I$2:$I$286,MATCH($I77,_玩家曲线!$A$2:$A$286,0)),""))</f>
        <v>2960774.85867836</v>
      </c>
      <c r="S77" s="24">
        <f>IF(OR($J77="",$F77="不适用"),"",IFERROR(INDEX(_怪物模型!$D$2:$D$4501,(INT($J77)-1)*ROWS(_怪物类型!$A$2:$A$10)+MATCH($F77,_怪物类型!$A$2:$A$10,0))*IF($K77="",1,$K77),""))</f>
        <v>161208180.683834</v>
      </c>
      <c r="T77" s="24">
        <f>IF(OR($J77="",$F77="不适用"),"",IFERROR(INDEX(_怪物模型!$E$2:$E$4501,(INT($J77)-1)*ROWS(_怪物类型!$A$2:$A$10)+MATCH($F77,_怪物类型!$A$2:$A$10,0))*IF($L77="",1,$L77),""))</f>
        <v>121414.690360076</v>
      </c>
      <c r="U77" s="24">
        <f>IF(OR($J77="",$F77="不适用"),"",IFERROR(INDEX(_怪物模型!$F$2:$F$4501,(INT($J77)-1)*ROWS(_怪物类型!$A$2:$A$10)+MATCH($F77,_怪物类型!$A$2:$A$10,0))*IF($M77="",1,$M77),""))</f>
        <v>51915</v>
      </c>
      <c r="V77" s="6">
        <f t="shared" si="10"/>
        <v>0.683856945267734</v>
      </c>
      <c r="W77" s="24">
        <f t="shared" si="11"/>
        <v>509921626.525553</v>
      </c>
      <c r="X77" s="18">
        <f t="shared" si="12"/>
        <v>205.171075960128</v>
      </c>
      <c r="Y77" s="18">
        <f t="shared" si="13"/>
        <v>24.3856394139594</v>
      </c>
      <c r="Z77" s="18">
        <f t="shared" si="14"/>
        <v>1.00000000000001</v>
      </c>
      <c r="AA77" t="str">
        <f t="shared" si="15"/>
        <v>生存不成立</v>
      </c>
      <c r="AB77" t="str">
        <f t="shared" si="16"/>
        <v>有效</v>
      </c>
      <c r="AC77" t="str">
        <f t="shared" si="17"/>
        <v>不降</v>
      </c>
      <c r="AD77" t="s">
        <v>5708</v>
      </c>
      <c r="AE77" s="4">
        <v>1600000</v>
      </c>
      <c r="AF77" s="4">
        <f>INDEX(_统一战力!$B$2:$B$501,J77)</f>
        <v>2740000</v>
      </c>
      <c r="AG77">
        <v>2001</v>
      </c>
      <c r="AH77">
        <v>213</v>
      </c>
      <c r="AI77">
        <v>3</v>
      </c>
    </row>
    <row r="78" spans="1:35">
      <c r="A78" t="s">
        <v>5548</v>
      </c>
      <c r="B78" t="s">
        <v>5561</v>
      </c>
      <c r="C78" t="s">
        <v>579</v>
      </c>
      <c r="D78" t="s">
        <v>5709</v>
      </c>
      <c r="E78" t="s">
        <v>5563</v>
      </c>
      <c r="F78" t="s">
        <v>164</v>
      </c>
      <c r="G78">
        <v>278</v>
      </c>
      <c r="I78">
        <f t="shared" si="9"/>
        <v>278</v>
      </c>
      <c r="J78">
        <v>428</v>
      </c>
      <c r="K78" s="23">
        <v>1.13076537714447</v>
      </c>
      <c r="L78" s="23">
        <v>1.18723530021177</v>
      </c>
      <c r="M78" s="23">
        <v>1</v>
      </c>
      <c r="N78">
        <v>1</v>
      </c>
      <c r="O78">
        <v>1</v>
      </c>
      <c r="P78" s="18">
        <v>211.626122550884</v>
      </c>
      <c r="Q78" s="24">
        <f>IF($I78="","",IFERROR(INDEX(_玩家曲线!$H$2:$H$286,MATCH($I78,_玩家曲线!$A$2:$A$286,0)),""))</f>
        <v>2485348.50314207</v>
      </c>
      <c r="R78" s="24">
        <f>IF($I78="","",IFERROR(INDEX(_玩家曲线!$I$2:$I$286,MATCH($I78,_玩家曲线!$A$2:$A$286,0)),""))</f>
        <v>2960774.85867836</v>
      </c>
      <c r="S78" s="24">
        <f>IF(OR($J78="",$F78="不适用"),"",IFERROR(INDEX(_怪物模型!$D$2:$D$4501,(INT($J78)-1)*ROWS(_怪物类型!$A$2:$A$10)+MATCH($F78,_怪物类型!$A$2:$A$10,0))*IF($K78="",1,$K78),""))</f>
        <v>165166132.463428</v>
      </c>
      <c r="T78" s="24">
        <f>IF(OR($J78="",$F78="不适用"),"",IFERROR(INDEX(_怪物模型!$E$2:$E$4501,(INT($J78)-1)*ROWS(_怪物类型!$A$2:$A$10)+MATCH($F78,_怪物类型!$A$2:$A$10,0))*IF($L78="",1,$L78),""))</f>
        <v>123698.045929064</v>
      </c>
      <c r="U78" s="24">
        <f>IF(OR($J78="",$F78="不适用"),"",IFERROR(INDEX(_怪物模型!$F$2:$F$4501,(INT($J78)-1)*ROWS(_怪物类型!$A$2:$A$10)+MATCH($F78,_怪物类型!$A$2:$A$10,0))*IF($M78="",1,$M78),""))</f>
        <v>52427</v>
      </c>
      <c r="V78" s="6">
        <f t="shared" si="10"/>
        <v>0.685974851819383</v>
      </c>
      <c r="W78" s="24">
        <f t="shared" si="11"/>
        <v>525964666.907601</v>
      </c>
      <c r="X78" s="18">
        <f t="shared" si="12"/>
        <v>211.626122550884</v>
      </c>
      <c r="Y78" s="18">
        <f t="shared" si="13"/>
        <v>23.9355022663514</v>
      </c>
      <c r="Z78" s="18">
        <f t="shared" si="14"/>
        <v>1</v>
      </c>
      <c r="AA78" t="str">
        <f t="shared" si="15"/>
        <v>生存不成立</v>
      </c>
      <c r="AB78" t="str">
        <f t="shared" si="16"/>
        <v>有效</v>
      </c>
      <c r="AC78" t="str">
        <f t="shared" si="17"/>
        <v>不降</v>
      </c>
      <c r="AD78" t="s">
        <v>5710</v>
      </c>
      <c r="AE78" s="4">
        <v>1600000</v>
      </c>
      <c r="AF78" s="4">
        <f>INDEX(_统一战力!$B$2:$B$501,J78)</f>
        <v>2780000</v>
      </c>
      <c r="AG78">
        <v>2001</v>
      </c>
      <c r="AH78">
        <v>214</v>
      </c>
      <c r="AI78">
        <v>3</v>
      </c>
    </row>
    <row r="79" spans="1:35">
      <c r="A79" t="s">
        <v>5548</v>
      </c>
      <c r="B79" t="s">
        <v>5561</v>
      </c>
      <c r="C79" t="s">
        <v>579</v>
      </c>
      <c r="D79" t="s">
        <v>5711</v>
      </c>
      <c r="E79" t="s">
        <v>5563</v>
      </c>
      <c r="F79" t="s">
        <v>164</v>
      </c>
      <c r="G79">
        <v>278</v>
      </c>
      <c r="I79">
        <f t="shared" si="9"/>
        <v>278</v>
      </c>
      <c r="J79">
        <v>433</v>
      </c>
      <c r="K79" s="23">
        <v>1.11955250865554</v>
      </c>
      <c r="L79" s="23">
        <v>1.18194397276598</v>
      </c>
      <c r="M79" s="23">
        <v>1</v>
      </c>
      <c r="N79">
        <v>1</v>
      </c>
      <c r="O79">
        <v>1</v>
      </c>
      <c r="P79" s="18">
        <v>220.50722290242</v>
      </c>
      <c r="Q79" s="24">
        <f>IF($I79="","",IFERROR(INDEX(_玩家曲线!$H$2:$H$286,MATCH($I79,_玩家曲线!$A$2:$A$286,0)),""))</f>
        <v>2485348.50314207</v>
      </c>
      <c r="R79" s="24">
        <f>IF($I79="","",IFERROR(INDEX(_玩家曲线!$I$2:$I$286,MATCH($I79,_玩家曲线!$A$2:$A$286,0)),""))</f>
        <v>2960774.85867836</v>
      </c>
      <c r="S79" s="24">
        <f>IF(OR($J79="",$F79="不适用"),"",IFERROR(INDEX(_怪物模型!$D$2:$D$4501,(INT($J79)-1)*ROWS(_怪物类型!$A$2:$A$10)+MATCH($F79,_怪物类型!$A$2:$A$10,0))*IF($K79="",1,$K79),""))</f>
        <v>170184705.029903</v>
      </c>
      <c r="T79" s="24">
        <f>IF(OR($J79="",$F79="不适用"),"",IFERROR(INDEX(_怪物模型!$E$2:$E$4501,(INT($J79)-1)*ROWS(_怪物类型!$A$2:$A$10)+MATCH($F79,_怪物类型!$A$2:$A$10,0))*IF($L79="",1,$L79),""))</f>
        <v>126793.03967847</v>
      </c>
      <c r="U79" s="24">
        <f>IF(OR($J79="",$F79="不适用"),"",IFERROR(INDEX(_怪物模型!$F$2:$F$4501,(INT($J79)-1)*ROWS(_怪物类型!$A$2:$A$10)+MATCH($F79,_怪物类型!$A$2:$A$10,0))*IF($M79="",1,$M79),""))</f>
        <v>53286</v>
      </c>
      <c r="V79" s="6">
        <f t="shared" si="10"/>
        <v>0.689465103641022</v>
      </c>
      <c r="W79" s="24">
        <f t="shared" si="11"/>
        <v>548037296.372545</v>
      </c>
      <c r="X79" s="18">
        <f t="shared" si="12"/>
        <v>220.50722290242</v>
      </c>
      <c r="Y79" s="18">
        <f t="shared" si="13"/>
        <v>23.3512412525678</v>
      </c>
      <c r="Z79" s="18">
        <f t="shared" si="14"/>
        <v>1</v>
      </c>
      <c r="AA79" t="str">
        <f t="shared" si="15"/>
        <v>生存不成立</v>
      </c>
      <c r="AB79" t="str">
        <f t="shared" si="16"/>
        <v>有效</v>
      </c>
      <c r="AC79" t="str">
        <f t="shared" si="17"/>
        <v>不降</v>
      </c>
      <c r="AD79" t="s">
        <v>5712</v>
      </c>
      <c r="AE79" s="4">
        <v>1600000</v>
      </c>
      <c r="AF79" s="4">
        <f>INDEX(_统一战力!$B$2:$B$501,J79)</f>
        <v>2840000</v>
      </c>
      <c r="AG79">
        <v>2001</v>
      </c>
      <c r="AH79">
        <v>215</v>
      </c>
      <c r="AI79">
        <v>3</v>
      </c>
    </row>
    <row r="80" spans="1:35">
      <c r="A80" t="s">
        <v>5548</v>
      </c>
      <c r="B80" t="s">
        <v>5561</v>
      </c>
      <c r="C80" t="s">
        <v>579</v>
      </c>
      <c r="D80" t="s">
        <v>5713</v>
      </c>
      <c r="E80" t="s">
        <v>5563</v>
      </c>
      <c r="F80" t="s">
        <v>164</v>
      </c>
      <c r="G80">
        <v>278</v>
      </c>
      <c r="I80">
        <f t="shared" si="9"/>
        <v>278</v>
      </c>
      <c r="J80">
        <v>436</v>
      </c>
      <c r="K80" s="23">
        <v>1.11978234233823</v>
      </c>
      <c r="L80" s="23">
        <v>1.18311309448798</v>
      </c>
      <c r="M80" s="23">
        <v>1</v>
      </c>
      <c r="N80">
        <v>1</v>
      </c>
      <c r="O80">
        <v>1</v>
      </c>
      <c r="P80" s="18">
        <v>227.379138047711</v>
      </c>
      <c r="Q80" s="24">
        <f>IF($I80="","",IFERROR(INDEX(_玩家曲线!$H$2:$H$286,MATCH($I80,_玩家曲线!$A$2:$A$286,0)),""))</f>
        <v>2485348.50314207</v>
      </c>
      <c r="R80" s="24">
        <f>IF($I80="","",IFERROR(INDEX(_玩家曲线!$I$2:$I$286,MATCH($I80,_玩家曲线!$A$2:$A$286,0)),""))</f>
        <v>2960774.85867836</v>
      </c>
      <c r="S80" s="24">
        <f>IF(OR($J80="",$F80="不适用"),"",IFERROR(INDEX(_怪物模型!$D$2:$D$4501,(INT($J80)-1)*ROWS(_怪物类型!$A$2:$A$10)+MATCH($F80,_怪物类型!$A$2:$A$10,0))*IF($K80="",1,$K80),""))</f>
        <v>174320004.234006</v>
      </c>
      <c r="T80" s="24">
        <f>IF(OR($J80="",$F80="不适用"),"",IFERROR(INDEX(_怪物模型!$E$2:$E$4501,(INT($J80)-1)*ROWS(_怪物类型!$A$2:$A$10)+MATCH($F80,_怪物类型!$A$2:$A$10,0))*IF($L80="",1,$L80),""))</f>
        <v>129152.174733591</v>
      </c>
      <c r="U80" s="24">
        <f>IF(OR($J80="",$F80="不适用"),"",IFERROR(INDEX(_怪物模型!$F$2:$F$4501,(INT($J80)-1)*ROWS(_怪物类型!$A$2:$A$10)+MATCH($F80,_怪物类型!$A$2:$A$10,0))*IF($M80="",1,$M80),""))</f>
        <v>53804</v>
      </c>
      <c r="V80" s="6">
        <f t="shared" si="10"/>
        <v>0.691532569019588</v>
      </c>
      <c r="W80" s="24">
        <f t="shared" si="11"/>
        <v>565116400.392609</v>
      </c>
      <c r="X80" s="18">
        <f t="shared" si="12"/>
        <v>227.37913804771</v>
      </c>
      <c r="Y80" s="18">
        <f t="shared" si="13"/>
        <v>22.9246999888751</v>
      </c>
      <c r="Z80" s="18">
        <f t="shared" si="14"/>
        <v>0.999999999999994</v>
      </c>
      <c r="AA80" t="str">
        <f t="shared" si="15"/>
        <v>生存不成立</v>
      </c>
      <c r="AB80" t="str">
        <f t="shared" si="16"/>
        <v>有效</v>
      </c>
      <c r="AC80" t="str">
        <f t="shared" si="17"/>
        <v>不降</v>
      </c>
      <c r="AD80" t="s">
        <v>5714</v>
      </c>
      <c r="AE80" s="4">
        <v>1600000</v>
      </c>
      <c r="AF80" s="4">
        <f>INDEX(_统一战力!$B$2:$B$501,J80)</f>
        <v>2880000</v>
      </c>
      <c r="AG80">
        <v>2001</v>
      </c>
      <c r="AH80">
        <v>216</v>
      </c>
      <c r="AI80">
        <v>3</v>
      </c>
    </row>
    <row r="81" spans="1:35">
      <c r="A81" t="s">
        <v>5548</v>
      </c>
      <c r="B81" t="s">
        <v>5561</v>
      </c>
      <c r="C81" t="s">
        <v>579</v>
      </c>
      <c r="D81" t="s">
        <v>5715</v>
      </c>
      <c r="E81" t="s">
        <v>5563</v>
      </c>
      <c r="F81" t="s">
        <v>164</v>
      </c>
      <c r="G81">
        <v>278</v>
      </c>
      <c r="I81">
        <f t="shared" si="9"/>
        <v>278</v>
      </c>
      <c r="J81">
        <v>439</v>
      </c>
      <c r="K81" s="23">
        <v>1.12001419313272</v>
      </c>
      <c r="L81" s="23">
        <v>1.18424017176307</v>
      </c>
      <c r="M81" s="23">
        <v>1</v>
      </c>
      <c r="N81">
        <v>1</v>
      </c>
      <c r="O81">
        <v>1</v>
      </c>
      <c r="P81" s="18">
        <v>234.437699775448</v>
      </c>
      <c r="Q81" s="24">
        <f>IF($I81="","",IFERROR(INDEX(_玩家曲线!$H$2:$H$286,MATCH($I81,_玩家曲线!$A$2:$A$286,0)),""))</f>
        <v>2485348.50314207</v>
      </c>
      <c r="R81" s="24">
        <f>IF($I81="","",IFERROR(INDEX(_玩家曲线!$I$2:$I$286,MATCH($I81,_玩家曲线!$A$2:$A$286,0)),""))</f>
        <v>2960774.85867836</v>
      </c>
      <c r="S81" s="24">
        <f>IF(OR($J81="",$F81="不适用"),"",IFERROR(INDEX(_怪物模型!$D$2:$D$4501,(INT($J81)-1)*ROWS(_怪物类型!$A$2:$A$10)+MATCH($F81,_怪物类型!$A$2:$A$10,0))*IF($K81="",1,$K81),""))</f>
        <v>178538190.965829</v>
      </c>
      <c r="T81" s="24">
        <f>IF(OR($J81="",$F81="不适用"),"",IFERROR(INDEX(_怪物模型!$E$2:$E$4501,(INT($J81)-1)*ROWS(_怪物类型!$A$2:$A$10)+MATCH($F81,_怪物类型!$A$2:$A$10,0))*IF($L81="",1,$L81),""))</f>
        <v>131544.21403927</v>
      </c>
      <c r="U81" s="24">
        <f>IF(OR($J81="",$F81="不适用"),"",IFERROR(INDEX(_怪物模型!$F$2:$F$4501,(INT($J81)-1)*ROWS(_怪物类型!$A$2:$A$10)+MATCH($F81,_怪物类型!$A$2:$A$10,0))*IF($M81="",1,$M81),""))</f>
        <v>54324</v>
      </c>
      <c r="V81" s="6">
        <f t="shared" si="10"/>
        <v>0.693580511720545</v>
      </c>
      <c r="W81" s="24">
        <f t="shared" si="11"/>
        <v>582659386.216982</v>
      </c>
      <c r="X81" s="18">
        <f t="shared" si="12"/>
        <v>234.437699775449</v>
      </c>
      <c r="Y81" s="18">
        <f t="shared" si="13"/>
        <v>22.5078303922549</v>
      </c>
      <c r="Z81" s="18">
        <f t="shared" si="14"/>
        <v>1</v>
      </c>
      <c r="AA81" t="str">
        <f t="shared" si="15"/>
        <v>生存不成立</v>
      </c>
      <c r="AB81" t="str">
        <f t="shared" si="16"/>
        <v>有效</v>
      </c>
      <c r="AC81" t="str">
        <f t="shared" si="17"/>
        <v>不降</v>
      </c>
      <c r="AD81" t="s">
        <v>5716</v>
      </c>
      <c r="AE81" s="4">
        <v>1600000</v>
      </c>
      <c r="AF81" s="4">
        <f>INDEX(_统一战力!$B$2:$B$501,J81)</f>
        <v>2920000</v>
      </c>
      <c r="AG81">
        <v>2001</v>
      </c>
      <c r="AH81">
        <v>217</v>
      </c>
      <c r="AI81">
        <v>3</v>
      </c>
    </row>
    <row r="82" spans="1:35">
      <c r="A82" t="s">
        <v>5548</v>
      </c>
      <c r="B82" t="s">
        <v>5561</v>
      </c>
      <c r="C82" t="s">
        <v>579</v>
      </c>
      <c r="D82" t="s">
        <v>5717</v>
      </c>
      <c r="E82" t="s">
        <v>5563</v>
      </c>
      <c r="F82" t="s">
        <v>164</v>
      </c>
      <c r="G82">
        <v>278</v>
      </c>
      <c r="I82">
        <f t="shared" si="9"/>
        <v>278</v>
      </c>
      <c r="J82">
        <v>442</v>
      </c>
      <c r="K82" s="23">
        <v>1.12023251984879</v>
      </c>
      <c r="L82" s="23">
        <v>1.18533366181084</v>
      </c>
      <c r="M82" s="23">
        <v>1</v>
      </c>
      <c r="N82">
        <v>1</v>
      </c>
      <c r="O82">
        <v>1</v>
      </c>
      <c r="P82" s="18">
        <v>241.683904963896</v>
      </c>
      <c r="Q82" s="24">
        <f>IF($I82="","",IFERROR(INDEX(_玩家曲线!$H$2:$H$286,MATCH($I82,_玩家曲线!$A$2:$A$286,0)),""))</f>
        <v>2485348.50314207</v>
      </c>
      <c r="R82" s="24">
        <f>IF($I82="","",IFERROR(INDEX(_玩家曲线!$I$2:$I$286,MATCH($I82,_玩家曲线!$A$2:$A$286,0)),""))</f>
        <v>2960774.85867836</v>
      </c>
      <c r="S82" s="24">
        <f>IF(OR($J82="",$F82="不适用"),"",IFERROR(INDEX(_怪物模型!$D$2:$D$4501,(INT($J82)-1)*ROWS(_怪物类型!$A$2:$A$10)+MATCH($F82,_怪物类型!$A$2:$A$10,0))*IF($K82="",1,$K82),""))</f>
        <v>182838058.423423</v>
      </c>
      <c r="T82" s="24">
        <f>IF(OR($J82="",$F82="不适用"),"",IFERROR(INDEX(_怪物模型!$E$2:$E$4501,(INT($J82)-1)*ROWS(_怪物类型!$A$2:$A$10)+MATCH($F82,_怪物类型!$A$2:$A$10,0))*IF($L82="",1,$L82),""))</f>
        <v>133971.151792508</v>
      </c>
      <c r="U82" s="24">
        <f>IF(OR($J82="",$F82="不适用"),"",IFERROR(INDEX(_怪物模型!$F$2:$F$4501,(INT($J82)-1)*ROWS(_怪物类型!$A$2:$A$10)+MATCH($F82,_怪物类型!$A$2:$A$10,0))*IF($M82="",1,$M82),""))</f>
        <v>54846</v>
      </c>
      <c r="V82" s="6">
        <f t="shared" si="10"/>
        <v>0.695609162164219</v>
      </c>
      <c r="W82" s="24">
        <f t="shared" si="11"/>
        <v>600668731.43555</v>
      </c>
      <c r="X82" s="18">
        <f t="shared" si="12"/>
        <v>241.683904963896</v>
      </c>
      <c r="Y82" s="18">
        <f t="shared" si="13"/>
        <v>22.100092587574</v>
      </c>
      <c r="Z82" s="18">
        <f t="shared" si="14"/>
        <v>1</v>
      </c>
      <c r="AA82" t="str">
        <f t="shared" si="15"/>
        <v>生存不成立</v>
      </c>
      <c r="AB82" t="str">
        <f t="shared" si="16"/>
        <v>有效</v>
      </c>
      <c r="AC82" t="str">
        <f t="shared" si="17"/>
        <v>不降</v>
      </c>
      <c r="AD82" t="s">
        <v>5718</v>
      </c>
      <c r="AE82" s="4">
        <v>1600000</v>
      </c>
      <c r="AF82" s="4">
        <f>INDEX(_统一战力!$B$2:$B$501,J82)</f>
        <v>2960000</v>
      </c>
      <c r="AG82">
        <v>2001</v>
      </c>
      <c r="AH82">
        <v>218</v>
      </c>
      <c r="AI82">
        <v>3</v>
      </c>
    </row>
    <row r="83" spans="1:35">
      <c r="A83" t="s">
        <v>5548</v>
      </c>
      <c r="B83" t="s">
        <v>5561</v>
      </c>
      <c r="C83" t="s">
        <v>579</v>
      </c>
      <c r="D83" t="s">
        <v>5719</v>
      </c>
      <c r="E83" t="s">
        <v>5563</v>
      </c>
      <c r="F83" t="s">
        <v>164</v>
      </c>
      <c r="G83">
        <v>278</v>
      </c>
      <c r="I83">
        <f t="shared" si="9"/>
        <v>278</v>
      </c>
      <c r="J83">
        <v>445</v>
      </c>
      <c r="K83" s="23">
        <v>1.12045299541737</v>
      </c>
      <c r="L83" s="23">
        <v>1.18638741703093</v>
      </c>
      <c r="M83" s="23">
        <v>1</v>
      </c>
      <c r="N83">
        <v>1</v>
      </c>
      <c r="O83">
        <v>1</v>
      </c>
      <c r="P83" s="18">
        <v>249.12549856601</v>
      </c>
      <c r="Q83" s="24">
        <f>IF($I83="","",IFERROR(INDEX(_玩家曲线!$H$2:$H$286,MATCH($I83,_玩家曲线!$A$2:$A$286,0)),""))</f>
        <v>2485348.50314207</v>
      </c>
      <c r="R83" s="24">
        <f>IF($I83="","",IFERROR(INDEX(_玩家曲线!$I$2:$I$286,MATCH($I83,_玩家曲线!$A$2:$A$286,0)),""))</f>
        <v>2960774.85867836</v>
      </c>
      <c r="S83" s="24">
        <f>IF(OR($J83="",$F83="不适用"),"",IFERROR(INDEX(_怪物模型!$D$2:$D$4501,(INT($J83)-1)*ROWS(_怪物类型!$A$2:$A$10)+MATCH($F83,_怪物类型!$A$2:$A$10,0))*IF($K83="",1,$K83),""))</f>
        <v>187223490.474151</v>
      </c>
      <c r="T83" s="24">
        <f>IF(OR($J83="",$F83="不适用"),"",IFERROR(INDEX(_怪物模型!$E$2:$E$4501,(INT($J83)-1)*ROWS(_怪物类型!$A$2:$A$10)+MATCH($F83,_怪物类型!$A$2:$A$10,0))*IF($L83="",1,$L83),""))</f>
        <v>136430.993796306</v>
      </c>
      <c r="U83" s="24">
        <f>IF(OR($J83="",$F83="不适用"),"",IFERROR(INDEX(_怪物模型!$F$2:$F$4501,(INT($J83)-1)*ROWS(_怪物类型!$A$2:$A$10)+MATCH($F83,_怪物类型!$A$2:$A$10,0))*IF($M83="",1,$M83),""))</f>
        <v>55370</v>
      </c>
      <c r="V83" s="6">
        <f t="shared" si="10"/>
        <v>0.697618747637646</v>
      </c>
      <c r="W83" s="24">
        <f t="shared" si="11"/>
        <v>619163684.955556</v>
      </c>
      <c r="X83" s="18">
        <f t="shared" si="12"/>
        <v>249.12549856601</v>
      </c>
      <c r="Y83" s="18">
        <f t="shared" si="13"/>
        <v>21.701629346033</v>
      </c>
      <c r="Z83" s="18">
        <f t="shared" si="14"/>
        <v>1</v>
      </c>
      <c r="AA83" t="str">
        <f t="shared" si="15"/>
        <v>生存不成立</v>
      </c>
      <c r="AB83" t="str">
        <f t="shared" si="16"/>
        <v>有效</v>
      </c>
      <c r="AC83" t="str">
        <f t="shared" si="17"/>
        <v>不降</v>
      </c>
      <c r="AD83" t="s">
        <v>5720</v>
      </c>
      <c r="AE83" s="4">
        <v>1600000</v>
      </c>
      <c r="AF83" s="4">
        <f>INDEX(_统一战力!$B$2:$B$501,J83)</f>
        <v>3000000</v>
      </c>
      <c r="AG83">
        <v>2001</v>
      </c>
      <c r="AH83">
        <v>219</v>
      </c>
      <c r="AI83">
        <v>3</v>
      </c>
    </row>
    <row r="84" spans="1:35">
      <c r="A84" t="s">
        <v>5548</v>
      </c>
      <c r="B84" t="s">
        <v>5561</v>
      </c>
      <c r="C84" t="s">
        <v>579</v>
      </c>
      <c r="D84" t="s">
        <v>5721</v>
      </c>
      <c r="E84" t="s">
        <v>5563</v>
      </c>
      <c r="F84" t="s">
        <v>164</v>
      </c>
      <c r="G84">
        <v>278</v>
      </c>
      <c r="I84">
        <f t="shared" si="9"/>
        <v>278</v>
      </c>
      <c r="J84">
        <v>448</v>
      </c>
      <c r="K84" s="23">
        <v>1.12067505540405</v>
      </c>
      <c r="L84" s="23">
        <v>1.18739943801421</v>
      </c>
      <c r="M84" s="23">
        <v>1</v>
      </c>
      <c r="N84">
        <v>1</v>
      </c>
      <c r="O84">
        <v>1</v>
      </c>
      <c r="P84" s="18">
        <v>256.766984306347</v>
      </c>
      <c r="Q84" s="24">
        <f>IF($I84="","",IFERROR(INDEX(_玩家曲线!$H$2:$H$286,MATCH($I84,_玩家曲线!$A$2:$A$286,0)),""))</f>
        <v>2485348.50314207</v>
      </c>
      <c r="R84" s="24">
        <f>IF($I84="","",IFERROR(INDEX(_玩家曲线!$I$2:$I$286,MATCH($I84,_玩家曲线!$A$2:$A$286,0)),""))</f>
        <v>2960774.85867836</v>
      </c>
      <c r="S84" s="24">
        <f>IF(OR($J84="",$F84="不适用"),"",IFERROR(INDEX(_怪物模型!$D$2:$D$4501,(INT($J84)-1)*ROWS(_怪物类型!$A$2:$A$10)+MATCH($F84,_怪物类型!$A$2:$A$10,0))*IF($K84="",1,$K84),""))</f>
        <v>191695836.618229</v>
      </c>
      <c r="T84" s="24">
        <f>IF(OR($J84="",$F84="不适用"),"",IFERROR(INDEX(_怪物模型!$E$2:$E$4501,(INT($J84)-1)*ROWS(_怪物类型!$A$2:$A$10)+MATCH($F84,_怪物类型!$A$2:$A$10,0))*IF($L84="",1,$L84),""))</f>
        <v>138925.734247663</v>
      </c>
      <c r="U84" s="24">
        <f>IF(OR($J84="",$F84="不适用"),"",IFERROR(INDEX(_怪物模型!$F$2:$F$4501,(INT($J84)-1)*ROWS(_怪物类型!$A$2:$A$10)+MATCH($F84,_怪物类型!$A$2:$A$10,0))*IF($M84="",1,$M84),""))</f>
        <v>55896</v>
      </c>
      <c r="V84" s="6">
        <f t="shared" si="10"/>
        <v>0.699609492340042</v>
      </c>
      <c r="W84" s="24">
        <f t="shared" si="11"/>
        <v>638155440.102084</v>
      </c>
      <c r="X84" s="18">
        <f t="shared" si="12"/>
        <v>256.766984306347</v>
      </c>
      <c r="Y84" s="18">
        <f t="shared" si="13"/>
        <v>21.3119252146632</v>
      </c>
      <c r="Z84" s="18">
        <f t="shared" si="14"/>
        <v>1</v>
      </c>
      <c r="AA84" t="str">
        <f t="shared" si="15"/>
        <v>生存不成立</v>
      </c>
      <c r="AB84" t="str">
        <f t="shared" si="16"/>
        <v>有效</v>
      </c>
      <c r="AC84" t="str">
        <f t="shared" si="17"/>
        <v>不降</v>
      </c>
      <c r="AD84" t="s">
        <v>5722</v>
      </c>
      <c r="AE84" s="4">
        <v>1600000</v>
      </c>
      <c r="AF84" s="4">
        <f>INDEX(_统一战力!$B$2:$B$501,J84)</f>
        <v>3040000</v>
      </c>
      <c r="AG84">
        <v>2001</v>
      </c>
      <c r="AH84">
        <v>220</v>
      </c>
      <c r="AI84">
        <v>3</v>
      </c>
    </row>
    <row r="85" spans="1:35">
      <c r="A85" t="s">
        <v>5548</v>
      </c>
      <c r="B85" t="s">
        <v>5561</v>
      </c>
      <c r="C85" t="s">
        <v>579</v>
      </c>
      <c r="D85" t="s">
        <v>5723</v>
      </c>
      <c r="E85" t="s">
        <v>5563</v>
      </c>
      <c r="F85" t="s">
        <v>164</v>
      </c>
      <c r="G85">
        <v>278</v>
      </c>
      <c r="I85">
        <f t="shared" si="9"/>
        <v>278</v>
      </c>
      <c r="J85">
        <v>451</v>
      </c>
      <c r="K85" s="23">
        <v>1.12088418435316</v>
      </c>
      <c r="L85" s="23">
        <v>1.18836268974217</v>
      </c>
      <c r="M85" s="23">
        <v>1</v>
      </c>
      <c r="N85">
        <v>1</v>
      </c>
      <c r="O85">
        <v>1</v>
      </c>
      <c r="P85" s="18">
        <v>264.60947380342</v>
      </c>
      <c r="Q85" s="24">
        <f>IF($I85="","",IFERROR(INDEX(_玩家曲线!$H$2:$H$286,MATCH($I85,_玩家曲线!$A$2:$A$286,0)),""))</f>
        <v>2485348.50314207</v>
      </c>
      <c r="R85" s="24">
        <f>IF($I85="","",IFERROR(INDEX(_玩家曲线!$I$2:$I$286,MATCH($I85,_玩家曲线!$A$2:$A$286,0)),""))</f>
        <v>2960774.85867836</v>
      </c>
      <c r="S85" s="24">
        <f>IF(OR($J85="",$F85="不适用"),"",IFERROR(INDEX(_怪物模型!$D$2:$D$4501,(INT($J85)-1)*ROWS(_怪物类型!$A$2:$A$10)+MATCH($F85,_怪物类型!$A$2:$A$10,0))*IF($K85="",1,$K85),""))</f>
        <v>196253882.314098</v>
      </c>
      <c r="T85" s="24">
        <f>IF(OR($J85="",$F85="不适用"),"",IFERROR(INDEX(_怪物模型!$E$2:$E$4501,(INT($J85)-1)*ROWS(_怪物类型!$A$2:$A$10)+MATCH($F85,_怪物类型!$A$2:$A$10,0))*IF($L85="",1,$L85),""))</f>
        <v>141454.37604808</v>
      </c>
      <c r="U85" s="24">
        <f>IF(OR($J85="",$F85="不适用"),"",IFERROR(INDEX(_怪物模型!$F$2:$F$4501,(INT($J85)-1)*ROWS(_怪物类型!$A$2:$A$10)+MATCH($F85,_怪物类型!$A$2:$A$10,0))*IF($M85="",1,$M85),""))</f>
        <v>56424</v>
      </c>
      <c r="V85" s="6">
        <f t="shared" si="10"/>
        <v>0.701581617427634</v>
      </c>
      <c r="W85" s="24">
        <f t="shared" si="11"/>
        <v>657646759.634544</v>
      </c>
      <c r="X85" s="18">
        <f t="shared" si="12"/>
        <v>264.609473803421</v>
      </c>
      <c r="Y85" s="18">
        <f t="shared" si="13"/>
        <v>20.9309527311619</v>
      </c>
      <c r="Z85" s="18">
        <f t="shared" si="14"/>
        <v>1</v>
      </c>
      <c r="AA85" t="str">
        <f t="shared" si="15"/>
        <v>生存不成立</v>
      </c>
      <c r="AB85" t="str">
        <f t="shared" si="16"/>
        <v>有效</v>
      </c>
      <c r="AC85" t="str">
        <f t="shared" si="17"/>
        <v>不降</v>
      </c>
      <c r="AD85" t="s">
        <v>5724</v>
      </c>
      <c r="AE85" s="4">
        <v>1600000</v>
      </c>
      <c r="AF85" s="4">
        <f>INDEX(_统一战力!$B$2:$B$501,J85)</f>
        <v>3080000</v>
      </c>
      <c r="AG85">
        <v>2001</v>
      </c>
      <c r="AH85">
        <v>221</v>
      </c>
      <c r="AI85">
        <v>3</v>
      </c>
    </row>
    <row r="86" spans="1:35">
      <c r="A86" t="s">
        <v>5548</v>
      </c>
      <c r="B86" t="s">
        <v>5561</v>
      </c>
      <c r="C86" t="s">
        <v>579</v>
      </c>
      <c r="D86" t="s">
        <v>5725</v>
      </c>
      <c r="E86" t="s">
        <v>5563</v>
      </c>
      <c r="F86" t="s">
        <v>164</v>
      </c>
      <c r="G86">
        <v>278</v>
      </c>
      <c r="I86">
        <f t="shared" si="9"/>
        <v>278</v>
      </c>
      <c r="J86">
        <v>454</v>
      </c>
      <c r="K86" s="23">
        <v>1.12109541872429</v>
      </c>
      <c r="L86" s="23">
        <v>1.18929538047961</v>
      </c>
      <c r="M86" s="23">
        <v>1</v>
      </c>
      <c r="N86">
        <v>1</v>
      </c>
      <c r="O86">
        <v>1</v>
      </c>
      <c r="P86" s="18">
        <v>272.661151366749</v>
      </c>
      <c r="Q86" s="24">
        <f>IF($I86="","",IFERROR(INDEX(_玩家曲线!$H$2:$H$286,MATCH($I86,_玩家曲线!$A$2:$A$286,0)),""))</f>
        <v>2485348.50314207</v>
      </c>
      <c r="R86" s="24">
        <f>IF($I86="","",IFERROR(INDEX(_玩家曲线!$I$2:$I$286,MATCH($I86,_玩家曲线!$A$2:$A$286,0)),""))</f>
        <v>2960774.85867836</v>
      </c>
      <c r="S86" s="24">
        <f>IF(OR($J86="",$F86="不适用"),"",IFERROR(INDEX(_怪物模型!$D$2:$D$4501,(INT($J86)-1)*ROWS(_怪物类型!$A$2:$A$10)+MATCH($F86,_怪物类型!$A$2:$A$10,0))*IF($K86="",1,$K86),""))</f>
        <v>200901643.2288</v>
      </c>
      <c r="T86" s="24">
        <f>IF(OR($J86="",$F86="不适用"),"",IFERROR(INDEX(_怪物模型!$E$2:$E$4501,(INT($J86)-1)*ROWS(_怪物类型!$A$2:$A$10)+MATCH($F86,_怪物类型!$A$2:$A$10,0))*IF($L86="",1,$L86),""))</f>
        <v>144018.913394559</v>
      </c>
      <c r="U86" s="24">
        <f>IF(OR($J86="",$F86="不适用"),"",IFERROR(INDEX(_怪物模型!$F$2:$F$4501,(INT($J86)-1)*ROWS(_怪物类型!$A$2:$A$10)+MATCH($F86,_怪物类型!$A$2:$A$10,0))*IF($M86="",1,$M86),""))</f>
        <v>56954</v>
      </c>
      <c r="V86" s="6">
        <f t="shared" si="10"/>
        <v>0.703535341057885</v>
      </c>
      <c r="W86" s="24">
        <f t="shared" si="11"/>
        <v>677657984.414344</v>
      </c>
      <c r="X86" s="18">
        <f t="shared" si="12"/>
        <v>272.661151366749</v>
      </c>
      <c r="Y86" s="18">
        <f t="shared" si="13"/>
        <v>20.5582363377991</v>
      </c>
      <c r="Z86" s="18">
        <f t="shared" si="14"/>
        <v>1</v>
      </c>
      <c r="AA86" t="str">
        <f t="shared" si="15"/>
        <v>生存不成立</v>
      </c>
      <c r="AB86" t="str">
        <f t="shared" si="16"/>
        <v>有效</v>
      </c>
      <c r="AC86" t="str">
        <f t="shared" si="17"/>
        <v>不降</v>
      </c>
      <c r="AD86" t="s">
        <v>5726</v>
      </c>
      <c r="AE86" s="4">
        <v>1600000</v>
      </c>
      <c r="AF86" s="4">
        <f>INDEX(_统一战力!$B$2:$B$501,J86)</f>
        <v>3120000</v>
      </c>
      <c r="AG86">
        <v>2001</v>
      </c>
      <c r="AH86">
        <v>222</v>
      </c>
      <c r="AI86">
        <v>3</v>
      </c>
    </row>
    <row r="87" spans="1:35">
      <c r="A87" t="s">
        <v>5548</v>
      </c>
      <c r="B87" t="s">
        <v>5561</v>
      </c>
      <c r="C87" t="s">
        <v>579</v>
      </c>
      <c r="D87" t="s">
        <v>5727</v>
      </c>
      <c r="E87" t="s">
        <v>5563</v>
      </c>
      <c r="F87" t="s">
        <v>164</v>
      </c>
      <c r="G87">
        <v>278</v>
      </c>
      <c r="I87">
        <f t="shared" si="9"/>
        <v>278</v>
      </c>
      <c r="J87">
        <v>457</v>
      </c>
      <c r="K87" s="23">
        <v>1.12129372043793</v>
      </c>
      <c r="L87" s="23">
        <v>1.19019027014262</v>
      </c>
      <c r="M87" s="23">
        <v>1</v>
      </c>
      <c r="N87">
        <v>1</v>
      </c>
      <c r="O87">
        <v>1</v>
      </c>
      <c r="P87" s="18">
        <v>280.923086546106</v>
      </c>
      <c r="Q87" s="24">
        <f>IF($I87="","",IFERROR(INDEX(_玩家曲线!$H$2:$H$286,MATCH($I87,_玩家曲线!$A$2:$A$286,0)),""))</f>
        <v>2485348.50314207</v>
      </c>
      <c r="R87" s="24">
        <f>IF($I87="","",IFERROR(INDEX(_玩家曲线!$I$2:$I$286,MATCH($I87,_玩家曲线!$A$2:$A$286,0)),""))</f>
        <v>2960774.85867836</v>
      </c>
      <c r="S87" s="24">
        <f>IF(OR($J87="",$F87="不适用"),"",IFERROR(INDEX(_怪物模型!$D$2:$D$4501,(INT($J87)-1)*ROWS(_怪物类型!$A$2:$A$10)+MATCH($F87,_怪物类型!$A$2:$A$10,0))*IF($K87="",1,$K87),""))</f>
        <v>205637809.482488</v>
      </c>
      <c r="T87" s="24">
        <f>IF(OR($J87="",$F87="不适用"),"",IFERROR(INDEX(_怪物模型!$E$2:$E$4501,(INT($J87)-1)*ROWS(_怪物类型!$A$2:$A$10)+MATCH($F87,_怪物类型!$A$2:$A$10,0))*IF($L87="",1,$L87),""))</f>
        <v>146618.349188599</v>
      </c>
      <c r="U87" s="24">
        <f>IF(OR($J87="",$F87="不适用"),"",IFERROR(INDEX(_怪物模型!$F$2:$F$4501,(INT($J87)-1)*ROWS(_怪物类型!$A$2:$A$10)+MATCH($F87,_怪物类型!$A$2:$A$10,0))*IF($M87="",1,$M87),""))</f>
        <v>57486</v>
      </c>
      <c r="V87" s="6">
        <f t="shared" si="10"/>
        <v>0.705470878433105</v>
      </c>
      <c r="W87" s="24">
        <f t="shared" si="11"/>
        <v>698191772.645417</v>
      </c>
      <c r="X87" s="18">
        <f t="shared" si="12"/>
        <v>280.923086546107</v>
      </c>
      <c r="Y87" s="18">
        <f t="shared" si="13"/>
        <v>20.1937538859467</v>
      </c>
      <c r="Z87" s="18">
        <f t="shared" si="14"/>
        <v>1</v>
      </c>
      <c r="AA87" t="str">
        <f t="shared" si="15"/>
        <v>生存不成立</v>
      </c>
      <c r="AB87" t="str">
        <f t="shared" si="16"/>
        <v>有效</v>
      </c>
      <c r="AC87" t="str">
        <f t="shared" si="17"/>
        <v>不降</v>
      </c>
      <c r="AD87" t="s">
        <v>5728</v>
      </c>
      <c r="AE87" s="4">
        <v>1600000</v>
      </c>
      <c r="AF87" s="4">
        <f>INDEX(_统一战力!$B$2:$B$501,J87)</f>
        <v>3160000</v>
      </c>
      <c r="AG87">
        <v>2001</v>
      </c>
      <c r="AH87">
        <v>223</v>
      </c>
      <c r="AI87">
        <v>3</v>
      </c>
    </row>
    <row r="88" spans="1:35">
      <c r="A88" t="s">
        <v>5548</v>
      </c>
      <c r="B88" t="s">
        <v>5561</v>
      </c>
      <c r="C88" t="s">
        <v>579</v>
      </c>
      <c r="D88" t="s">
        <v>5729</v>
      </c>
      <c r="E88" t="s">
        <v>5563</v>
      </c>
      <c r="F88" t="s">
        <v>164</v>
      </c>
      <c r="G88">
        <v>278</v>
      </c>
      <c r="I88">
        <f t="shared" si="9"/>
        <v>278</v>
      </c>
      <c r="J88">
        <v>460</v>
      </c>
      <c r="K88" s="23">
        <v>1.12149578801445</v>
      </c>
      <c r="L88" s="23">
        <v>1.19103755788422</v>
      </c>
      <c r="M88" s="23">
        <v>1</v>
      </c>
      <c r="N88">
        <v>1</v>
      </c>
      <c r="O88">
        <v>1</v>
      </c>
      <c r="P88" s="18">
        <v>289.407844875535</v>
      </c>
      <c r="Q88" s="24">
        <f>IF($I88="","",IFERROR(INDEX(_玩家曲线!$H$2:$H$286,MATCH($I88,_玩家曲线!$A$2:$A$286,0)),""))</f>
        <v>2485348.50314207</v>
      </c>
      <c r="R88" s="24">
        <f>IF($I88="","",IFERROR(INDEX(_玩家曲线!$I$2:$I$286,MATCH($I88,_玩家曲线!$A$2:$A$286,0)),""))</f>
        <v>2960774.85867836</v>
      </c>
      <c r="S88" s="24">
        <f>IF(OR($J88="",$F88="不适用"),"",IFERROR(INDEX(_怪物模型!$D$2:$D$4501,(INT($J88)-1)*ROWS(_怪物类型!$A$2:$A$10)+MATCH($F88,_怪物类型!$A$2:$A$10,0))*IF($K88="",1,$K88),""))</f>
        <v>210466886.497551</v>
      </c>
      <c r="T88" s="24">
        <f>IF(OR($J88="",$F88="不适用"),"",IFERROR(INDEX(_怪物模型!$E$2:$E$4501,(INT($J88)-1)*ROWS(_怪物类型!$A$2:$A$10)+MATCH($F88,_怪物类型!$A$2:$A$10,0))*IF($L88="",1,$L88),""))</f>
        <v>149253.680528703</v>
      </c>
      <c r="U88" s="24">
        <f>IF(OR($J88="",$F88="不适用"),"",IFERROR(INDEX(_怪物模型!$F$2:$F$4501,(INT($J88)-1)*ROWS(_怪物类型!$A$2:$A$10)+MATCH($F88,_怪物类型!$A$2:$A$10,0))*IF($M88="",1,$M88),""))</f>
        <v>58021</v>
      </c>
      <c r="V88" s="6">
        <f t="shared" si="10"/>
        <v>0.707392009363456</v>
      </c>
      <c r="W88" s="24">
        <f t="shared" si="11"/>
        <v>719279354.058985</v>
      </c>
      <c r="X88" s="18">
        <f t="shared" si="12"/>
        <v>289.407844875536</v>
      </c>
      <c r="Y88" s="18">
        <f t="shared" si="13"/>
        <v>19.8371983068717</v>
      </c>
      <c r="Z88" s="18">
        <f t="shared" si="14"/>
        <v>1</v>
      </c>
      <c r="AA88" t="str">
        <f t="shared" si="15"/>
        <v>生存不成立</v>
      </c>
      <c r="AB88" t="str">
        <f t="shared" si="16"/>
        <v>有效</v>
      </c>
      <c r="AC88" t="str">
        <f t="shared" si="17"/>
        <v>不降</v>
      </c>
      <c r="AD88" t="s">
        <v>5730</v>
      </c>
      <c r="AE88" s="4">
        <v>1600000</v>
      </c>
      <c r="AF88" s="4">
        <f>INDEX(_统一战力!$B$2:$B$501,J88)</f>
        <v>3200000</v>
      </c>
      <c r="AG88">
        <v>2001</v>
      </c>
      <c r="AH88">
        <v>224</v>
      </c>
      <c r="AI88">
        <v>3</v>
      </c>
    </row>
    <row r="89" spans="1:35">
      <c r="A89" t="s">
        <v>5548</v>
      </c>
      <c r="B89" t="s">
        <v>5561</v>
      </c>
      <c r="C89" t="s">
        <v>579</v>
      </c>
      <c r="D89" t="s">
        <v>5731</v>
      </c>
      <c r="E89" t="s">
        <v>5563</v>
      </c>
      <c r="F89" t="s">
        <v>164</v>
      </c>
      <c r="G89">
        <v>278</v>
      </c>
      <c r="I89">
        <f t="shared" si="9"/>
        <v>278</v>
      </c>
      <c r="J89">
        <v>463</v>
      </c>
      <c r="K89" s="23">
        <v>1.12168381285471</v>
      </c>
      <c r="L89" s="23">
        <v>1.19185768629917</v>
      </c>
      <c r="M89" s="23">
        <v>1</v>
      </c>
      <c r="N89">
        <v>1</v>
      </c>
      <c r="O89">
        <v>1</v>
      </c>
      <c r="P89" s="18">
        <v>298.10865571265</v>
      </c>
      <c r="Q89" s="24">
        <f>IF($I89="","",IFERROR(INDEX(_玩家曲线!$H$2:$H$286,MATCH($I89,_玩家曲线!$A$2:$A$286,0)),""))</f>
        <v>2485348.50314207</v>
      </c>
      <c r="R89" s="24">
        <f>IF($I89="","",IFERROR(INDEX(_玩家曲线!$I$2:$I$286,MATCH($I89,_玩家曲线!$A$2:$A$286,0)),""))</f>
        <v>2960774.85867836</v>
      </c>
      <c r="S89" s="24">
        <f>IF(OR($J89="",$F89="不适用"),"",IFERROR(INDEX(_怪物模型!$D$2:$D$4501,(INT($J89)-1)*ROWS(_怪物类型!$A$2:$A$10)+MATCH($F89,_怪物类型!$A$2:$A$10,0))*IF($K89="",1,$K89),""))</f>
        <v>215386867.618483</v>
      </c>
      <c r="T89" s="24">
        <f>IF(OR($J89="",$F89="不适用"),"",IFERROR(INDEX(_怪物模型!$E$2:$E$4501,(INT($J89)-1)*ROWS(_怪物类型!$A$2:$A$10)+MATCH($F89,_怪物类型!$A$2:$A$10,0))*IF($L89="",1,$L89),""))</f>
        <v>151924.907414869</v>
      </c>
      <c r="U89" s="24">
        <f>IF(OR($J89="",$F89="不适用"),"",IFERROR(INDEX(_怪物模型!$F$2:$F$4501,(INT($J89)-1)*ROWS(_怪物类型!$A$2:$A$10)+MATCH($F89,_怪物类型!$A$2:$A$10,0))*IF($M89="",1,$M89),""))</f>
        <v>58557</v>
      </c>
      <c r="V89" s="6">
        <f t="shared" si="10"/>
        <v>0.709291762055307</v>
      </c>
      <c r="W89" s="24">
        <f t="shared" si="11"/>
        <v>740903901.249129</v>
      </c>
      <c r="X89" s="18">
        <f t="shared" si="12"/>
        <v>298.10865571265</v>
      </c>
      <c r="Y89" s="18">
        <f t="shared" si="13"/>
        <v>19.4884098273183</v>
      </c>
      <c r="Z89" s="18">
        <f t="shared" si="14"/>
        <v>0.999999999999999</v>
      </c>
      <c r="AA89" t="str">
        <f t="shared" si="15"/>
        <v>生存不成立</v>
      </c>
      <c r="AB89" t="str">
        <f t="shared" si="16"/>
        <v>有效</v>
      </c>
      <c r="AC89" t="str">
        <f t="shared" si="17"/>
        <v>不降</v>
      </c>
      <c r="AD89" t="s">
        <v>5732</v>
      </c>
      <c r="AE89" s="4">
        <v>1600000</v>
      </c>
      <c r="AF89" s="4">
        <f>INDEX(_统一战力!$B$2:$B$501,J89)</f>
        <v>3250000</v>
      </c>
      <c r="AG89">
        <v>2001</v>
      </c>
      <c r="AH89">
        <v>225</v>
      </c>
      <c r="AI89">
        <v>3</v>
      </c>
    </row>
    <row r="90" spans="1:35">
      <c r="A90" t="s">
        <v>5548</v>
      </c>
      <c r="B90" t="s">
        <v>5561</v>
      </c>
      <c r="C90" t="s">
        <v>579</v>
      </c>
      <c r="D90" t="s">
        <v>5733</v>
      </c>
      <c r="E90" t="s">
        <v>5563</v>
      </c>
      <c r="F90" t="s">
        <v>164</v>
      </c>
      <c r="G90">
        <v>278</v>
      </c>
      <c r="I90">
        <f t="shared" si="9"/>
        <v>278</v>
      </c>
      <c r="J90">
        <v>466</v>
      </c>
      <c r="K90" s="23">
        <v>1.12188926706886</v>
      </c>
      <c r="L90" s="23">
        <v>1.19263153509335</v>
      </c>
      <c r="M90" s="23">
        <v>1</v>
      </c>
      <c r="N90">
        <v>1</v>
      </c>
      <c r="O90">
        <v>1</v>
      </c>
      <c r="P90" s="18">
        <v>307.042486260742</v>
      </c>
      <c r="Q90" s="24">
        <f>IF($I90="","",IFERROR(INDEX(_玩家曲线!$H$2:$H$286,MATCH($I90,_玩家曲线!$A$2:$A$286,0)),""))</f>
        <v>2485348.50314207</v>
      </c>
      <c r="R90" s="24">
        <f>IF($I90="","",IFERROR(INDEX(_玩家曲线!$I$2:$I$286,MATCH($I90,_玩家曲线!$A$2:$A$286,0)),""))</f>
        <v>2960774.85867836</v>
      </c>
      <c r="S90" s="24">
        <f>IF(OR($J90="",$F90="不适用"),"",IFERROR(INDEX(_怪物模型!$D$2:$D$4501,(INT($J90)-1)*ROWS(_怪物类型!$A$2:$A$10)+MATCH($F90,_怪物类型!$A$2:$A$10,0))*IF($K90="",1,$K90),""))</f>
        <v>220405343.367226</v>
      </c>
      <c r="T90" s="24">
        <f>IF(OR($J90="",$F90="不适用"),"",IFERROR(INDEX(_怪物模型!$E$2:$E$4501,(INT($J90)-1)*ROWS(_怪物类型!$A$2:$A$10)+MATCH($F90,_怪物类型!$A$2:$A$10,0))*IF($L90="",1,$L90),""))</f>
        <v>154633.026945598</v>
      </c>
      <c r="U90" s="24">
        <f>IF(OR($J90="",$F90="不适用"),"",IFERROR(INDEX(_怪物模型!$F$2:$F$4501,(INT($J90)-1)*ROWS(_怪物类型!$A$2:$A$10)+MATCH($F90,_怪物类型!$A$2:$A$10,0))*IF($M90="",1,$M90),""))</f>
        <v>59095</v>
      </c>
      <c r="V90" s="6">
        <f t="shared" si="10"/>
        <v>0.711173957518503</v>
      </c>
      <c r="W90" s="24">
        <f t="shared" si="11"/>
        <v>763107583.629152</v>
      </c>
      <c r="X90" s="18">
        <f t="shared" si="12"/>
        <v>307.042486260741</v>
      </c>
      <c r="Y90" s="18">
        <f t="shared" si="13"/>
        <v>19.147105357512</v>
      </c>
      <c r="Z90" s="18">
        <f t="shared" si="14"/>
        <v>0.999999999999996</v>
      </c>
      <c r="AA90" t="str">
        <f t="shared" si="15"/>
        <v>生存不成立</v>
      </c>
      <c r="AB90" t="str">
        <f t="shared" si="16"/>
        <v>有效</v>
      </c>
      <c r="AC90" t="str">
        <f t="shared" si="17"/>
        <v>不降</v>
      </c>
      <c r="AD90" t="s">
        <v>5734</v>
      </c>
      <c r="AE90" s="4">
        <v>1600000</v>
      </c>
      <c r="AF90" s="4">
        <f>INDEX(_统一战力!$B$2:$B$501,J90)</f>
        <v>3290000</v>
      </c>
      <c r="AG90">
        <v>2001</v>
      </c>
      <c r="AH90">
        <v>226</v>
      </c>
      <c r="AI90">
        <v>3</v>
      </c>
    </row>
    <row r="91" spans="1:35">
      <c r="A91" t="s">
        <v>5548</v>
      </c>
      <c r="B91" t="s">
        <v>5561</v>
      </c>
      <c r="C91" t="s">
        <v>579</v>
      </c>
      <c r="D91" t="s">
        <v>5735</v>
      </c>
      <c r="E91" t="s">
        <v>5563</v>
      </c>
      <c r="F91" t="s">
        <v>164</v>
      </c>
      <c r="G91">
        <v>278</v>
      </c>
      <c r="I91">
        <f t="shared" si="9"/>
        <v>278</v>
      </c>
      <c r="J91">
        <v>469</v>
      </c>
      <c r="K91" s="23">
        <v>1.12206860344588</v>
      </c>
      <c r="L91" s="23">
        <v>1.1933774366978</v>
      </c>
      <c r="M91" s="23">
        <v>1</v>
      </c>
      <c r="N91">
        <v>1</v>
      </c>
      <c r="O91">
        <v>1</v>
      </c>
      <c r="P91" s="18">
        <v>316.206418823404</v>
      </c>
      <c r="Q91" s="24">
        <f>IF($I91="","",IFERROR(INDEX(_玩家曲线!$H$2:$H$286,MATCH($I91,_玩家曲线!$A$2:$A$286,0)),""))</f>
        <v>2485348.50314207</v>
      </c>
      <c r="R91" s="24">
        <f>IF($I91="","",IFERROR(INDEX(_玩家曲线!$I$2:$I$286,MATCH($I91,_玩家曲线!$A$2:$A$286,0)),""))</f>
        <v>2960774.85867836</v>
      </c>
      <c r="S91" s="24">
        <f>IF(OR($J91="",$F91="不适用"),"",IFERROR(INDEX(_怪物模型!$D$2:$D$4501,(INT($J91)-1)*ROWS(_怪物类型!$A$2:$A$10)+MATCH($F91,_怪物类型!$A$2:$A$10,0))*IF($K91="",1,$K91),""))</f>
        <v>225515275.634414</v>
      </c>
      <c r="T91" s="24">
        <f>IF(OR($J91="",$F91="不适用"),"",IFERROR(INDEX(_怪物模型!$E$2:$E$4501,(INT($J91)-1)*ROWS(_怪物类型!$A$2:$A$10)+MATCH($F91,_怪物类型!$A$2:$A$10,0))*IF($L91="",1,$L91),""))</f>
        <v>157379.036219396</v>
      </c>
      <c r="U91" s="24">
        <f>IF(OR($J91="",$F91="不适用"),"",IFERROR(INDEX(_怪物模型!$F$2:$F$4501,(INT($J91)-1)*ROWS(_怪物类型!$A$2:$A$10)+MATCH($F91,_怪物类型!$A$2:$A$10,0))*IF($M91="",1,$M91),""))</f>
        <v>59636</v>
      </c>
      <c r="V91" s="6">
        <f t="shared" si="10"/>
        <v>0.713042230618394</v>
      </c>
      <c r="W91" s="24">
        <f t="shared" si="11"/>
        <v>785883149.706659</v>
      </c>
      <c r="X91" s="18">
        <f t="shared" si="12"/>
        <v>316.206418823403</v>
      </c>
      <c r="Y91" s="18">
        <f t="shared" si="13"/>
        <v>18.813019381761</v>
      </c>
      <c r="Z91" s="18">
        <f t="shared" si="14"/>
        <v>0.999999999999997</v>
      </c>
      <c r="AA91" t="str">
        <f t="shared" si="15"/>
        <v>生存不成立</v>
      </c>
      <c r="AB91" t="str">
        <f t="shared" si="16"/>
        <v>有效</v>
      </c>
      <c r="AC91" t="str">
        <f t="shared" si="17"/>
        <v>不降</v>
      </c>
      <c r="AD91" t="s">
        <v>5736</v>
      </c>
      <c r="AE91" s="4">
        <v>1600000</v>
      </c>
      <c r="AF91" s="4">
        <f>INDEX(_统一战力!$B$2:$B$501,J91)</f>
        <v>3330000</v>
      </c>
      <c r="AG91">
        <v>2001</v>
      </c>
      <c r="AH91">
        <v>227</v>
      </c>
      <c r="AI91">
        <v>3</v>
      </c>
    </row>
    <row r="92" spans="1:35">
      <c r="A92" t="s">
        <v>5548</v>
      </c>
      <c r="B92" t="s">
        <v>5561</v>
      </c>
      <c r="C92" t="s">
        <v>579</v>
      </c>
      <c r="D92" t="s">
        <v>5737</v>
      </c>
      <c r="E92" t="s">
        <v>5563</v>
      </c>
      <c r="F92" t="s">
        <v>164</v>
      </c>
      <c r="G92">
        <v>278</v>
      </c>
      <c r="I92">
        <f t="shared" si="9"/>
        <v>278</v>
      </c>
      <c r="J92">
        <v>472</v>
      </c>
      <c r="K92" s="23">
        <v>1.12226393695094</v>
      </c>
      <c r="L92" s="23">
        <v>1.19407247475773</v>
      </c>
      <c r="M92" s="23">
        <v>1</v>
      </c>
      <c r="N92">
        <v>1</v>
      </c>
      <c r="O92">
        <v>1</v>
      </c>
      <c r="P92" s="18">
        <v>325.609860217274</v>
      </c>
      <c r="Q92" s="24">
        <f>IF($I92="","",IFERROR(INDEX(_玩家曲线!$H$2:$H$286,MATCH($I92,_玩家曲线!$A$2:$A$286,0)),""))</f>
        <v>2485348.50314207</v>
      </c>
      <c r="R92" s="24">
        <f>IF($I92="","",IFERROR(INDEX(_玩家曲线!$I$2:$I$286,MATCH($I92,_玩家曲线!$A$2:$A$286,0)),""))</f>
        <v>2960774.85867836</v>
      </c>
      <c r="S92" s="24">
        <f>IF(OR($J92="",$F92="不适用"),"",IFERROR(INDEX(_怪物模型!$D$2:$D$4501,(INT($J92)-1)*ROWS(_怪物类型!$A$2:$A$10)+MATCH($F92,_怪物类型!$A$2:$A$10,0))*IF($K92="",1,$K92),""))</f>
        <v>230726502.040713</v>
      </c>
      <c r="T92" s="24">
        <f>IF(OR($J92="",$F92="不适用"),"",IFERROR(INDEX(_怪物模型!$E$2:$E$4501,(INT($J92)-1)*ROWS(_怪物类型!$A$2:$A$10)+MATCH($F92,_怪物类型!$A$2:$A$10,0))*IF($L92="",1,$L92),""))</f>
        <v>160160.941039254</v>
      </c>
      <c r="U92" s="24">
        <f>IF(OR($J92="",$F92="不适用"),"",IFERROR(INDEX(_怪物模型!$F$2:$F$4501,(INT($J92)-1)*ROWS(_怪物类型!$A$2:$A$10)+MATCH($F92,_怪物类型!$A$2:$A$10,0))*IF($M92="",1,$M92),""))</f>
        <v>60178</v>
      </c>
      <c r="V92" s="6">
        <f t="shared" si="10"/>
        <v>0.714889876214688</v>
      </c>
      <c r="W92" s="24">
        <f t="shared" si="11"/>
        <v>809253978.699298</v>
      </c>
      <c r="X92" s="18">
        <f t="shared" si="12"/>
        <v>325.609860217273</v>
      </c>
      <c r="Y92" s="18">
        <f t="shared" si="13"/>
        <v>18.4862478920669</v>
      </c>
      <c r="Z92" s="18">
        <f t="shared" si="14"/>
        <v>0.999999999999997</v>
      </c>
      <c r="AA92" t="str">
        <f t="shared" si="15"/>
        <v>生存不成立</v>
      </c>
      <c r="AB92" t="str">
        <f t="shared" si="16"/>
        <v>有效</v>
      </c>
      <c r="AC92" t="str">
        <f t="shared" si="17"/>
        <v>不降</v>
      </c>
      <c r="AD92" t="s">
        <v>5738</v>
      </c>
      <c r="AE92" s="4">
        <v>1600000</v>
      </c>
      <c r="AF92" s="4">
        <f>INDEX(_统一战力!$B$2:$B$501,J92)</f>
        <v>3370000</v>
      </c>
      <c r="AG92">
        <v>2001</v>
      </c>
      <c r="AH92">
        <v>228</v>
      </c>
      <c r="AI92">
        <v>3</v>
      </c>
    </row>
    <row r="93" spans="1:35">
      <c r="A93" t="s">
        <v>5548</v>
      </c>
      <c r="B93" t="s">
        <v>5561</v>
      </c>
      <c r="C93" t="s">
        <v>579</v>
      </c>
      <c r="D93" t="s">
        <v>5739</v>
      </c>
      <c r="E93" t="s">
        <v>5563</v>
      </c>
      <c r="F93" t="s">
        <v>164</v>
      </c>
      <c r="G93">
        <v>278</v>
      </c>
      <c r="I93">
        <f t="shared" si="9"/>
        <v>278</v>
      </c>
      <c r="J93">
        <v>475</v>
      </c>
      <c r="K93" s="23">
        <v>1.12244866992447</v>
      </c>
      <c r="L93" s="23">
        <v>1.19474935088283</v>
      </c>
      <c r="M93" s="23">
        <v>1</v>
      </c>
      <c r="N93">
        <v>1</v>
      </c>
      <c r="O93">
        <v>1</v>
      </c>
      <c r="P93" s="18">
        <v>335.258303543846</v>
      </c>
      <c r="Q93" s="24">
        <f>IF($I93="","",IFERROR(INDEX(_玩家曲线!$H$2:$H$286,MATCH($I93,_玩家曲线!$A$2:$A$286,0)),""))</f>
        <v>2485348.50314207</v>
      </c>
      <c r="R93" s="24">
        <f>IF($I93="","",IFERROR(INDEX(_玩家曲线!$I$2:$I$286,MATCH($I93,_玩家曲线!$A$2:$A$286,0)),""))</f>
        <v>2960774.85867836</v>
      </c>
      <c r="S93" s="24">
        <f>IF(OR($J93="",$F93="不适用"),"",IFERROR(INDEX(_怪物模型!$D$2:$D$4501,(INT($J93)-1)*ROWS(_怪物类型!$A$2:$A$10)+MATCH($F93,_怪物类型!$A$2:$A$10,0))*IF($K93="",1,$K93),""))</f>
        <v>236035189.371098</v>
      </c>
      <c r="T93" s="24">
        <f>IF(OR($J93="",$F93="不适用"),"",IFERROR(INDEX(_怪物模型!$E$2:$E$4501,(INT($J93)-1)*ROWS(_怪物类型!$A$2:$A$10)+MATCH($F93,_怪物类型!$A$2:$A$10,0))*IF($L93="",1,$L93),""))</f>
        <v>162981.732700681</v>
      </c>
      <c r="U93" s="24">
        <f>IF(OR($J93="",$F93="不适用"),"",IFERROR(INDEX(_怪物模型!$F$2:$F$4501,(INT($J93)-1)*ROWS(_怪物类型!$A$2:$A$10)+MATCH($F93,_怪物类型!$A$2:$A$10,0))*IF($M93="",1,$M93),""))</f>
        <v>60723</v>
      </c>
      <c r="V93" s="6">
        <f t="shared" si="10"/>
        <v>0.716723912042775</v>
      </c>
      <c r="W93" s="24">
        <f t="shared" si="11"/>
        <v>833233722.878648</v>
      </c>
      <c r="X93" s="18">
        <f t="shared" si="12"/>
        <v>335.258303543846</v>
      </c>
      <c r="Y93" s="18">
        <f t="shared" si="13"/>
        <v>18.1662988214506</v>
      </c>
      <c r="Z93" s="18">
        <f t="shared" si="14"/>
        <v>1</v>
      </c>
      <c r="AA93" t="str">
        <f t="shared" si="15"/>
        <v>生存不成立</v>
      </c>
      <c r="AB93" t="str">
        <f t="shared" si="16"/>
        <v>有效</v>
      </c>
      <c r="AC93" t="str">
        <f t="shared" si="17"/>
        <v>不降</v>
      </c>
      <c r="AD93" t="s">
        <v>5740</v>
      </c>
      <c r="AE93" s="4">
        <v>1600000</v>
      </c>
      <c r="AF93" s="4">
        <f>INDEX(_统一战力!$B$2:$B$501,J93)</f>
        <v>3410000</v>
      </c>
      <c r="AG93">
        <v>2001</v>
      </c>
      <c r="AH93">
        <v>229</v>
      </c>
      <c r="AI93">
        <v>3</v>
      </c>
    </row>
    <row r="94" spans="1:35">
      <c r="A94" t="s">
        <v>5548</v>
      </c>
      <c r="B94" t="s">
        <v>5561</v>
      </c>
      <c r="C94" t="s">
        <v>579</v>
      </c>
      <c r="D94" t="s">
        <v>5741</v>
      </c>
      <c r="E94" t="s">
        <v>5563</v>
      </c>
      <c r="F94" t="s">
        <v>164</v>
      </c>
      <c r="G94">
        <v>278</v>
      </c>
      <c r="I94">
        <f t="shared" si="9"/>
        <v>278</v>
      </c>
      <c r="J94">
        <v>477</v>
      </c>
      <c r="K94" s="23">
        <v>1.12256246774435</v>
      </c>
      <c r="L94" s="23">
        <v>1.19516954104512</v>
      </c>
      <c r="M94" s="23">
        <v>1</v>
      </c>
      <c r="N94">
        <v>1</v>
      </c>
      <c r="O94">
        <v>1</v>
      </c>
      <c r="P94" s="18">
        <v>341.824423917313</v>
      </c>
      <c r="Q94" s="24">
        <f>IF($I94="","",IFERROR(INDEX(_玩家曲线!$H$2:$H$286,MATCH($I94,_玩家曲线!$A$2:$A$286,0)),""))</f>
        <v>2485348.50314207</v>
      </c>
      <c r="R94" s="24">
        <f>IF($I94="","",IFERROR(INDEX(_玩家曲线!$I$2:$I$286,MATCH($I94,_玩家曲线!$A$2:$A$286,0)),""))</f>
        <v>2960774.85867836</v>
      </c>
      <c r="S94" s="24">
        <f>IF(OR($J94="",$F94="不适用"),"",IFERROR(INDEX(_怪物模型!$D$2:$D$4501,(INT($J94)-1)*ROWS(_怪物类型!$A$2:$A$10)+MATCH($F94,_怪物类型!$A$2:$A$10,0))*IF($K94="",1,$K94),""))</f>
        <v>239628470.714528</v>
      </c>
      <c r="T94" s="24">
        <f>IF(OR($J94="",$F94="不适用"),"",IFERROR(INDEX(_怪物模型!$E$2:$E$4501,(INT($J94)-1)*ROWS(_怪物类型!$A$2:$A$10)+MATCH($F94,_怪物类型!$A$2:$A$10,0))*IF($L94="",1,$L94),""))</f>
        <v>164883.199543503</v>
      </c>
      <c r="U94" s="24">
        <f>IF(OR($J94="",$F94="不适用"),"",IFERROR(INDEX(_怪物模型!$F$2:$F$4501,(INT($J94)-1)*ROWS(_怪物类型!$A$2:$A$10)+MATCH($F94,_怪物类型!$A$2:$A$10,0))*IF($M94="",1,$M94),""))</f>
        <v>61087</v>
      </c>
      <c r="V94" s="6">
        <f t="shared" si="10"/>
        <v>0.71793575986931</v>
      </c>
      <c r="W94" s="24">
        <f t="shared" si="11"/>
        <v>849552820.320295</v>
      </c>
      <c r="X94" s="18">
        <f t="shared" si="12"/>
        <v>341.824423917313</v>
      </c>
      <c r="Y94" s="18">
        <f t="shared" si="13"/>
        <v>17.9568013410438</v>
      </c>
      <c r="Z94" s="18">
        <f t="shared" si="14"/>
        <v>1</v>
      </c>
      <c r="AA94" t="str">
        <f t="shared" si="15"/>
        <v>生存不成立</v>
      </c>
      <c r="AB94" t="str">
        <f t="shared" si="16"/>
        <v>有效</v>
      </c>
      <c r="AC94" t="str">
        <f t="shared" si="17"/>
        <v>不降</v>
      </c>
      <c r="AD94" t="s">
        <v>5742</v>
      </c>
      <c r="AE94" s="4">
        <v>1600000</v>
      </c>
      <c r="AF94" s="4">
        <f>INDEX(_统一战力!$B$2:$B$501,J94)</f>
        <v>3440000</v>
      </c>
      <c r="AG94">
        <v>2001</v>
      </c>
      <c r="AH94">
        <v>230</v>
      </c>
      <c r="AI94">
        <v>3</v>
      </c>
    </row>
    <row r="95" spans="1:35">
      <c r="A95" t="s">
        <v>5548</v>
      </c>
      <c r="B95" t="s">
        <v>5561</v>
      </c>
      <c r="C95" t="s">
        <v>582</v>
      </c>
      <c r="D95" t="s">
        <v>5743</v>
      </c>
      <c r="E95" t="s">
        <v>5563</v>
      </c>
      <c r="F95" t="s">
        <v>164</v>
      </c>
      <c r="G95">
        <v>278</v>
      </c>
      <c r="I95">
        <f t="shared" si="9"/>
        <v>278</v>
      </c>
      <c r="J95">
        <v>480</v>
      </c>
      <c r="K95" s="23">
        <v>1.12275075648144</v>
      </c>
      <c r="L95" s="23">
        <v>1.19577197726686</v>
      </c>
      <c r="M95" s="23">
        <v>1</v>
      </c>
      <c r="N95">
        <v>1</v>
      </c>
      <c r="O95">
        <v>1</v>
      </c>
      <c r="P95" s="18">
        <v>351.891941353229</v>
      </c>
      <c r="Q95" s="24">
        <f>IF($I95="","",IFERROR(INDEX(_玩家曲线!$H$2:$H$286,MATCH($I95,_玩家曲线!$A$2:$A$286,0)),""))</f>
        <v>2485348.50314207</v>
      </c>
      <c r="R95" s="24">
        <f>IF($I95="","",IFERROR(INDEX(_玩家曲线!$I$2:$I$286,MATCH($I95,_玩家曲线!$A$2:$A$286,0)),""))</f>
        <v>2960774.85867836</v>
      </c>
      <c r="S95" s="24">
        <f>IF(OR($J95="",$F95="不适用"),"",IFERROR(INDEX(_怪物模型!$D$2:$D$4501,(INT($J95)-1)*ROWS(_怪物类型!$A$2:$A$10)+MATCH($F95,_怪物类型!$A$2:$A$10,0))*IF($K95="",1,$K95),""))</f>
        <v>245107475.1333</v>
      </c>
      <c r="T95" s="24">
        <f>IF(OR($J95="",$F95="不适用"),"",IFERROR(INDEX(_怪物模型!$E$2:$E$4501,(INT($J95)-1)*ROWS(_怪物类型!$A$2:$A$10)+MATCH($F95,_怪物类型!$A$2:$A$10,0))*IF($L95="",1,$L95),""))</f>
        <v>167766.80841054</v>
      </c>
      <c r="U95" s="24">
        <f>IF(OR($J95="",$F95="不适用"),"",IFERROR(INDEX(_怪物模型!$F$2:$F$4501,(INT($J95)-1)*ROWS(_怪物类型!$A$2:$A$10)+MATCH($F95,_怪物类型!$A$2:$A$10,0))*IF($M95="",1,$M95),""))</f>
        <v>61635</v>
      </c>
      <c r="V95" s="6">
        <f t="shared" si="10"/>
        <v>0.719740760203188</v>
      </c>
      <c r="W95" s="24">
        <f t="shared" si="11"/>
        <v>874574109.710005</v>
      </c>
      <c r="X95" s="18">
        <f t="shared" si="12"/>
        <v>351.891941353229</v>
      </c>
      <c r="Y95" s="18">
        <f t="shared" si="13"/>
        <v>17.6481563113073</v>
      </c>
      <c r="Z95" s="18">
        <f t="shared" si="14"/>
        <v>1</v>
      </c>
      <c r="AA95" t="str">
        <f t="shared" si="15"/>
        <v>生存不成立</v>
      </c>
      <c r="AB95" t="str">
        <f t="shared" si="16"/>
        <v>有效</v>
      </c>
      <c r="AC95" t="str">
        <f t="shared" si="17"/>
        <v>新玩法组</v>
      </c>
      <c r="AD95" t="s">
        <v>5744</v>
      </c>
      <c r="AE95" s="4">
        <v>1600000</v>
      </c>
      <c r="AF95" s="4">
        <f>INDEX(_统一战力!$B$2:$B$501,J95)</f>
        <v>3490000</v>
      </c>
      <c r="AG95">
        <v>2001</v>
      </c>
      <c r="AH95">
        <v>301</v>
      </c>
      <c r="AI95">
        <v>4</v>
      </c>
    </row>
    <row r="96" spans="1:35">
      <c r="A96" t="s">
        <v>5548</v>
      </c>
      <c r="B96" t="s">
        <v>5561</v>
      </c>
      <c r="C96" t="s">
        <v>582</v>
      </c>
      <c r="D96" t="s">
        <v>5745</v>
      </c>
      <c r="E96" t="s">
        <v>5563</v>
      </c>
      <c r="F96" t="s">
        <v>164</v>
      </c>
      <c r="G96">
        <v>278</v>
      </c>
      <c r="I96">
        <f t="shared" si="9"/>
        <v>278</v>
      </c>
      <c r="J96">
        <v>483</v>
      </c>
      <c r="K96" s="23">
        <v>1.12291270604454</v>
      </c>
      <c r="L96" s="23">
        <v>1.19634907915589</v>
      </c>
      <c r="M96" s="23">
        <v>1</v>
      </c>
      <c r="N96">
        <v>1</v>
      </c>
      <c r="O96">
        <v>1</v>
      </c>
      <c r="P96" s="18">
        <v>362.210048664639</v>
      </c>
      <c r="Q96" s="24">
        <f>IF($I96="","",IFERROR(INDEX(_玩家曲线!$H$2:$H$286,MATCH($I96,_玩家曲线!$A$2:$A$286,0)),""))</f>
        <v>2485348.50314207</v>
      </c>
      <c r="R96" s="24">
        <f>IF($I96="","",IFERROR(INDEX(_玩家曲线!$I$2:$I$286,MATCH($I96,_玩家曲线!$A$2:$A$286,0)),""))</f>
        <v>2960774.85867836</v>
      </c>
      <c r="S96" s="24">
        <f>IF(OR($J96="",$F96="不适用"),"",IFERROR(INDEX(_怪物模型!$D$2:$D$4501,(INT($J96)-1)*ROWS(_怪物类型!$A$2:$A$10)+MATCH($F96,_怪物类型!$A$2:$A$10,0))*IF($K96="",1,$K96),""))</f>
        <v>250684421.355459</v>
      </c>
      <c r="T96" s="24">
        <f>IF(OR($J96="",$F96="不适用"),"",IFERROR(INDEX(_怪物模型!$E$2:$E$4501,(INT($J96)-1)*ROWS(_怪物类型!$A$2:$A$10)+MATCH($F96,_怪物类型!$A$2:$A$10,0))*IF($L96="",1,$L96),""))</f>
        <v>170690.301217646</v>
      </c>
      <c r="U96" s="24">
        <f>IF(OR($J96="",$F96="不适用"),"",IFERROR(INDEX(_怪物模型!$F$2:$F$4501,(INT($J96)-1)*ROWS(_怪物类型!$A$2:$A$10)+MATCH($F96,_怪物类型!$A$2:$A$10,0))*IF($M96="",1,$M96),""))</f>
        <v>62185</v>
      </c>
      <c r="V96" s="6">
        <f t="shared" si="10"/>
        <v>0.721529268434182</v>
      </c>
      <c r="W96" s="24">
        <f t="shared" si="11"/>
        <v>900218202.271678</v>
      </c>
      <c r="X96" s="18">
        <f t="shared" si="12"/>
        <v>362.210048664639</v>
      </c>
      <c r="Y96" s="18">
        <f t="shared" si="13"/>
        <v>17.3458880648591</v>
      </c>
      <c r="Z96" s="18">
        <f t="shared" si="14"/>
        <v>1</v>
      </c>
      <c r="AA96" t="str">
        <f t="shared" si="15"/>
        <v>生存不成立</v>
      </c>
      <c r="AB96" t="str">
        <f t="shared" si="16"/>
        <v>有效</v>
      </c>
      <c r="AC96" t="str">
        <f t="shared" si="17"/>
        <v>不降</v>
      </c>
      <c r="AD96" t="s">
        <v>5746</v>
      </c>
      <c r="AE96" s="4">
        <v>1600000</v>
      </c>
      <c r="AF96" s="4">
        <f>INDEX(_统一战力!$B$2:$B$501,J96)</f>
        <v>3530000</v>
      </c>
      <c r="AG96">
        <v>2001</v>
      </c>
      <c r="AH96">
        <v>302</v>
      </c>
      <c r="AI96">
        <v>4</v>
      </c>
    </row>
    <row r="97" spans="1:35">
      <c r="A97" t="s">
        <v>5548</v>
      </c>
      <c r="B97" t="s">
        <v>5561</v>
      </c>
      <c r="C97" t="s">
        <v>582</v>
      </c>
      <c r="D97" t="s">
        <v>5747</v>
      </c>
      <c r="E97" t="s">
        <v>5563</v>
      </c>
      <c r="F97" t="s">
        <v>164</v>
      </c>
      <c r="G97">
        <v>278</v>
      </c>
      <c r="I97">
        <f t="shared" si="9"/>
        <v>278</v>
      </c>
      <c r="J97">
        <v>485</v>
      </c>
      <c r="K97" s="23">
        <v>1.1230320066503</v>
      </c>
      <c r="L97" s="23">
        <v>1.19670479523903</v>
      </c>
      <c r="M97" s="23">
        <v>1</v>
      </c>
      <c r="N97">
        <v>1</v>
      </c>
      <c r="O97">
        <v>1</v>
      </c>
      <c r="P97" s="18">
        <v>369.240149100582</v>
      </c>
      <c r="Q97" s="24">
        <f>IF($I97="","",IFERROR(INDEX(_玩家曲线!$H$2:$H$286,MATCH($I97,_玩家曲线!$A$2:$A$286,0)),""))</f>
        <v>2485348.50314207</v>
      </c>
      <c r="R97" s="24">
        <f>IF($I97="","",IFERROR(INDEX(_玩家曲线!$I$2:$I$286,MATCH($I97,_玩家曲线!$A$2:$A$286,0)),""))</f>
        <v>2960774.85867836</v>
      </c>
      <c r="S97" s="24">
        <f>IF(OR($J97="",$F97="不适用"),"",IFERROR(INDEX(_怪物模型!$D$2:$D$4501,(INT($J97)-1)*ROWS(_怪物类型!$A$2:$A$10)+MATCH($F97,_怪物类型!$A$2:$A$10,0))*IF($K97="",1,$K97),""))</f>
        <v>254463402.132913</v>
      </c>
      <c r="T97" s="24">
        <f>IF(OR($J97="",$F97="不适用"),"",IFERROR(INDEX(_怪物模型!$E$2:$E$4501,(INT($J97)-1)*ROWS(_怪物类型!$A$2:$A$10)+MATCH($F97,_怪物类型!$A$2:$A$10,0))*IF($L97="",1,$L97),""))</f>
        <v>172660.567857087</v>
      </c>
      <c r="U97" s="24">
        <f>IF(OR($J97="",$F97="不适用"),"",IFERROR(INDEX(_怪物模型!$F$2:$F$4501,(INT($J97)-1)*ROWS(_怪物类型!$A$2:$A$10)+MATCH($F97,_怪物类型!$A$2:$A$10,0))*IF($M97="",1,$M97),""))</f>
        <v>62553</v>
      </c>
      <c r="V97" s="6">
        <f t="shared" si="10"/>
        <v>0.722713250840526</v>
      </c>
      <c r="W97" s="24">
        <f t="shared" si="11"/>
        <v>917690451.867085</v>
      </c>
      <c r="X97" s="18">
        <f t="shared" si="12"/>
        <v>369.240149100582</v>
      </c>
      <c r="Y97" s="18">
        <f t="shared" si="13"/>
        <v>17.1479504291276</v>
      </c>
      <c r="Z97" s="18">
        <f t="shared" si="14"/>
        <v>0.999999999999999</v>
      </c>
      <c r="AA97" t="str">
        <f t="shared" si="15"/>
        <v>生存不成立</v>
      </c>
      <c r="AB97" t="str">
        <f t="shared" si="16"/>
        <v>有效</v>
      </c>
      <c r="AC97" t="str">
        <f t="shared" si="17"/>
        <v>不降</v>
      </c>
      <c r="AD97" t="s">
        <v>5748</v>
      </c>
      <c r="AE97" s="4">
        <v>1600000</v>
      </c>
      <c r="AF97" s="4">
        <f>INDEX(_统一战力!$B$2:$B$501,J97)</f>
        <v>3560000</v>
      </c>
      <c r="AG97">
        <v>2001</v>
      </c>
      <c r="AH97">
        <v>303</v>
      </c>
      <c r="AI97">
        <v>4</v>
      </c>
    </row>
    <row r="98" spans="1:35">
      <c r="A98" t="s">
        <v>5548</v>
      </c>
      <c r="B98" t="s">
        <v>5561</v>
      </c>
      <c r="C98" t="s">
        <v>582</v>
      </c>
      <c r="D98" t="s">
        <v>5749</v>
      </c>
      <c r="E98" t="s">
        <v>5563</v>
      </c>
      <c r="F98" t="s">
        <v>164</v>
      </c>
      <c r="G98">
        <v>278</v>
      </c>
      <c r="I98">
        <f t="shared" si="9"/>
        <v>278</v>
      </c>
      <c r="J98">
        <v>488</v>
      </c>
      <c r="K98" s="23">
        <v>1.12321225775598</v>
      </c>
      <c r="L98" s="23">
        <v>1.19721141033165</v>
      </c>
      <c r="M98" s="23">
        <v>1</v>
      </c>
      <c r="N98">
        <v>1</v>
      </c>
      <c r="O98">
        <v>1</v>
      </c>
      <c r="P98" s="18">
        <v>380.00724143374</v>
      </c>
      <c r="Q98" s="24">
        <f>IF($I98="","",IFERROR(INDEX(_玩家曲线!$H$2:$H$286,MATCH($I98,_玩家曲线!$A$2:$A$286,0)),""))</f>
        <v>2485348.50314207</v>
      </c>
      <c r="R98" s="24">
        <f>IF($I98="","",IFERROR(INDEX(_玩家曲线!$I$2:$I$286,MATCH($I98,_玩家曲线!$A$2:$A$286,0)),""))</f>
        <v>2960774.85867836</v>
      </c>
      <c r="S98" s="24">
        <f>IF(OR($J98="",$F98="不适用"),"",IFERROR(INDEX(_怪物模型!$D$2:$D$4501,(INT($J98)-1)*ROWS(_怪物类型!$A$2:$A$10)+MATCH($F98,_怪物类型!$A$2:$A$10,0))*IF($K98="",1,$K98),""))</f>
        <v>260220998.419532</v>
      </c>
      <c r="T98" s="24">
        <f>IF(OR($J98="",$F98="不适用"),"",IFERROR(INDEX(_怪物模型!$E$2:$E$4501,(INT($J98)-1)*ROWS(_怪物类型!$A$2:$A$10)+MATCH($F98,_怪物类型!$A$2:$A$10,0))*IF($L98="",1,$L98),""))</f>
        <v>175648.872066808</v>
      </c>
      <c r="U98" s="24">
        <f>IF(OR($J98="",$F98="不适用"),"",IFERROR(INDEX(_怪物模型!$F$2:$F$4501,(INT($J98)-1)*ROWS(_怪物类型!$A$2:$A$10)+MATCH($F98,_怪物类型!$A$2:$A$10,0))*IF($M98="",1,$M98),""))</f>
        <v>63106</v>
      </c>
      <c r="V98" s="6">
        <f t="shared" si="10"/>
        <v>0.724473629830322</v>
      </c>
      <c r="W98" s="24">
        <f t="shared" si="11"/>
        <v>944450428.68049</v>
      </c>
      <c r="X98" s="18">
        <f t="shared" si="12"/>
        <v>380.007241433739</v>
      </c>
      <c r="Y98" s="18">
        <f t="shared" si="13"/>
        <v>16.8562133296947</v>
      </c>
      <c r="Z98" s="18">
        <f t="shared" si="14"/>
        <v>0.999999999999997</v>
      </c>
      <c r="AA98" t="str">
        <f t="shared" si="15"/>
        <v>生存不成立</v>
      </c>
      <c r="AB98" t="str">
        <f t="shared" si="16"/>
        <v>有效</v>
      </c>
      <c r="AC98" t="str">
        <f t="shared" si="17"/>
        <v>不降</v>
      </c>
      <c r="AD98" t="s">
        <v>5750</v>
      </c>
      <c r="AE98" s="4">
        <v>1600000</v>
      </c>
      <c r="AF98" s="4">
        <f>INDEX(_统一战力!$B$2:$B$501,J98)</f>
        <v>3600000</v>
      </c>
      <c r="AG98">
        <v>2001</v>
      </c>
      <c r="AH98">
        <v>304</v>
      </c>
      <c r="AI98">
        <v>4</v>
      </c>
    </row>
    <row r="99" spans="1:35">
      <c r="A99" t="s">
        <v>5548</v>
      </c>
      <c r="B99" t="s">
        <v>5561</v>
      </c>
      <c r="C99" t="s">
        <v>582</v>
      </c>
      <c r="D99" t="s">
        <v>5751</v>
      </c>
      <c r="E99" t="s">
        <v>5563</v>
      </c>
      <c r="F99" t="s">
        <v>164</v>
      </c>
      <c r="G99">
        <v>278</v>
      </c>
      <c r="I99">
        <f t="shared" si="9"/>
        <v>278</v>
      </c>
      <c r="J99">
        <v>491</v>
      </c>
      <c r="K99" s="23">
        <v>1.12338060492267</v>
      </c>
      <c r="L99" s="23">
        <v>1.1976864941422</v>
      </c>
      <c r="M99" s="23">
        <v>1</v>
      </c>
      <c r="N99">
        <v>1</v>
      </c>
      <c r="O99">
        <v>1</v>
      </c>
      <c r="P99" s="18">
        <v>391.045004834022</v>
      </c>
      <c r="Q99" s="24">
        <f>IF($I99="","",IFERROR(INDEX(_玩家曲线!$H$2:$H$286,MATCH($I99,_玩家曲线!$A$2:$A$286,0)),""))</f>
        <v>2485348.50314207</v>
      </c>
      <c r="R99" s="24">
        <f>IF($I99="","",IFERROR(INDEX(_玩家曲线!$I$2:$I$286,MATCH($I99,_玩家曲线!$A$2:$A$286,0)),""))</f>
        <v>2960774.85867836</v>
      </c>
      <c r="S99" s="24">
        <f>IF(OR($J99="",$F99="不适用"),"",IFERROR(INDEX(_怪物模型!$D$2:$D$4501,(INT($J99)-1)*ROWS(_怪物类型!$A$2:$A$10)+MATCH($F99,_怪物类型!$A$2:$A$10,0))*IF($K99="",1,$K99),""))</f>
        <v>266084060.394134</v>
      </c>
      <c r="T99" s="24">
        <f>IF(OR($J99="",$F99="不适用"),"",IFERROR(INDEX(_怪物模型!$E$2:$E$4501,(INT($J99)-1)*ROWS(_怪物类型!$A$2:$A$10)+MATCH($F99,_怪物类型!$A$2:$A$10,0))*IF($L99="",1,$L99),""))</f>
        <v>178678.057315098</v>
      </c>
      <c r="U99" s="24">
        <f>IF(OR($J99="",$F99="不适用"),"",IFERROR(INDEX(_怪物模型!$F$2:$F$4501,(INT($J99)-1)*ROWS(_怪物类型!$A$2:$A$10)+MATCH($F99,_怪物类型!$A$2:$A$10,0))*IF($M99="",1,$M99),""))</f>
        <v>63661</v>
      </c>
      <c r="V99" s="6">
        <f t="shared" si="10"/>
        <v>0.726218044512383</v>
      </c>
      <c r="W99" s="24">
        <f t="shared" si="11"/>
        <v>971883117.425423</v>
      </c>
      <c r="X99" s="18">
        <f t="shared" si="12"/>
        <v>391.045004834023</v>
      </c>
      <c r="Y99" s="18">
        <f t="shared" si="13"/>
        <v>16.5704446487072</v>
      </c>
      <c r="Z99" s="18">
        <f t="shared" si="14"/>
        <v>1</v>
      </c>
      <c r="AA99" t="str">
        <f t="shared" si="15"/>
        <v>生存不成立</v>
      </c>
      <c r="AB99" t="str">
        <f t="shared" si="16"/>
        <v>有效</v>
      </c>
      <c r="AC99" t="str">
        <f t="shared" si="17"/>
        <v>不降</v>
      </c>
      <c r="AD99" t="s">
        <v>5752</v>
      </c>
      <c r="AE99" s="4">
        <v>1600000</v>
      </c>
      <c r="AF99" s="4">
        <f>INDEX(_统一战力!$B$2:$B$501,J99)</f>
        <v>3650000</v>
      </c>
      <c r="AG99">
        <v>2001</v>
      </c>
      <c r="AH99">
        <v>305</v>
      </c>
      <c r="AI99">
        <v>4</v>
      </c>
    </row>
    <row r="100" spans="1:35">
      <c r="A100" t="s">
        <v>5548</v>
      </c>
      <c r="B100" t="s">
        <v>5561</v>
      </c>
      <c r="C100" t="s">
        <v>582</v>
      </c>
      <c r="D100" t="s">
        <v>5753</v>
      </c>
      <c r="E100" t="s">
        <v>5563</v>
      </c>
      <c r="F100" t="s">
        <v>164</v>
      </c>
      <c r="G100">
        <v>278</v>
      </c>
      <c r="I100">
        <f t="shared" si="9"/>
        <v>278</v>
      </c>
      <c r="J100">
        <v>493</v>
      </c>
      <c r="K100" s="23">
        <v>1.12349112103316</v>
      </c>
      <c r="L100" s="23">
        <v>1.19798159763587</v>
      </c>
      <c r="M100" s="23">
        <v>1</v>
      </c>
      <c r="N100">
        <v>1</v>
      </c>
      <c r="O100">
        <v>1</v>
      </c>
      <c r="P100" s="18">
        <v>398.562373548101</v>
      </c>
      <c r="Q100" s="24">
        <f>IF($I100="","",IFERROR(INDEX(_玩家曲线!$H$2:$H$286,MATCH($I100,_玩家曲线!$A$2:$A$286,0)),""))</f>
        <v>2485348.50314207</v>
      </c>
      <c r="R100" s="24">
        <f>IF($I100="","",IFERROR(INDEX(_玩家曲线!$I$2:$I$286,MATCH($I100,_玩家曲线!$A$2:$A$286,0)),""))</f>
        <v>2960774.85867836</v>
      </c>
      <c r="S100" s="24">
        <f>IF(OR($J100="",$F100="不适用"),"",IFERROR(INDEX(_怪物模型!$D$2:$D$4501,(INT($J100)-1)*ROWS(_怪物类型!$A$2:$A$10)+MATCH($F100,_怪物类型!$A$2:$A$10,0))*IF($K100="",1,$K100),""))</f>
        <v>270053202.369073</v>
      </c>
      <c r="T100" s="24">
        <f>IF(OR($J100="",$F100="不适用"),"",IFERROR(INDEX(_怪物模型!$E$2:$E$4501,(INT($J100)-1)*ROWS(_怪物类型!$A$2:$A$10)+MATCH($F100,_怪物类型!$A$2:$A$10,0))*IF($L100="",1,$L100),""))</f>
        <v>180719.117948164</v>
      </c>
      <c r="U100" s="24">
        <f>IF(OR($J100="",$F100="不适用"),"",IFERROR(INDEX(_怪物模型!$F$2:$F$4501,(INT($J100)-1)*ROWS(_怪物类型!$A$2:$A$10)+MATCH($F100,_怪物类型!$A$2:$A$10,0))*IF($M100="",1,$M100),""))</f>
        <v>64033</v>
      </c>
      <c r="V100" s="6">
        <f t="shared" si="10"/>
        <v>0.727374961662104</v>
      </c>
      <c r="W100" s="24">
        <f t="shared" si="11"/>
        <v>990566398.506525</v>
      </c>
      <c r="X100" s="18">
        <f t="shared" si="12"/>
        <v>398.562373548102</v>
      </c>
      <c r="Y100" s="18">
        <f t="shared" si="13"/>
        <v>16.3832963124997</v>
      </c>
      <c r="Z100" s="18">
        <f t="shared" si="14"/>
        <v>1</v>
      </c>
      <c r="AA100" t="str">
        <f t="shared" si="15"/>
        <v>生存不成立</v>
      </c>
      <c r="AB100" t="str">
        <f t="shared" si="16"/>
        <v>有效</v>
      </c>
      <c r="AC100" t="str">
        <f t="shared" si="17"/>
        <v>不降</v>
      </c>
      <c r="AD100" t="s">
        <v>5754</v>
      </c>
      <c r="AE100" s="4">
        <v>1600000</v>
      </c>
      <c r="AF100" s="4">
        <f>INDEX(_统一战力!$B$2:$B$501,J100)</f>
        <v>3680000</v>
      </c>
      <c r="AG100">
        <v>2001</v>
      </c>
      <c r="AH100">
        <v>306</v>
      </c>
      <c r="AI100">
        <v>4</v>
      </c>
    </row>
    <row r="101" spans="1:35">
      <c r="A101" t="s">
        <v>5548</v>
      </c>
      <c r="B101" t="s">
        <v>5561</v>
      </c>
      <c r="C101" t="s">
        <v>582</v>
      </c>
      <c r="D101" t="s">
        <v>5755</v>
      </c>
      <c r="E101" t="s">
        <v>5563</v>
      </c>
      <c r="F101" t="s">
        <v>164</v>
      </c>
      <c r="G101">
        <v>278</v>
      </c>
      <c r="I101">
        <f t="shared" si="9"/>
        <v>278</v>
      </c>
      <c r="J101">
        <v>496</v>
      </c>
      <c r="K101" s="23">
        <v>1.12365090249887</v>
      </c>
      <c r="L101" s="23">
        <v>1.19840469602158</v>
      </c>
      <c r="M101" s="23">
        <v>1</v>
      </c>
      <c r="N101">
        <v>1</v>
      </c>
      <c r="O101">
        <v>1</v>
      </c>
      <c r="P101" s="18">
        <v>410.071142025166</v>
      </c>
      <c r="Q101" s="24">
        <f>IF($I101="","",IFERROR(INDEX(_玩家曲线!$H$2:$H$286,MATCH($I101,_玩家曲线!$A$2:$A$286,0)),""))</f>
        <v>2485348.50314207</v>
      </c>
      <c r="R101" s="24">
        <f>IF($I101="","",IFERROR(INDEX(_玩家曲线!$I$2:$I$286,MATCH($I101,_玩家曲线!$A$2:$A$286,0)),""))</f>
        <v>2960774.85867836</v>
      </c>
      <c r="S101" s="24">
        <f>IF(OR($J101="",$F101="不适用"),"",IFERROR(INDEX(_怪物模型!$D$2:$D$4501,(INT($J101)-1)*ROWS(_怪物类型!$A$2:$A$10)+MATCH($F101,_怪物类型!$A$2:$A$10,0))*IF($K101="",1,$K101),""))</f>
        <v>276097986.007044</v>
      </c>
      <c r="T101" s="24">
        <f>IF(OR($J101="",$F101="不适用"),"",IFERROR(INDEX(_怪物模型!$E$2:$E$4501,(INT($J101)-1)*ROWS(_怪物类型!$A$2:$A$10)+MATCH($F101,_怪物类型!$A$2:$A$10,0))*IF($L101="",1,$L101),""))</f>
        <v>183816.105894574</v>
      </c>
      <c r="U101" s="24">
        <f>IF(OR($J101="",$F101="不适用"),"",IFERROR(INDEX(_怪物模型!$F$2:$F$4501,(INT($J101)-1)*ROWS(_怪物类型!$A$2:$A$10)+MATCH($F101,_怪物类型!$A$2:$A$10,0))*IF($M101="",1,$M101),""))</f>
        <v>64592</v>
      </c>
      <c r="V101" s="6">
        <f t="shared" si="10"/>
        <v>0.729095177894167</v>
      </c>
      <c r="W101" s="24">
        <f t="shared" si="11"/>
        <v>1019169699.014</v>
      </c>
      <c r="X101" s="18">
        <f t="shared" si="12"/>
        <v>410.071142025164</v>
      </c>
      <c r="Y101" s="18">
        <f t="shared" si="13"/>
        <v>16.1072657059577</v>
      </c>
      <c r="Z101" s="18">
        <f t="shared" si="14"/>
        <v>0.999999999999995</v>
      </c>
      <c r="AA101" t="str">
        <f t="shared" si="15"/>
        <v>生存不成立</v>
      </c>
      <c r="AB101" t="str">
        <f t="shared" si="16"/>
        <v>有效</v>
      </c>
      <c r="AC101" t="str">
        <f t="shared" si="17"/>
        <v>不降</v>
      </c>
      <c r="AD101" t="s">
        <v>5756</v>
      </c>
      <c r="AE101" s="4">
        <v>1600000</v>
      </c>
      <c r="AF101" s="4">
        <f>INDEX(_统一战力!$B$2:$B$501,J101)</f>
        <v>3720000</v>
      </c>
      <c r="AG101">
        <v>2001</v>
      </c>
      <c r="AH101">
        <v>307</v>
      </c>
      <c r="AI101">
        <v>4</v>
      </c>
    </row>
    <row r="102" spans="1:35">
      <c r="A102" t="s">
        <v>5548</v>
      </c>
      <c r="B102" t="s">
        <v>5561</v>
      </c>
      <c r="C102" t="s">
        <v>582</v>
      </c>
      <c r="D102" t="s">
        <v>5757</v>
      </c>
      <c r="E102" t="s">
        <v>5563</v>
      </c>
      <c r="F102" t="s">
        <v>164</v>
      </c>
      <c r="G102">
        <v>278</v>
      </c>
      <c r="I102">
        <f t="shared" si="9"/>
        <v>278</v>
      </c>
      <c r="J102">
        <v>499</v>
      </c>
      <c r="K102" s="23">
        <v>1.12379966093351</v>
      </c>
      <c r="L102" s="23">
        <v>1.19878538127791</v>
      </c>
      <c r="M102" s="23">
        <v>1</v>
      </c>
      <c r="N102">
        <v>1</v>
      </c>
      <c r="O102">
        <v>1</v>
      </c>
      <c r="P102" s="18">
        <v>421.866759434699</v>
      </c>
      <c r="Q102" s="24">
        <f>IF($I102="","",IFERROR(INDEX(_玩家曲线!$H$2:$H$286,MATCH($I102,_玩家曲线!$A$2:$A$286,0)),""))</f>
        <v>2485348.50314207</v>
      </c>
      <c r="R102" s="24">
        <f>IF($I102="","",IFERROR(INDEX(_玩家曲线!$I$2:$I$286,MATCH($I102,_玩家曲线!$A$2:$A$286,0)),""))</f>
        <v>2960774.85867836</v>
      </c>
      <c r="S102" s="24">
        <f>IF(OR($J102="",$F102="不适用"),"",IFERROR(INDEX(_怪物模型!$D$2:$D$4501,(INT($J102)-1)*ROWS(_怪物类型!$A$2:$A$10)+MATCH($F102,_怪物类型!$A$2:$A$10,0))*IF($K102="",1,$K102),""))</f>
        <v>282252555.248552</v>
      </c>
      <c r="T102" s="24">
        <f>IF(OR($J102="",$F102="不适用"),"",IFERROR(INDEX(_怪物模型!$E$2:$E$4501,(INT($J102)-1)*ROWS(_怪物类型!$A$2:$A$10)+MATCH($F102,_怪物类型!$A$2:$A$10,0))*IF($L102="",1,$L102),""))</f>
        <v>186952.977781053</v>
      </c>
      <c r="U102" s="24">
        <f>IF(OR($J102="",$F102="不适用"),"",IFERROR(INDEX(_怪物模型!$F$2:$F$4501,(INT($J102)-1)*ROWS(_怪物类型!$A$2:$A$10)+MATCH($F102,_怪物类型!$A$2:$A$10,0))*IF($M102="",1,$M102),""))</f>
        <v>65153</v>
      </c>
      <c r="V102" s="6">
        <f t="shared" si="10"/>
        <v>0.730799860913261</v>
      </c>
      <c r="W102" s="24">
        <f t="shared" si="11"/>
        <v>1048485919.08642</v>
      </c>
      <c r="X102" s="18">
        <f t="shared" si="12"/>
        <v>421.866759434699</v>
      </c>
      <c r="Y102" s="18">
        <f t="shared" si="13"/>
        <v>15.8370029395618</v>
      </c>
      <c r="Z102" s="18">
        <f t="shared" si="14"/>
        <v>0.999999999999999</v>
      </c>
      <c r="AA102" t="str">
        <f t="shared" si="15"/>
        <v>生存不成立</v>
      </c>
      <c r="AB102" t="str">
        <f t="shared" si="16"/>
        <v>有效</v>
      </c>
      <c r="AC102" t="str">
        <f t="shared" si="17"/>
        <v>不降</v>
      </c>
      <c r="AD102" t="s">
        <v>5758</v>
      </c>
      <c r="AE102" s="4">
        <v>1600000</v>
      </c>
      <c r="AF102" s="4">
        <f>INDEX(_统一战力!$B$2:$B$501,J102)</f>
        <v>3770000</v>
      </c>
      <c r="AG102">
        <v>2001</v>
      </c>
      <c r="AH102">
        <v>308</v>
      </c>
      <c r="AI102">
        <v>4</v>
      </c>
    </row>
    <row r="103" spans="1:35">
      <c r="A103" t="s">
        <v>5548</v>
      </c>
      <c r="B103" t="s">
        <v>5561</v>
      </c>
      <c r="C103" t="s">
        <v>582</v>
      </c>
      <c r="D103" t="s">
        <v>5759</v>
      </c>
      <c r="E103" t="s">
        <v>5563</v>
      </c>
      <c r="F103" t="s">
        <v>164</v>
      </c>
      <c r="G103">
        <v>278</v>
      </c>
      <c r="I103">
        <f t="shared" si="9"/>
        <v>278</v>
      </c>
      <c r="J103">
        <v>500</v>
      </c>
      <c r="K103" s="23">
        <v>1.13450617282636</v>
      </c>
      <c r="L103" s="23">
        <v>1.2056666647743</v>
      </c>
      <c r="M103" s="23">
        <v>1</v>
      </c>
      <c r="N103">
        <v>1</v>
      </c>
      <c r="O103">
        <v>1</v>
      </c>
      <c r="P103" s="18">
        <v>429.90048919219</v>
      </c>
      <c r="Q103" s="24">
        <f>IF($I103="","",IFERROR(INDEX(_玩家曲线!$H$2:$H$286,MATCH($I103,_玩家曲线!$A$2:$A$286,0)),""))</f>
        <v>2485348.50314207</v>
      </c>
      <c r="R103" s="24">
        <f>IF($I103="","",IFERROR(INDEX(_玩家曲线!$I$2:$I$286,MATCH($I103,_玩家曲线!$A$2:$A$286,0)),""))</f>
        <v>2960774.85867836</v>
      </c>
      <c r="S103" s="24">
        <f>IF(OR($J103="",$F103="不适用"),"",IFERROR(INDEX(_怪物模型!$D$2:$D$4501,(INT($J103)-1)*ROWS(_怪物类型!$A$2:$A$10)+MATCH($F103,_怪物类型!$A$2:$A$10,0))*IF($K103="",1,$K103),""))</f>
        <v>287025530.507415</v>
      </c>
      <c r="T103" s="24">
        <f>IF(OR($J103="",$F103="不适用"),"",IFERROR(INDEX(_怪物模型!$E$2:$E$4501,(INT($J103)-1)*ROWS(_怪物类型!$A$2:$A$10)+MATCH($F103,_怪物类型!$A$2:$A$10,0))*IF($L103="",1,$L103),""))</f>
        <v>189067.823703247</v>
      </c>
      <c r="U103" s="24">
        <f>IF(OR($J103="",$F103="不适用"),"",IFERROR(INDEX(_怪物模型!$F$2:$F$4501,(INT($J103)-1)*ROWS(_怪物类型!$A$2:$A$10)+MATCH($F103,_怪物类型!$A$2:$A$10,0))*IF($M103="",1,$M103),""))</f>
        <v>65340</v>
      </c>
      <c r="V103" s="6">
        <f t="shared" si="10"/>
        <v>0.731363331094694</v>
      </c>
      <c r="W103" s="24">
        <f t="shared" si="11"/>
        <v>1068452537.31385</v>
      </c>
      <c r="X103" s="18">
        <f t="shared" si="12"/>
        <v>429.900489192189</v>
      </c>
      <c r="Y103" s="18">
        <f t="shared" si="13"/>
        <v>15.6598558162148</v>
      </c>
      <c r="Z103" s="18">
        <f t="shared" si="14"/>
        <v>0.999999999999999</v>
      </c>
      <c r="AA103" t="str">
        <f t="shared" si="15"/>
        <v>生存不成立</v>
      </c>
      <c r="AB103" t="str">
        <f t="shared" si="16"/>
        <v>有效</v>
      </c>
      <c r="AC103" t="str">
        <f t="shared" si="17"/>
        <v>不降</v>
      </c>
      <c r="AD103" t="s">
        <v>5760</v>
      </c>
      <c r="AE103" s="4">
        <v>1600000</v>
      </c>
      <c r="AF103" s="4">
        <f>INDEX(_统一战力!$B$2:$B$501,J103)</f>
        <v>3790000</v>
      </c>
      <c r="AG103">
        <v>2001</v>
      </c>
      <c r="AH103">
        <v>309</v>
      </c>
      <c r="AI103">
        <v>4</v>
      </c>
    </row>
    <row r="104" spans="1:35">
      <c r="A104" t="s">
        <v>5548</v>
      </c>
      <c r="B104" t="s">
        <v>5561</v>
      </c>
      <c r="C104" t="s">
        <v>582</v>
      </c>
      <c r="D104" t="s">
        <v>5761</v>
      </c>
      <c r="E104" t="s">
        <v>5563</v>
      </c>
      <c r="F104" t="s">
        <v>164</v>
      </c>
      <c r="G104">
        <v>278</v>
      </c>
      <c r="I104">
        <f t="shared" si="9"/>
        <v>278</v>
      </c>
      <c r="J104">
        <v>500</v>
      </c>
      <c r="K104" s="23">
        <v>1.1669514492807</v>
      </c>
      <c r="L104" s="23">
        <v>1.22611527194194</v>
      </c>
      <c r="M104" s="23">
        <v>1</v>
      </c>
      <c r="N104">
        <v>1</v>
      </c>
      <c r="O104">
        <v>1</v>
      </c>
      <c r="P104" s="18">
        <v>442.19503685864</v>
      </c>
      <c r="Q104" s="24">
        <f>IF($I104="","",IFERROR(INDEX(_玩家曲线!$H$2:$H$286,MATCH($I104,_玩家曲线!$A$2:$A$286,0)),""))</f>
        <v>2485348.50314207</v>
      </c>
      <c r="R104" s="24">
        <f>IF($I104="","",IFERROR(INDEX(_玩家曲线!$I$2:$I$286,MATCH($I104,_玩家曲线!$A$2:$A$286,0)),""))</f>
        <v>2960774.85867836</v>
      </c>
      <c r="S104" s="24">
        <f>IF(OR($J104="",$F104="不适用"),"",IFERROR(INDEX(_怪物模型!$D$2:$D$4501,(INT($J104)-1)*ROWS(_怪物类型!$A$2:$A$10)+MATCH($F104,_怪物类型!$A$2:$A$10,0))*IF($K104="",1,$K104),""))</f>
        <v>295234055.863929</v>
      </c>
      <c r="T104" s="24">
        <f>IF(OR($J104="",$F104="不适用"),"",IFERROR(INDEX(_怪物模型!$E$2:$E$4501,(INT($J104)-1)*ROWS(_怪物类型!$A$2:$A$10)+MATCH($F104,_怪物类型!$A$2:$A$10,0))*IF($L104="",1,$L104),""))</f>
        <v>192274.492484847</v>
      </c>
      <c r="U104" s="24">
        <f>IF(OR($J104="",$F104="不适用"),"",IFERROR(INDEX(_怪物模型!$F$2:$F$4501,(INT($J104)-1)*ROWS(_怪物类型!$A$2:$A$10)+MATCH($F104,_怪物类型!$A$2:$A$10,0))*IF($M104="",1,$M104),""))</f>
        <v>65340</v>
      </c>
      <c r="V104" s="6">
        <f t="shared" si="10"/>
        <v>0.731363331094694</v>
      </c>
      <c r="W104" s="24">
        <f t="shared" si="11"/>
        <v>1099008772.95347</v>
      </c>
      <c r="X104" s="18">
        <f t="shared" si="12"/>
        <v>442.19503685864</v>
      </c>
      <c r="Y104" s="18">
        <f t="shared" si="13"/>
        <v>15.3986876803833</v>
      </c>
      <c r="Z104" s="18">
        <f t="shared" si="14"/>
        <v>1</v>
      </c>
      <c r="AA104" t="str">
        <f t="shared" si="15"/>
        <v>生存不成立</v>
      </c>
      <c r="AB104" t="str">
        <f t="shared" si="16"/>
        <v>有效</v>
      </c>
      <c r="AC104" t="str">
        <f t="shared" si="17"/>
        <v>不降</v>
      </c>
      <c r="AD104" t="s">
        <v>5762</v>
      </c>
      <c r="AE104" s="4">
        <v>1600000</v>
      </c>
      <c r="AF104" s="4">
        <f>INDEX(_统一战力!$B$2:$B$501,J104)</f>
        <v>3790000</v>
      </c>
      <c r="AG104">
        <v>2001</v>
      </c>
      <c r="AH104">
        <v>310</v>
      </c>
      <c r="AI104">
        <v>4</v>
      </c>
    </row>
    <row r="105" spans="1:35">
      <c r="A105" t="s">
        <v>5548</v>
      </c>
      <c r="B105" t="s">
        <v>5561</v>
      </c>
      <c r="C105" t="s">
        <v>582</v>
      </c>
      <c r="D105" t="s">
        <v>5763</v>
      </c>
      <c r="E105" t="s">
        <v>5563</v>
      </c>
      <c r="F105" t="s">
        <v>164</v>
      </c>
      <c r="G105">
        <v>278</v>
      </c>
      <c r="I105">
        <f t="shared" si="9"/>
        <v>278</v>
      </c>
      <c r="J105">
        <v>500</v>
      </c>
      <c r="K105" s="23">
        <v>1.18904684735685</v>
      </c>
      <c r="L105" s="23">
        <v>1.23989391986865</v>
      </c>
      <c r="M105" s="23">
        <v>1</v>
      </c>
      <c r="N105">
        <v>1</v>
      </c>
      <c r="O105">
        <v>1</v>
      </c>
      <c r="P105" s="18">
        <v>450.567686271529</v>
      </c>
      <c r="Q105" s="24">
        <f>IF($I105="","",IFERROR(INDEX(_玩家曲线!$H$2:$H$286,MATCH($I105,_玩家曲线!$A$2:$A$286,0)),""))</f>
        <v>2485348.50314207</v>
      </c>
      <c r="R105" s="24">
        <f>IF($I105="","",IFERROR(INDEX(_玩家曲线!$I$2:$I$286,MATCH($I105,_玩家曲线!$A$2:$A$286,0)),""))</f>
        <v>2960774.85867836</v>
      </c>
      <c r="S105" s="24">
        <f>IF(OR($J105="",$F105="不适用"),"",IFERROR(INDEX(_怪物模型!$D$2:$D$4501,(INT($J105)-1)*ROWS(_怪物类型!$A$2:$A$10)+MATCH($F105,_怪物类型!$A$2:$A$10,0))*IF($K105="",1,$K105),""))</f>
        <v>300824103.328175</v>
      </c>
      <c r="T105" s="24">
        <f>IF(OR($J105="",$F105="不适用"),"",IFERROR(INDEX(_怪物模型!$E$2:$E$4501,(INT($J105)-1)*ROWS(_怪物类型!$A$2:$A$10)+MATCH($F105,_怪物类型!$A$2:$A$10,0))*IF($L105="",1,$L105),""))</f>
        <v>194435.204938122</v>
      </c>
      <c r="U105" s="24">
        <f>IF(OR($J105="",$F105="不适用"),"",IFERROR(INDEX(_怪物模型!$F$2:$F$4501,(INT($J105)-1)*ROWS(_怪物类型!$A$2:$A$10)+MATCH($F105,_怪物类型!$A$2:$A$10,0))*IF($M105="",1,$M105),""))</f>
        <v>65340</v>
      </c>
      <c r="V105" s="6">
        <f t="shared" si="10"/>
        <v>0.731363331094694</v>
      </c>
      <c r="W105" s="24">
        <f t="shared" si="11"/>
        <v>1119817724.63913</v>
      </c>
      <c r="X105" s="18">
        <f t="shared" si="12"/>
        <v>450.567686271529</v>
      </c>
      <c r="Y105" s="18">
        <f t="shared" si="13"/>
        <v>15.2275657056067</v>
      </c>
      <c r="Z105" s="18">
        <f t="shared" si="14"/>
        <v>1</v>
      </c>
      <c r="AA105" t="str">
        <f t="shared" si="15"/>
        <v>生存不成立</v>
      </c>
      <c r="AB105" t="str">
        <f t="shared" si="16"/>
        <v>有效</v>
      </c>
      <c r="AC105" t="str">
        <f t="shared" si="17"/>
        <v>不降</v>
      </c>
      <c r="AD105" t="s">
        <v>5764</v>
      </c>
      <c r="AE105" s="4">
        <v>1600000</v>
      </c>
      <c r="AF105" s="4">
        <f>INDEX(_统一战力!$B$2:$B$501,J105)</f>
        <v>3790000</v>
      </c>
      <c r="AG105">
        <v>2001</v>
      </c>
      <c r="AH105">
        <v>311</v>
      </c>
      <c r="AI105">
        <v>4</v>
      </c>
    </row>
    <row r="106" spans="1:35">
      <c r="A106" t="s">
        <v>5548</v>
      </c>
      <c r="B106" t="s">
        <v>5561</v>
      </c>
      <c r="C106" t="s">
        <v>582</v>
      </c>
      <c r="D106" t="s">
        <v>5765</v>
      </c>
      <c r="E106" t="s">
        <v>5563</v>
      </c>
      <c r="F106" t="s">
        <v>164</v>
      </c>
      <c r="G106">
        <v>278</v>
      </c>
      <c r="I106">
        <f t="shared" si="9"/>
        <v>278</v>
      </c>
      <c r="J106">
        <v>500</v>
      </c>
      <c r="K106" s="23">
        <v>1.22285764479794</v>
      </c>
      <c r="L106" s="23">
        <v>1.26079397327662</v>
      </c>
      <c r="M106" s="23">
        <v>1</v>
      </c>
      <c r="N106">
        <v>1</v>
      </c>
      <c r="O106">
        <v>1</v>
      </c>
      <c r="P106" s="18">
        <v>463.379673291126</v>
      </c>
      <c r="Q106" s="24">
        <f>IF($I106="","",IFERROR(INDEX(_玩家曲线!$H$2:$H$286,MATCH($I106,_玩家曲线!$A$2:$A$286,0)),""))</f>
        <v>2485348.50314207</v>
      </c>
      <c r="R106" s="24">
        <f>IF($I106="","",IFERROR(INDEX(_玩家曲线!$I$2:$I$286,MATCH($I106,_玩家曲线!$A$2:$A$286,0)),""))</f>
        <v>2960774.85867836</v>
      </c>
      <c r="S106" s="24">
        <f>IF(OR($J106="",$F106="不适用"),"",IFERROR(INDEX(_怪物模型!$D$2:$D$4501,(INT($J106)-1)*ROWS(_怪物类型!$A$2:$A$10)+MATCH($F106,_怪物类型!$A$2:$A$10,0))*IF($K106="",1,$K106),""))</f>
        <v>309378100.040446</v>
      </c>
      <c r="T106" s="24">
        <f>IF(OR($J106="",$F106="不适用"),"",IFERROR(INDEX(_怪物模型!$E$2:$E$4501,(INT($J106)-1)*ROWS(_怪物类型!$A$2:$A$10)+MATCH($F106,_怪物类型!$A$2:$A$10,0))*IF($L106="",1,$L106),""))</f>
        <v>197712.667713346</v>
      </c>
      <c r="U106" s="24">
        <f>IF(OR($J106="",$F106="不适用"),"",IFERROR(INDEX(_怪物模型!$F$2:$F$4501,(INT($J106)-1)*ROWS(_怪物类型!$A$2:$A$10)+MATCH($F106,_怪物类型!$A$2:$A$10,0))*IF($M106="",1,$M106),""))</f>
        <v>65340</v>
      </c>
      <c r="V106" s="6">
        <f t="shared" si="10"/>
        <v>0.731363331094694</v>
      </c>
      <c r="W106" s="24">
        <f t="shared" si="11"/>
        <v>1151659977.40056</v>
      </c>
      <c r="X106" s="18">
        <f t="shared" si="12"/>
        <v>463.379673291125</v>
      </c>
      <c r="Y106" s="18">
        <f t="shared" si="13"/>
        <v>14.9751398983248</v>
      </c>
      <c r="Z106" s="18">
        <f t="shared" si="14"/>
        <v>0.999999999999997</v>
      </c>
      <c r="AA106" t="str">
        <f t="shared" si="15"/>
        <v>生存不成立</v>
      </c>
      <c r="AB106" t="str">
        <f t="shared" si="16"/>
        <v>有效</v>
      </c>
      <c r="AC106" t="str">
        <f t="shared" si="17"/>
        <v>不降</v>
      </c>
      <c r="AD106" t="s">
        <v>5766</v>
      </c>
      <c r="AE106" s="4">
        <v>1600000</v>
      </c>
      <c r="AF106" s="4">
        <f>INDEX(_统一战力!$B$2:$B$501,J106)</f>
        <v>3790000</v>
      </c>
      <c r="AG106">
        <v>2001</v>
      </c>
      <c r="AH106">
        <v>312</v>
      </c>
      <c r="AI106">
        <v>4</v>
      </c>
    </row>
    <row r="107" spans="1:35">
      <c r="A107" t="s">
        <v>5548</v>
      </c>
      <c r="B107" t="s">
        <v>5561</v>
      </c>
      <c r="C107" t="s">
        <v>582</v>
      </c>
      <c r="D107" t="s">
        <v>5767</v>
      </c>
      <c r="E107" t="s">
        <v>5563</v>
      </c>
      <c r="F107" t="s">
        <v>164</v>
      </c>
      <c r="G107">
        <v>278</v>
      </c>
      <c r="I107">
        <f t="shared" si="9"/>
        <v>278</v>
      </c>
      <c r="J107">
        <v>500</v>
      </c>
      <c r="K107" s="23">
        <v>1.24586543211909</v>
      </c>
      <c r="L107" s="23">
        <v>1.27487782429538</v>
      </c>
      <c r="M107" s="23">
        <v>1</v>
      </c>
      <c r="N107">
        <v>1</v>
      </c>
      <c r="O107">
        <v>1</v>
      </c>
      <c r="P107" s="18">
        <v>472.098056021429</v>
      </c>
      <c r="Q107" s="24">
        <f>IF($I107="","",IFERROR(INDEX(_玩家曲线!$H$2:$H$286,MATCH($I107,_玩家曲线!$A$2:$A$286,0)),""))</f>
        <v>2485348.50314207</v>
      </c>
      <c r="R107" s="24">
        <f>IF($I107="","",IFERROR(INDEX(_玩家曲线!$I$2:$I$286,MATCH($I107,_玩家曲线!$A$2:$A$286,0)),""))</f>
        <v>2960774.85867836</v>
      </c>
      <c r="S107" s="24">
        <f>IF(OR($J107="",$F107="不适用"),"",IFERROR(INDEX(_怪物模型!$D$2:$D$4501,(INT($J107)-1)*ROWS(_怪物类型!$A$2:$A$10)+MATCH($F107,_怪物类型!$A$2:$A$10,0))*IF($K107="",1,$K107),""))</f>
        <v>315198978.339594</v>
      </c>
      <c r="T107" s="24">
        <f>IF(OR($J107="",$F107="不适用"),"",IFERROR(INDEX(_怪物模型!$E$2:$E$4501,(INT($J107)-1)*ROWS(_怪物类型!$A$2:$A$10)+MATCH($F107,_怪物类型!$A$2:$A$10,0))*IF($L107="",1,$L107),""))</f>
        <v>199921.240894704</v>
      </c>
      <c r="U107" s="24">
        <f>IF(OR($J107="",$F107="不适用"),"",IFERROR(INDEX(_怪物模型!$F$2:$F$4501,(INT($J107)-1)*ROWS(_怪物类型!$A$2:$A$10)+MATCH($F107,_怪物类型!$A$2:$A$10,0))*IF($M107="",1,$M107),""))</f>
        <v>65340</v>
      </c>
      <c r="V107" s="6">
        <f t="shared" si="10"/>
        <v>0.731363331094694</v>
      </c>
      <c r="W107" s="24">
        <f t="shared" si="11"/>
        <v>1173328196.86914</v>
      </c>
      <c r="X107" s="18">
        <f t="shared" si="12"/>
        <v>472.098056021428</v>
      </c>
      <c r="Y107" s="18">
        <f t="shared" si="13"/>
        <v>14.8097062894771</v>
      </c>
      <c r="Z107" s="18">
        <f t="shared" si="14"/>
        <v>0.999999999999999</v>
      </c>
      <c r="AA107" t="str">
        <f t="shared" si="15"/>
        <v>生存不成立</v>
      </c>
      <c r="AB107" t="str">
        <f t="shared" si="16"/>
        <v>有效</v>
      </c>
      <c r="AC107" t="str">
        <f t="shared" si="17"/>
        <v>不降</v>
      </c>
      <c r="AD107" t="s">
        <v>5768</v>
      </c>
      <c r="AE107" s="4">
        <v>1600000</v>
      </c>
      <c r="AF107" s="4">
        <f>INDEX(_统一战力!$B$2:$B$501,J107)</f>
        <v>3790000</v>
      </c>
      <c r="AG107">
        <v>2001</v>
      </c>
      <c r="AH107">
        <v>313</v>
      </c>
      <c r="AI107">
        <v>4</v>
      </c>
    </row>
    <row r="108" spans="1:35">
      <c r="A108" t="s">
        <v>5548</v>
      </c>
      <c r="B108" t="s">
        <v>5561</v>
      </c>
      <c r="C108" t="s">
        <v>582</v>
      </c>
      <c r="D108" t="s">
        <v>5769</v>
      </c>
      <c r="E108" t="s">
        <v>5563</v>
      </c>
      <c r="F108" t="s">
        <v>164</v>
      </c>
      <c r="G108">
        <v>278</v>
      </c>
      <c r="I108">
        <f t="shared" si="9"/>
        <v>278</v>
      </c>
      <c r="J108">
        <v>500</v>
      </c>
      <c r="K108" s="23">
        <v>1.24586543211909</v>
      </c>
      <c r="L108" s="23">
        <v>1.27487782429538</v>
      </c>
      <c r="M108" s="23">
        <v>1</v>
      </c>
      <c r="N108">
        <v>1</v>
      </c>
      <c r="O108">
        <v>1</v>
      </c>
      <c r="P108" s="18">
        <v>472.098056021429</v>
      </c>
      <c r="Q108" s="24">
        <f>IF($I108="","",IFERROR(INDEX(_玩家曲线!$H$2:$H$286,MATCH($I108,_玩家曲线!$A$2:$A$286,0)),""))</f>
        <v>2485348.50314207</v>
      </c>
      <c r="R108" s="24">
        <f>IF($I108="","",IFERROR(INDEX(_玩家曲线!$I$2:$I$286,MATCH($I108,_玩家曲线!$A$2:$A$286,0)),""))</f>
        <v>2960774.85867836</v>
      </c>
      <c r="S108" s="24">
        <f>IF(OR($J108="",$F108="不适用"),"",IFERROR(INDEX(_怪物模型!$D$2:$D$4501,(INT($J108)-1)*ROWS(_怪物类型!$A$2:$A$10)+MATCH($F108,_怪物类型!$A$2:$A$10,0))*IF($K108="",1,$K108),""))</f>
        <v>315198978.339594</v>
      </c>
      <c r="T108" s="24">
        <f>IF(OR($J108="",$F108="不适用"),"",IFERROR(INDEX(_怪物模型!$E$2:$E$4501,(INT($J108)-1)*ROWS(_怪物类型!$A$2:$A$10)+MATCH($F108,_怪物类型!$A$2:$A$10,0))*IF($L108="",1,$L108),""))</f>
        <v>199921.240894704</v>
      </c>
      <c r="U108" s="24">
        <f>IF(OR($J108="",$F108="不适用"),"",IFERROR(INDEX(_怪物模型!$F$2:$F$4501,(INT($J108)-1)*ROWS(_怪物类型!$A$2:$A$10)+MATCH($F108,_怪物类型!$A$2:$A$10,0))*IF($M108="",1,$M108),""))</f>
        <v>65340</v>
      </c>
      <c r="V108" s="6">
        <f t="shared" si="10"/>
        <v>0.731363331094694</v>
      </c>
      <c r="W108" s="24">
        <f t="shared" si="11"/>
        <v>1173328196.86914</v>
      </c>
      <c r="X108" s="18">
        <f t="shared" si="12"/>
        <v>472.098056021428</v>
      </c>
      <c r="Y108" s="18">
        <f t="shared" si="13"/>
        <v>14.8097062894771</v>
      </c>
      <c r="Z108" s="18">
        <f t="shared" si="14"/>
        <v>0.999999999999999</v>
      </c>
      <c r="AA108" t="str">
        <f t="shared" si="15"/>
        <v>生存不成立</v>
      </c>
      <c r="AB108" t="str">
        <f t="shared" si="16"/>
        <v>有效</v>
      </c>
      <c r="AC108" t="str">
        <f t="shared" si="17"/>
        <v>不降</v>
      </c>
      <c r="AD108" t="s">
        <v>5770</v>
      </c>
      <c r="AE108" s="4">
        <v>1600000</v>
      </c>
      <c r="AF108" s="4">
        <f>INDEX(_统一战力!$B$2:$B$501,J108)</f>
        <v>3790000</v>
      </c>
      <c r="AG108">
        <v>2001</v>
      </c>
      <c r="AH108">
        <v>314</v>
      </c>
      <c r="AI108">
        <v>4</v>
      </c>
    </row>
    <row r="109" spans="1:35">
      <c r="A109" t="s">
        <v>5548</v>
      </c>
      <c r="B109" t="s">
        <v>5561</v>
      </c>
      <c r="C109" t="s">
        <v>582</v>
      </c>
      <c r="D109" t="s">
        <v>5771</v>
      </c>
      <c r="E109" t="s">
        <v>5563</v>
      </c>
      <c r="F109" t="s">
        <v>164</v>
      </c>
      <c r="G109">
        <v>278</v>
      </c>
      <c r="I109">
        <f t="shared" si="9"/>
        <v>278</v>
      </c>
      <c r="J109">
        <v>500</v>
      </c>
      <c r="K109" s="23">
        <v>1.25751430746906</v>
      </c>
      <c r="L109" s="23">
        <v>1.28196743778789</v>
      </c>
      <c r="M109" s="23">
        <v>1</v>
      </c>
      <c r="N109">
        <v>1</v>
      </c>
      <c r="O109">
        <v>1</v>
      </c>
      <c r="P109" s="18">
        <v>476.512185562052</v>
      </c>
      <c r="Q109" s="24">
        <f>IF($I109="","",IFERROR(INDEX(_玩家曲线!$H$2:$H$286,MATCH($I109,_玩家曲线!$A$2:$A$286,0)),""))</f>
        <v>2485348.50314207</v>
      </c>
      <c r="R109" s="24">
        <f>IF($I109="","",IFERROR(INDEX(_玩家曲线!$I$2:$I$286,MATCH($I109,_玩家曲线!$A$2:$A$286,0)),""))</f>
        <v>2960774.85867836</v>
      </c>
      <c r="S109" s="24">
        <f>IF(OR($J109="",$F109="不适用"),"",IFERROR(INDEX(_怪物模型!$D$2:$D$4501,(INT($J109)-1)*ROWS(_怪物类型!$A$2:$A$10)+MATCH($F109,_怪物类型!$A$2:$A$10,0))*IF($K109="",1,$K109),""))</f>
        <v>318146097.277528</v>
      </c>
      <c r="T109" s="24">
        <f>IF(OR($J109="",$F109="不适用"),"",IFERROR(INDEX(_怪物模型!$E$2:$E$4501,(INT($J109)-1)*ROWS(_怪物类型!$A$2:$A$10)+MATCH($F109,_怪物类型!$A$2:$A$10,0))*IF($L109="",1,$L109),""))</f>
        <v>201033.005724146</v>
      </c>
      <c r="U109" s="24">
        <f>IF(OR($J109="",$F109="不适用"),"",IFERROR(INDEX(_怪物模型!$F$2:$F$4501,(INT($J109)-1)*ROWS(_怪物类型!$A$2:$A$10)+MATCH($F109,_怪物类型!$A$2:$A$10,0))*IF($M109="",1,$M109),""))</f>
        <v>65340</v>
      </c>
      <c r="V109" s="6">
        <f t="shared" si="10"/>
        <v>0.731363331094694</v>
      </c>
      <c r="W109" s="24">
        <f t="shared" si="11"/>
        <v>1184298847.1156</v>
      </c>
      <c r="X109" s="18">
        <f t="shared" si="12"/>
        <v>476.512185562051</v>
      </c>
      <c r="Y109" s="18">
        <f t="shared" si="13"/>
        <v>14.7278047602844</v>
      </c>
      <c r="Z109" s="18">
        <f t="shared" si="14"/>
        <v>0.999999999999997</v>
      </c>
      <c r="AA109" t="str">
        <f t="shared" si="15"/>
        <v>生存不成立</v>
      </c>
      <c r="AB109" t="str">
        <f t="shared" si="16"/>
        <v>有效</v>
      </c>
      <c r="AC109" t="str">
        <f t="shared" si="17"/>
        <v>不降</v>
      </c>
      <c r="AD109" t="s">
        <v>5772</v>
      </c>
      <c r="AE109" s="4">
        <v>1600000</v>
      </c>
      <c r="AF109" s="4">
        <f>INDEX(_统一战力!$B$2:$B$501,J109)</f>
        <v>3790000</v>
      </c>
      <c r="AG109">
        <v>2001</v>
      </c>
      <c r="AH109">
        <v>315</v>
      </c>
      <c r="AI109">
        <v>4</v>
      </c>
    </row>
    <row r="110" spans="1:35">
      <c r="A110" t="s">
        <v>5548</v>
      </c>
      <c r="B110" t="s">
        <v>5561</v>
      </c>
      <c r="C110" t="s">
        <v>582</v>
      </c>
      <c r="D110" t="s">
        <v>5773</v>
      </c>
      <c r="E110" t="s">
        <v>5563</v>
      </c>
      <c r="F110" t="s">
        <v>164</v>
      </c>
      <c r="G110">
        <v>278</v>
      </c>
      <c r="I110">
        <f t="shared" si="9"/>
        <v>278</v>
      </c>
      <c r="J110">
        <v>500</v>
      </c>
      <c r="K110" s="23">
        <v>1.06841343043228</v>
      </c>
      <c r="L110" s="23">
        <v>1.30760678654365</v>
      </c>
      <c r="M110" s="23">
        <v>1.02</v>
      </c>
      <c r="N110">
        <v>1</v>
      </c>
      <c r="O110">
        <v>1</v>
      </c>
      <c r="P110" s="18">
        <v>410.777780412269</v>
      </c>
      <c r="Q110" s="24">
        <f>IF($I110="","",IFERROR(INDEX(_玩家曲线!$H$2:$H$286,MATCH($I110,_玩家曲线!$A$2:$A$286,0)),""))</f>
        <v>2485348.50314207</v>
      </c>
      <c r="R110" s="24">
        <f>IF($I110="","",IFERROR(INDEX(_玩家曲线!$I$2:$I$286,MATCH($I110,_玩家曲线!$A$2:$A$286,0)),""))</f>
        <v>2960774.85867836</v>
      </c>
      <c r="S110" s="24">
        <f>IF(OR($J110="",$F110="不适用"),"",IFERROR(INDEX(_怪物模型!$D$2:$D$4501,(INT($J110)-1)*ROWS(_怪物类型!$A$2:$A$10)+MATCH($F110,_怪物类型!$A$2:$A$10,0))*IF($K110="",1,$K110),""))</f>
        <v>270304330.656126</v>
      </c>
      <c r="T110" s="24">
        <f>IF(OR($J110="",$F110="不适用"),"",IFERROR(INDEX(_怪物模型!$E$2:$E$4501,(INT($J110)-1)*ROWS(_怪物类型!$A$2:$A$10)+MATCH($F110,_怪物类型!$A$2:$A$10,0))*IF($L110="",1,$L110),""))</f>
        <v>205053.665838629</v>
      </c>
      <c r="U110" s="24">
        <f>IF(OR($J110="",$F110="不适用"),"",IFERROR(INDEX(_怪物模型!$F$2:$F$4501,(INT($J110)-1)*ROWS(_怪物类型!$A$2:$A$10)+MATCH($F110,_怪物类型!$A$2:$A$10,0))*IF($M110="",1,$M110),""))</f>
        <v>66646.8</v>
      </c>
      <c r="V110" s="6">
        <f t="shared" si="10"/>
        <v>0.735236103204967</v>
      </c>
      <c r="W110" s="24">
        <f t="shared" si="11"/>
        <v>1020925941.67165</v>
      </c>
      <c r="X110" s="18">
        <f t="shared" si="12"/>
        <v>410.777780412269</v>
      </c>
      <c r="Y110" s="18">
        <f t="shared" si="13"/>
        <v>14.4390242747886</v>
      </c>
      <c r="Z110" s="18">
        <f t="shared" si="14"/>
        <v>1</v>
      </c>
      <c r="AA110" t="str">
        <f t="shared" si="15"/>
        <v>生存不成立</v>
      </c>
      <c r="AB110" t="str">
        <f t="shared" si="16"/>
        <v>有效</v>
      </c>
      <c r="AC110" t="str">
        <f t="shared" si="17"/>
        <v>不降</v>
      </c>
      <c r="AD110" t="s">
        <v>5774</v>
      </c>
      <c r="AE110" s="4">
        <v>1600000</v>
      </c>
      <c r="AF110" s="4">
        <f>INDEX(_统一战力!$B$2:$B$501,J110)</f>
        <v>3790000</v>
      </c>
      <c r="AG110">
        <v>2002</v>
      </c>
      <c r="AH110">
        <v>316</v>
      </c>
      <c r="AI110">
        <v>4</v>
      </c>
    </row>
    <row r="111" spans="1:35">
      <c r="A111" t="s">
        <v>5548</v>
      </c>
      <c r="B111" t="s">
        <v>5561</v>
      </c>
      <c r="C111" t="s">
        <v>582</v>
      </c>
      <c r="D111" t="s">
        <v>5775</v>
      </c>
      <c r="E111" t="s">
        <v>5563</v>
      </c>
      <c r="F111" t="s">
        <v>164</v>
      </c>
      <c r="G111">
        <v>278</v>
      </c>
      <c r="I111">
        <f t="shared" si="9"/>
        <v>278</v>
      </c>
      <c r="J111">
        <v>500</v>
      </c>
      <c r="K111" s="23">
        <v>1.08889342250944</v>
      </c>
      <c r="L111" s="23">
        <v>1.33324613529941</v>
      </c>
      <c r="M111" s="23">
        <v>1.04</v>
      </c>
      <c r="N111">
        <v>1</v>
      </c>
      <c r="O111">
        <v>1</v>
      </c>
      <c r="P111" s="18">
        <v>424.687265902612</v>
      </c>
      <c r="Q111" s="24">
        <f>IF($I111="","",IFERROR(INDEX(_玩家曲线!$H$2:$H$286,MATCH($I111,_玩家曲线!$A$2:$A$286,0)),""))</f>
        <v>2485348.50314207</v>
      </c>
      <c r="R111" s="24">
        <f>IF($I111="","",IFERROR(INDEX(_玩家曲线!$I$2:$I$286,MATCH($I111,_玩家曲线!$A$2:$A$286,0)),""))</f>
        <v>2960774.85867836</v>
      </c>
      <c r="S111" s="24">
        <f>IF(OR($J111="",$F111="不适用"),"",IFERROR(INDEX(_怪物模型!$D$2:$D$4501,(INT($J111)-1)*ROWS(_怪物类型!$A$2:$A$10)+MATCH($F111,_怪物类型!$A$2:$A$10,0))*IF($K111="",1,$K111),""))</f>
        <v>275485686.854559</v>
      </c>
      <c r="T111" s="24">
        <f>IF(OR($J111="",$F111="不适用"),"",IFERROR(INDEX(_怪物模型!$E$2:$E$4501,(INT($J111)-1)*ROWS(_怪物类型!$A$2:$A$10)+MATCH($F111,_怪物类型!$A$2:$A$10,0))*IF($L111="",1,$L111),""))</f>
        <v>209074.325953112</v>
      </c>
      <c r="U111" s="24">
        <f>IF(OR($J111="",$F111="不适用"),"",IFERROR(INDEX(_怪物模型!$F$2:$F$4501,(INT($J111)-1)*ROWS(_怪物类型!$A$2:$A$10)+MATCH($F111,_怪物类型!$A$2:$A$10,0))*IF($M111="",1,$M111),""))</f>
        <v>67953.6</v>
      </c>
      <c r="V111" s="6">
        <f t="shared" si="10"/>
        <v>0.738998799394477</v>
      </c>
      <c r="W111" s="24">
        <f t="shared" si="11"/>
        <v>1055495860.61456</v>
      </c>
      <c r="X111" s="18">
        <f t="shared" si="12"/>
        <v>424.687265902613</v>
      </c>
      <c r="Y111" s="18">
        <f t="shared" si="13"/>
        <v>14.1613507310427</v>
      </c>
      <c r="Z111" s="18">
        <f t="shared" si="14"/>
        <v>1</v>
      </c>
      <c r="AA111" t="str">
        <f t="shared" si="15"/>
        <v>生存不成立</v>
      </c>
      <c r="AB111" t="str">
        <f t="shared" si="16"/>
        <v>有效</v>
      </c>
      <c r="AC111" t="str">
        <f t="shared" si="17"/>
        <v>不降</v>
      </c>
      <c r="AD111" t="s">
        <v>5776</v>
      </c>
      <c r="AE111" s="4">
        <v>1600000</v>
      </c>
      <c r="AF111" s="4">
        <f>INDEX(_统一战力!$B$2:$B$501,J111)</f>
        <v>3790000</v>
      </c>
      <c r="AG111">
        <v>2003</v>
      </c>
      <c r="AH111">
        <v>317</v>
      </c>
      <c r="AI111">
        <v>4</v>
      </c>
    </row>
    <row r="112" spans="1:35">
      <c r="A112" t="s">
        <v>5548</v>
      </c>
      <c r="B112" t="s">
        <v>5561</v>
      </c>
      <c r="C112" t="s">
        <v>582</v>
      </c>
      <c r="D112" t="s">
        <v>5777</v>
      </c>
      <c r="E112" t="s">
        <v>5563</v>
      </c>
      <c r="F112" t="s">
        <v>164</v>
      </c>
      <c r="G112">
        <v>278</v>
      </c>
      <c r="I112">
        <f t="shared" si="9"/>
        <v>278</v>
      </c>
      <c r="J112">
        <v>500</v>
      </c>
      <c r="K112" s="23">
        <v>1.10936876961859</v>
      </c>
      <c r="L112" s="23">
        <v>1.35888548405517</v>
      </c>
      <c r="M112" s="23">
        <v>1.06</v>
      </c>
      <c r="N112">
        <v>1</v>
      </c>
      <c r="O112">
        <v>1</v>
      </c>
      <c r="P112" s="18">
        <v>438.821944439408</v>
      </c>
      <c r="Q112" s="24">
        <f>IF($I112="","",IFERROR(INDEX(_玩家曲线!$H$2:$H$286,MATCH($I112,_玩家曲线!$A$2:$A$286,0)),""))</f>
        <v>2485348.50314207</v>
      </c>
      <c r="R112" s="24">
        <f>IF($I112="","",IFERROR(INDEX(_玩家曲线!$I$2:$I$286,MATCH($I112,_玩家曲线!$A$2:$A$286,0)),""))</f>
        <v>2960774.85867836</v>
      </c>
      <c r="S112" s="24">
        <f>IF(OR($J112="",$F112="不适用"),"",IFERROR(INDEX(_怪物模型!$D$2:$D$4501,(INT($J112)-1)*ROWS(_怪物类型!$A$2:$A$10)+MATCH($F112,_怪物类型!$A$2:$A$10,0))*IF($K112="",1,$K112),""))</f>
        <v>280665867.894637</v>
      </c>
      <c r="T112" s="24">
        <f>IF(OR($J112="",$F112="不适用"),"",IFERROR(INDEX(_怪物模型!$E$2:$E$4501,(INT($J112)-1)*ROWS(_怪物类型!$A$2:$A$10)+MATCH($F112,_怪物类型!$A$2:$A$10,0))*IF($L112="",1,$L112),""))</f>
        <v>213094.986067596</v>
      </c>
      <c r="U112" s="24">
        <f>IF(OR($J112="",$F112="不适用"),"",IFERROR(INDEX(_怪物模型!$F$2:$F$4501,(INT($J112)-1)*ROWS(_怪物类型!$A$2:$A$10)+MATCH($F112,_怪物类型!$A$2:$A$10,0))*IF($M112="",1,$M112),""))</f>
        <v>69260.4</v>
      </c>
      <c r="V112" s="6">
        <f t="shared" si="10"/>
        <v>0.742656046939537</v>
      </c>
      <c r="W112" s="24">
        <f t="shared" si="11"/>
        <v>1090625462.75838</v>
      </c>
      <c r="X112" s="18">
        <f t="shared" si="12"/>
        <v>438.821944439409</v>
      </c>
      <c r="Y112" s="18">
        <f t="shared" si="13"/>
        <v>13.8941554342305</v>
      </c>
      <c r="Z112" s="18">
        <f t="shared" si="14"/>
        <v>1</v>
      </c>
      <c r="AA112" t="str">
        <f t="shared" si="15"/>
        <v>生存不成立</v>
      </c>
      <c r="AB112" t="str">
        <f t="shared" si="16"/>
        <v>有效</v>
      </c>
      <c r="AC112" t="str">
        <f t="shared" si="17"/>
        <v>不降</v>
      </c>
      <c r="AD112" t="s">
        <v>5778</v>
      </c>
      <c r="AE112" s="4">
        <v>1600000</v>
      </c>
      <c r="AF112" s="4">
        <f>INDEX(_统一战力!$B$2:$B$501,J112)</f>
        <v>3790000</v>
      </c>
      <c r="AG112">
        <v>2004</v>
      </c>
      <c r="AH112">
        <v>318</v>
      </c>
      <c r="AI112">
        <v>4</v>
      </c>
    </row>
    <row r="113" spans="1:35">
      <c r="A113" t="s">
        <v>5548</v>
      </c>
      <c r="B113" t="s">
        <v>5561</v>
      </c>
      <c r="C113" t="s">
        <v>582</v>
      </c>
      <c r="D113" t="s">
        <v>5779</v>
      </c>
      <c r="E113" t="s">
        <v>5563</v>
      </c>
      <c r="F113" t="s">
        <v>164</v>
      </c>
      <c r="G113">
        <v>278</v>
      </c>
      <c r="I113">
        <f t="shared" si="9"/>
        <v>278</v>
      </c>
      <c r="J113">
        <v>500</v>
      </c>
      <c r="K113" s="23">
        <v>1.12983966432261</v>
      </c>
      <c r="L113" s="23">
        <v>1.38452483281092</v>
      </c>
      <c r="M113" s="23">
        <v>1.08</v>
      </c>
      <c r="N113">
        <v>1</v>
      </c>
      <c r="O113">
        <v>1</v>
      </c>
      <c r="P113" s="18">
        <v>453.181816022656</v>
      </c>
      <c r="Q113" s="24">
        <f>IF($I113="","",IFERROR(INDEX(_玩家曲线!$H$2:$H$286,MATCH($I113,_玩家曲线!$A$2:$A$286,0)),""))</f>
        <v>2485348.50314207</v>
      </c>
      <c r="R113" s="24">
        <f>IF($I113="","",IFERROR(INDEX(_玩家曲线!$I$2:$I$286,MATCH($I113,_玩家曲线!$A$2:$A$286,0)),""))</f>
        <v>2960774.85867836</v>
      </c>
      <c r="S113" s="24">
        <f>IF(OR($J113="",$F113="不适用"),"",IFERROR(INDEX(_怪物模型!$D$2:$D$4501,(INT($J113)-1)*ROWS(_怪物类型!$A$2:$A$10)+MATCH($F113,_怪物类型!$A$2:$A$10,0))*IF($K113="",1,$K113),""))</f>
        <v>285844922.494001</v>
      </c>
      <c r="T113" s="24">
        <f>IF(OR($J113="",$F113="不适用"),"",IFERROR(INDEX(_怪物模型!$E$2:$E$4501,(INT($J113)-1)*ROWS(_怪物类型!$A$2:$A$10)+MATCH($F113,_怪物类型!$A$2:$A$10,0))*IF($L113="",1,$L113),""))</f>
        <v>217115.646182077</v>
      </c>
      <c r="U113" s="24">
        <f>IF(OR($J113="",$F113="不适用"),"",IFERROR(INDEX(_怪物模型!$F$2:$F$4501,(INT($J113)-1)*ROWS(_怪物类型!$A$2:$A$10)+MATCH($F113,_怪物类型!$A$2:$A$10,0))*IF($M113="",1,$M113),""))</f>
        <v>70567.2</v>
      </c>
      <c r="V113" s="6">
        <f t="shared" si="10"/>
        <v>0.746212217343857</v>
      </c>
      <c r="W113" s="24">
        <f t="shared" si="11"/>
        <v>1126314748.10311</v>
      </c>
      <c r="X113" s="18">
        <f t="shared" si="12"/>
        <v>453.181816022656</v>
      </c>
      <c r="Y113" s="18">
        <f t="shared" si="13"/>
        <v>13.6368562595226</v>
      </c>
      <c r="Z113" s="18">
        <f t="shared" si="14"/>
        <v>0.999999999999999</v>
      </c>
      <c r="AA113" t="str">
        <f t="shared" si="15"/>
        <v>生存不成立</v>
      </c>
      <c r="AB113" t="str">
        <f t="shared" si="16"/>
        <v>有效</v>
      </c>
      <c r="AC113" t="str">
        <f t="shared" si="17"/>
        <v>不降</v>
      </c>
      <c r="AD113" t="s">
        <v>5780</v>
      </c>
      <c r="AE113" s="4">
        <v>1600000</v>
      </c>
      <c r="AF113" s="4">
        <f>INDEX(_统一战力!$B$2:$B$501,J113)</f>
        <v>3790000</v>
      </c>
      <c r="AG113">
        <v>2005</v>
      </c>
      <c r="AH113">
        <v>319</v>
      </c>
      <c r="AI113">
        <v>4</v>
      </c>
    </row>
    <row r="114" spans="1:35">
      <c r="A114" t="s">
        <v>5548</v>
      </c>
      <c r="B114" t="s">
        <v>5561</v>
      </c>
      <c r="C114" t="s">
        <v>582</v>
      </c>
      <c r="D114" t="s">
        <v>5781</v>
      </c>
      <c r="E114" t="s">
        <v>5563</v>
      </c>
      <c r="F114" t="s">
        <v>164</v>
      </c>
      <c r="G114">
        <v>278</v>
      </c>
      <c r="I114">
        <f t="shared" si="9"/>
        <v>278</v>
      </c>
      <c r="J114">
        <v>500</v>
      </c>
      <c r="K114" s="23">
        <v>1.15030628868556</v>
      </c>
      <c r="L114" s="23">
        <v>1.41016418156668</v>
      </c>
      <c r="M114" s="23">
        <v>1.1</v>
      </c>
      <c r="N114">
        <v>1</v>
      </c>
      <c r="O114">
        <v>1</v>
      </c>
      <c r="P114" s="18">
        <v>467.766880652355</v>
      </c>
      <c r="Q114" s="24">
        <f>IF($I114="","",IFERROR(INDEX(_玩家曲线!$H$2:$H$286,MATCH($I114,_玩家曲线!$A$2:$A$286,0)),""))</f>
        <v>2485348.50314207</v>
      </c>
      <c r="R114" s="24">
        <f>IF($I114="","",IFERROR(INDEX(_玩家曲线!$I$2:$I$286,MATCH($I114,_玩家曲线!$A$2:$A$286,0)),""))</f>
        <v>2960774.85867836</v>
      </c>
      <c r="S114" s="24">
        <f>IF(OR($J114="",$F114="不适用"),"",IFERROR(INDEX(_怪物模型!$D$2:$D$4501,(INT($J114)-1)*ROWS(_怪物类型!$A$2:$A$10)+MATCH($F114,_怪物类型!$A$2:$A$10,0))*IF($K114="",1,$K114),""))</f>
        <v>291022896.71413</v>
      </c>
      <c r="T114" s="24">
        <f>IF(OR($J114="",$F114="不适用"),"",IFERROR(INDEX(_怪物模型!$E$2:$E$4501,(INT($J114)-1)*ROWS(_怪物类型!$A$2:$A$10)+MATCH($F114,_怪物类型!$A$2:$A$10,0))*IF($L114="",1,$L114),""))</f>
        <v>221136.306296561</v>
      </c>
      <c r="U114" s="24">
        <f>IF(OR($J114="",$F114="不适用"),"",IFERROR(INDEX(_怪物模型!$F$2:$F$4501,(INT($J114)-1)*ROWS(_怪物类型!$A$2:$A$10)+MATCH($F114,_怪物类型!$A$2:$A$10,0))*IF($M114="",1,$M114),""))</f>
        <v>71874</v>
      </c>
      <c r="V114" s="6">
        <f t="shared" si="10"/>
        <v>0.749671443769948</v>
      </c>
      <c r="W114" s="24">
        <f t="shared" si="11"/>
        <v>1162563716.64877</v>
      </c>
      <c r="X114" s="18">
        <f t="shared" si="12"/>
        <v>467.766880652357</v>
      </c>
      <c r="Y114" s="18">
        <f t="shared" si="13"/>
        <v>13.3889134184404</v>
      </c>
      <c r="Z114" s="18">
        <f t="shared" si="14"/>
        <v>1</v>
      </c>
      <c r="AA114" t="str">
        <f t="shared" si="15"/>
        <v>生存不成立</v>
      </c>
      <c r="AB114" t="str">
        <f t="shared" si="16"/>
        <v>有效</v>
      </c>
      <c r="AC114" t="str">
        <f t="shared" si="17"/>
        <v>不降</v>
      </c>
      <c r="AD114" t="s">
        <v>5782</v>
      </c>
      <c r="AE114" s="4">
        <v>1600000</v>
      </c>
      <c r="AF114" s="4">
        <f>INDEX(_统一战力!$B$2:$B$501,J114)</f>
        <v>3790000</v>
      </c>
      <c r="AG114">
        <v>2006</v>
      </c>
      <c r="AH114">
        <v>320</v>
      </c>
      <c r="AI114">
        <v>4</v>
      </c>
    </row>
    <row r="115" spans="1:35">
      <c r="A115" t="s">
        <v>5548</v>
      </c>
      <c r="B115" t="s">
        <v>5561</v>
      </c>
      <c r="C115" t="s">
        <v>582</v>
      </c>
      <c r="D115" t="s">
        <v>5783</v>
      </c>
      <c r="E115" t="s">
        <v>5563</v>
      </c>
      <c r="F115" t="s">
        <v>164</v>
      </c>
      <c r="G115">
        <v>278</v>
      </c>
      <c r="I115">
        <f t="shared" si="9"/>
        <v>278</v>
      </c>
      <c r="J115">
        <v>500</v>
      </c>
      <c r="K115" s="23">
        <v>1.20356304702787</v>
      </c>
      <c r="L115" s="23">
        <v>1.44862320470032</v>
      </c>
      <c r="M115" s="23">
        <v>1.13</v>
      </c>
      <c r="N115">
        <v>1</v>
      </c>
      <c r="O115">
        <v>1</v>
      </c>
      <c r="P115" s="18">
        <v>490.066714559002</v>
      </c>
      <c r="Q115" s="24">
        <f>IF($I115="","",IFERROR(INDEX(_玩家曲线!$H$2:$H$286,MATCH($I115,_玩家曲线!$A$2:$A$286,0)),""))</f>
        <v>2485348.50314207</v>
      </c>
      <c r="R115" s="24">
        <f>IF($I115="","",IFERROR(INDEX(_玩家曲线!$I$2:$I$286,MATCH($I115,_玩家曲线!$A$2:$A$286,0)),""))</f>
        <v>2960774.85867836</v>
      </c>
      <c r="S115" s="24">
        <f>IF(OR($J115="",$F115="不适用"),"",IFERROR(INDEX(_怪物模型!$D$2:$D$4501,(INT($J115)-1)*ROWS(_怪物类型!$A$2:$A$10)+MATCH($F115,_怪物类型!$A$2:$A$10,0))*IF($K115="",1,$K115),""))</f>
        <v>304496643.867241</v>
      </c>
      <c r="T115" s="24">
        <f>IF(OR($J115="",$F115="不适用"),"",IFERROR(INDEX(_怪物模型!$E$2:$E$4501,(INT($J115)-1)*ROWS(_怪物类型!$A$2:$A$10)+MATCH($F115,_怪物类型!$A$2:$A$10,0))*IF($L115="",1,$L115),""))</f>
        <v>227167.296468285</v>
      </c>
      <c r="U115" s="24">
        <f>IF(OR($J115="",$F115="不适用"),"",IFERROR(INDEX(_怪物模型!$F$2:$F$4501,(INT($J115)-1)*ROWS(_怪物类型!$A$2:$A$10)+MATCH($F115,_怪物类型!$A$2:$A$10,0))*IF($M115="",1,$M115),""))</f>
        <v>73834.2</v>
      </c>
      <c r="V115" s="6">
        <f t="shared" si="10"/>
        <v>0.75</v>
      </c>
      <c r="W115" s="24">
        <f t="shared" si="11"/>
        <v>1217986575.46897</v>
      </c>
      <c r="X115" s="18">
        <f t="shared" si="12"/>
        <v>490.066714559001</v>
      </c>
      <c r="Y115" s="18">
        <f t="shared" si="13"/>
        <v>13.0334555400747</v>
      </c>
      <c r="Z115" s="18">
        <f t="shared" si="14"/>
        <v>0.999999999999998</v>
      </c>
      <c r="AA115" t="str">
        <f t="shared" si="15"/>
        <v>生存不成立</v>
      </c>
      <c r="AB115" t="str">
        <f t="shared" si="16"/>
        <v>有效</v>
      </c>
      <c r="AC115" t="str">
        <f t="shared" si="17"/>
        <v>不降</v>
      </c>
      <c r="AD115" t="s">
        <v>5784</v>
      </c>
      <c r="AE115" s="4">
        <v>1600000</v>
      </c>
      <c r="AF115" s="4">
        <f>INDEX(_统一战力!$B$2:$B$501,J115)</f>
        <v>3790000</v>
      </c>
      <c r="AG115">
        <v>2007</v>
      </c>
      <c r="AH115">
        <v>321</v>
      </c>
      <c r="AI115">
        <v>4</v>
      </c>
    </row>
    <row r="116" spans="1:35">
      <c r="A116" t="s">
        <v>5548</v>
      </c>
      <c r="B116" t="s">
        <v>5561</v>
      </c>
      <c r="C116" t="s">
        <v>582</v>
      </c>
      <c r="D116" t="s">
        <v>5785</v>
      </c>
      <c r="E116" t="s">
        <v>5563</v>
      </c>
      <c r="F116" t="s">
        <v>164</v>
      </c>
      <c r="G116">
        <v>278</v>
      </c>
      <c r="I116">
        <f t="shared" si="9"/>
        <v>278</v>
      </c>
      <c r="J116">
        <v>500</v>
      </c>
      <c r="K116" s="23">
        <v>1.2407653898071</v>
      </c>
      <c r="L116" s="23">
        <v>1.47426255345608</v>
      </c>
      <c r="M116" s="23">
        <v>1.15</v>
      </c>
      <c r="N116">
        <v>1</v>
      </c>
      <c r="O116">
        <v>1</v>
      </c>
      <c r="P116" s="18">
        <v>505.214761804831</v>
      </c>
      <c r="Q116" s="24">
        <f>IF($I116="","",IFERROR(INDEX(_玩家曲线!$H$2:$H$286,MATCH($I116,_玩家曲线!$A$2:$A$286,0)),""))</f>
        <v>2485348.50314207</v>
      </c>
      <c r="R116" s="24">
        <f>IF($I116="","",IFERROR(INDEX(_玩家曲线!$I$2:$I$286,MATCH($I116,_玩家曲线!$A$2:$A$286,0)),""))</f>
        <v>2960774.85867836</v>
      </c>
      <c r="S116" s="24">
        <f>IF(OR($J116="",$F116="不适用"),"",IFERROR(INDEX(_怪物模型!$D$2:$D$4501,(INT($J116)-1)*ROWS(_怪物类型!$A$2:$A$10)+MATCH($F116,_怪物类型!$A$2:$A$10,0))*IF($K116="",1,$K116),""))</f>
        <v>313908688.004229</v>
      </c>
      <c r="T116" s="24">
        <f>IF(OR($J116="",$F116="不适用"),"",IFERROR(INDEX(_怪物模型!$E$2:$E$4501,(INT($J116)-1)*ROWS(_怪物类型!$A$2:$A$10)+MATCH($F116,_怪物类型!$A$2:$A$10,0))*IF($L116="",1,$L116),""))</f>
        <v>231187.956582769</v>
      </c>
      <c r="U116" s="24">
        <f>IF(OR($J116="",$F116="不适用"),"",IFERROR(INDEX(_怪物模型!$F$2:$F$4501,(INT($J116)-1)*ROWS(_怪物类型!$A$2:$A$10)+MATCH($F116,_怪物类型!$A$2:$A$10,0))*IF($M116="",1,$M116),""))</f>
        <v>75141</v>
      </c>
      <c r="V116" s="6">
        <f t="shared" si="10"/>
        <v>0.75</v>
      </c>
      <c r="W116" s="24">
        <f t="shared" si="11"/>
        <v>1255634752.01692</v>
      </c>
      <c r="X116" s="18">
        <f t="shared" si="12"/>
        <v>505.214761804832</v>
      </c>
      <c r="Y116" s="18">
        <f t="shared" si="13"/>
        <v>12.8067867480734</v>
      </c>
      <c r="Z116" s="18">
        <f t="shared" si="14"/>
        <v>1</v>
      </c>
      <c r="AA116" t="str">
        <f t="shared" si="15"/>
        <v>生存不成立</v>
      </c>
      <c r="AB116" t="str">
        <f t="shared" si="16"/>
        <v>有效</v>
      </c>
      <c r="AC116" t="str">
        <f t="shared" si="17"/>
        <v>不降</v>
      </c>
      <c r="AD116" t="s">
        <v>5786</v>
      </c>
      <c r="AE116" s="4">
        <v>1600000</v>
      </c>
      <c r="AF116" s="4">
        <f>INDEX(_统一战力!$B$2:$B$501,J116)</f>
        <v>3790000</v>
      </c>
      <c r="AG116">
        <v>2008</v>
      </c>
      <c r="AH116">
        <v>322</v>
      </c>
      <c r="AI116">
        <v>4</v>
      </c>
    </row>
    <row r="117" spans="1:35">
      <c r="A117" t="s">
        <v>5548</v>
      </c>
      <c r="B117" t="s">
        <v>5561</v>
      </c>
      <c r="C117" t="s">
        <v>582</v>
      </c>
      <c r="D117" t="s">
        <v>5787</v>
      </c>
      <c r="E117" t="s">
        <v>5563</v>
      </c>
      <c r="F117" t="s">
        <v>164</v>
      </c>
      <c r="G117">
        <v>278</v>
      </c>
      <c r="I117">
        <f t="shared" si="9"/>
        <v>278</v>
      </c>
      <c r="J117">
        <v>500</v>
      </c>
      <c r="K117" s="23">
        <v>1.27852078795839</v>
      </c>
      <c r="L117" s="23">
        <v>1.49990190221184</v>
      </c>
      <c r="M117" s="23">
        <v>1.17</v>
      </c>
      <c r="N117">
        <v>1</v>
      </c>
      <c r="O117">
        <v>1</v>
      </c>
      <c r="P117" s="18">
        <v>520.588002097113</v>
      </c>
      <c r="Q117" s="24">
        <f>IF($I117="","",IFERROR(INDEX(_玩家曲线!$H$2:$H$286,MATCH($I117,_玩家曲线!$A$2:$A$286,0)),""))</f>
        <v>2485348.50314207</v>
      </c>
      <c r="R117" s="24">
        <f>IF($I117="","",IFERROR(INDEX(_玩家曲线!$I$2:$I$286,MATCH($I117,_玩家曲线!$A$2:$A$286,0)),""))</f>
        <v>2960774.85867836</v>
      </c>
      <c r="S117" s="24">
        <f>IF(OR($J117="",$F117="不适用"),"",IFERROR(INDEX(_怪物模型!$D$2:$D$4501,(INT($J117)-1)*ROWS(_怪物类型!$A$2:$A$10)+MATCH($F117,_怪物类型!$A$2:$A$10,0))*IF($K117="",1,$K117),""))</f>
        <v>323460652.941446</v>
      </c>
      <c r="T117" s="24">
        <f>IF(OR($J117="",$F117="不适用"),"",IFERROR(INDEX(_怪物模型!$E$2:$E$4501,(INT($J117)-1)*ROWS(_怪物类型!$A$2:$A$10)+MATCH($F117,_怪物类型!$A$2:$A$10,0))*IF($L117="",1,$L117),""))</f>
        <v>235208.616697252</v>
      </c>
      <c r="U117" s="24">
        <f>IF(OR($J117="",$F117="不适用"),"",IFERROR(INDEX(_怪物模型!$F$2:$F$4501,(INT($J117)-1)*ROWS(_怪物类型!$A$2:$A$10)+MATCH($F117,_怪物类型!$A$2:$A$10,0))*IF($M117="",1,$M117),""))</f>
        <v>76447.8</v>
      </c>
      <c r="V117" s="6">
        <f t="shared" si="10"/>
        <v>0.75</v>
      </c>
      <c r="W117" s="24">
        <f t="shared" si="11"/>
        <v>1293842611.76578</v>
      </c>
      <c r="X117" s="18">
        <f t="shared" si="12"/>
        <v>520.588002097114</v>
      </c>
      <c r="Y117" s="18">
        <f t="shared" si="13"/>
        <v>12.5878673164823</v>
      </c>
      <c r="Z117" s="18">
        <f t="shared" si="14"/>
        <v>1</v>
      </c>
      <c r="AA117" t="str">
        <f t="shared" si="15"/>
        <v>生存不成立</v>
      </c>
      <c r="AB117" t="str">
        <f t="shared" si="16"/>
        <v>有效</v>
      </c>
      <c r="AC117" t="str">
        <f t="shared" si="17"/>
        <v>不降</v>
      </c>
      <c r="AD117" t="s">
        <v>5788</v>
      </c>
      <c r="AE117" s="4">
        <v>1600000</v>
      </c>
      <c r="AF117" s="4">
        <f>INDEX(_统一战力!$B$2:$B$501,J117)</f>
        <v>3790000</v>
      </c>
      <c r="AG117">
        <v>2009</v>
      </c>
      <c r="AH117">
        <v>323</v>
      </c>
      <c r="AI117">
        <v>4</v>
      </c>
    </row>
    <row r="118" spans="1:35">
      <c r="A118" t="s">
        <v>5548</v>
      </c>
      <c r="B118" t="s">
        <v>5561</v>
      </c>
      <c r="C118" t="s">
        <v>582</v>
      </c>
      <c r="D118" t="s">
        <v>5789</v>
      </c>
      <c r="E118" t="s">
        <v>5563</v>
      </c>
      <c r="F118" t="s">
        <v>164</v>
      </c>
      <c r="G118">
        <v>278</v>
      </c>
      <c r="I118">
        <f t="shared" si="9"/>
        <v>278</v>
      </c>
      <c r="J118">
        <v>500</v>
      </c>
      <c r="K118" s="23">
        <v>1.33619086400795</v>
      </c>
      <c r="L118" s="23">
        <v>1.53836092534547</v>
      </c>
      <c r="M118" s="23">
        <v>1.2</v>
      </c>
      <c r="N118">
        <v>1</v>
      </c>
      <c r="O118">
        <v>1</v>
      </c>
      <c r="P118" s="18">
        <v>544.070099497632</v>
      </c>
      <c r="Q118" s="24">
        <f>IF($I118="","",IFERROR(INDEX(_玩家曲线!$H$2:$H$286,MATCH($I118,_玩家曲线!$A$2:$A$286,0)),""))</f>
        <v>2485348.50314207</v>
      </c>
      <c r="R118" s="24">
        <f>IF($I118="","",IFERROR(INDEX(_玩家曲线!$I$2:$I$286,MATCH($I118,_玩家曲线!$A$2:$A$286,0)),""))</f>
        <v>2960774.85867836</v>
      </c>
      <c r="S118" s="24">
        <f>IF(OR($J118="",$F118="不适用"),"",IFERROR(INDEX(_怪物模型!$D$2:$D$4501,(INT($J118)-1)*ROWS(_怪物类型!$A$2:$A$10)+MATCH($F118,_怪物类型!$A$2:$A$10,0))*IF($K118="",1,$K118),""))</f>
        <v>338050951.847701</v>
      </c>
      <c r="T118" s="24">
        <f>IF(OR($J118="",$F118="不适用"),"",IFERROR(INDEX(_怪物模型!$E$2:$E$4501,(INT($J118)-1)*ROWS(_怪物类型!$A$2:$A$10)+MATCH($F118,_怪物类型!$A$2:$A$10,0))*IF($L118="",1,$L118),""))</f>
        <v>241239.606868975</v>
      </c>
      <c r="U118" s="24">
        <f>IF(OR($J118="",$F118="不适用"),"",IFERROR(INDEX(_怪物模型!$F$2:$F$4501,(INT($J118)-1)*ROWS(_怪物类型!$A$2:$A$10)+MATCH($F118,_怪物类型!$A$2:$A$10,0))*IF($M118="",1,$M118),""))</f>
        <v>78408</v>
      </c>
      <c r="V118" s="6">
        <f t="shared" si="10"/>
        <v>0.75</v>
      </c>
      <c r="W118" s="24">
        <f t="shared" si="11"/>
        <v>1352203807.3908</v>
      </c>
      <c r="X118" s="18">
        <f t="shared" si="12"/>
        <v>544.070099497634</v>
      </c>
      <c r="Y118" s="18">
        <f t="shared" si="13"/>
        <v>12.2731706335703</v>
      </c>
      <c r="Z118" s="18">
        <f t="shared" si="14"/>
        <v>1</v>
      </c>
      <c r="AA118" t="str">
        <f t="shared" si="15"/>
        <v>生存不成立</v>
      </c>
      <c r="AB118" t="str">
        <f t="shared" si="16"/>
        <v>有效</v>
      </c>
      <c r="AC118" t="str">
        <f t="shared" si="17"/>
        <v>不降</v>
      </c>
      <c r="AD118" t="s">
        <v>5790</v>
      </c>
      <c r="AE118" s="4">
        <v>1600000</v>
      </c>
      <c r="AF118" s="4">
        <f>INDEX(_统一战力!$B$2:$B$501,J118)</f>
        <v>3790000</v>
      </c>
      <c r="AG118">
        <v>2010</v>
      </c>
      <c r="AH118">
        <v>324</v>
      </c>
      <c r="AI118">
        <v>4</v>
      </c>
    </row>
    <row r="119" spans="1:35">
      <c r="A119" t="s">
        <v>5548</v>
      </c>
      <c r="B119" t="s">
        <v>5561</v>
      </c>
      <c r="C119" t="s">
        <v>582</v>
      </c>
      <c r="D119" t="s">
        <v>5791</v>
      </c>
      <c r="E119" t="s">
        <v>5563</v>
      </c>
      <c r="F119" t="s">
        <v>164</v>
      </c>
      <c r="G119">
        <v>278</v>
      </c>
      <c r="I119">
        <f t="shared" si="9"/>
        <v>278</v>
      </c>
      <c r="J119">
        <v>500</v>
      </c>
      <c r="K119" s="23">
        <v>1.3753289005894</v>
      </c>
      <c r="L119" s="23">
        <v>1.56400027410123</v>
      </c>
      <c r="M119" s="23">
        <v>1.22</v>
      </c>
      <c r="N119">
        <v>1</v>
      </c>
      <c r="O119">
        <v>1</v>
      </c>
      <c r="P119" s="18">
        <v>560.006322406044</v>
      </c>
      <c r="Q119" s="24">
        <f>IF($I119="","",IFERROR(INDEX(_玩家曲线!$H$2:$H$286,MATCH($I119,_玩家曲线!$A$2:$A$286,0)),""))</f>
        <v>2485348.50314207</v>
      </c>
      <c r="R119" s="24">
        <f>IF($I119="","",IFERROR(INDEX(_玩家曲线!$I$2:$I$286,MATCH($I119,_玩家曲线!$A$2:$A$286,0)),""))</f>
        <v>2960774.85867836</v>
      </c>
      <c r="S119" s="24">
        <f>IF(OR($J119="",$F119="不适用"),"",IFERROR(INDEX(_怪物模型!$D$2:$D$4501,(INT($J119)-1)*ROWS(_怪物类型!$A$2:$A$10)+MATCH($F119,_怪物类型!$A$2:$A$10,0))*IF($K119="",1,$K119),""))</f>
        <v>347952718.785489</v>
      </c>
      <c r="T119" s="24">
        <f>IF(OR($J119="",$F119="不适用"),"",IFERROR(INDEX(_怪物模型!$E$2:$E$4501,(INT($J119)-1)*ROWS(_怪物类型!$A$2:$A$10)+MATCH($F119,_怪物类型!$A$2:$A$10,0))*IF($L119="",1,$L119),""))</f>
        <v>245260.266983458</v>
      </c>
      <c r="U119" s="24">
        <f>IF(OR($J119="",$F119="不适用"),"",IFERROR(INDEX(_怪物模型!$F$2:$F$4501,(INT($J119)-1)*ROWS(_怪物类型!$A$2:$A$10)+MATCH($F119,_怪物类型!$A$2:$A$10,0))*IF($M119="",1,$M119),""))</f>
        <v>79714.8</v>
      </c>
      <c r="V119" s="6">
        <f t="shared" si="10"/>
        <v>0.75</v>
      </c>
      <c r="W119" s="24">
        <f t="shared" si="11"/>
        <v>1391810875.14196</v>
      </c>
      <c r="X119" s="18">
        <f t="shared" si="12"/>
        <v>560.006322406044</v>
      </c>
      <c r="Y119" s="18">
        <f t="shared" si="13"/>
        <v>12.0719711149872</v>
      </c>
      <c r="Z119" s="18">
        <f t="shared" si="14"/>
        <v>1</v>
      </c>
      <c r="AA119" t="str">
        <f t="shared" si="15"/>
        <v>生存不成立</v>
      </c>
      <c r="AB119" t="str">
        <f t="shared" si="16"/>
        <v>有效</v>
      </c>
      <c r="AC119" t="str">
        <f t="shared" si="17"/>
        <v>不降</v>
      </c>
      <c r="AD119" t="s">
        <v>5792</v>
      </c>
      <c r="AE119" s="4">
        <v>1600000</v>
      </c>
      <c r="AF119" s="4">
        <f>INDEX(_统一战力!$B$2:$B$501,J119)</f>
        <v>3790000</v>
      </c>
      <c r="AG119">
        <v>2011</v>
      </c>
      <c r="AH119">
        <v>325</v>
      </c>
      <c r="AI119">
        <v>4</v>
      </c>
    </row>
    <row r="120" spans="1:35">
      <c r="A120" t="s">
        <v>5548</v>
      </c>
      <c r="B120" t="s">
        <v>5561</v>
      </c>
      <c r="C120" t="s">
        <v>582</v>
      </c>
      <c r="D120" t="s">
        <v>5793</v>
      </c>
      <c r="E120" t="s">
        <v>5563</v>
      </c>
      <c r="F120" t="s">
        <v>164</v>
      </c>
      <c r="G120">
        <v>278</v>
      </c>
      <c r="I120">
        <f t="shared" si="9"/>
        <v>278</v>
      </c>
      <c r="J120">
        <v>500</v>
      </c>
      <c r="K120" s="23">
        <v>1.4081902697347</v>
      </c>
      <c r="L120" s="23">
        <v>1.58963962285699</v>
      </c>
      <c r="M120" s="23">
        <v>1.24</v>
      </c>
      <c r="N120">
        <v>1</v>
      </c>
      <c r="O120">
        <v>1</v>
      </c>
      <c r="P120" s="18">
        <v>573.386812321149</v>
      </c>
      <c r="Q120" s="24">
        <f>IF($I120="","",IFERROR(INDEX(_玩家曲线!$H$2:$H$286,MATCH($I120,_玩家曲线!$A$2:$A$286,0)),""))</f>
        <v>2485348.50314207</v>
      </c>
      <c r="R120" s="24">
        <f>IF($I120="","",IFERROR(INDEX(_玩家曲线!$I$2:$I$286,MATCH($I120,_玩家曲线!$A$2:$A$286,0)),""))</f>
        <v>2960774.85867836</v>
      </c>
      <c r="S120" s="24">
        <f>IF(OR($J120="",$F120="不适用"),"",IFERROR(INDEX(_怪物模型!$D$2:$D$4501,(INT($J120)-1)*ROWS(_怪物类型!$A$2:$A$10)+MATCH($F120,_怪物类型!$A$2:$A$10,0))*IF($K120="",1,$K120),""))</f>
        <v>356266513.930942</v>
      </c>
      <c r="T120" s="24">
        <f>IF(OR($J120="",$F120="不适用"),"",IFERROR(INDEX(_怪物模型!$E$2:$E$4501,(INT($J120)-1)*ROWS(_怪物类型!$A$2:$A$10)+MATCH($F120,_怪物类型!$A$2:$A$10,0))*IF($L120="",1,$L120),""))</f>
        <v>249280.927097942</v>
      </c>
      <c r="U120" s="24">
        <f>IF(OR($J120="",$F120="不适用"),"",IFERROR(INDEX(_怪物模型!$F$2:$F$4501,(INT($J120)-1)*ROWS(_怪物类型!$A$2:$A$10)+MATCH($F120,_怪物类型!$A$2:$A$10,0))*IF($M120="",1,$M120),""))</f>
        <v>81021.6</v>
      </c>
      <c r="V120" s="6">
        <f t="shared" si="10"/>
        <v>0.75</v>
      </c>
      <c r="W120" s="24">
        <f t="shared" si="11"/>
        <v>1425066055.72377</v>
      </c>
      <c r="X120" s="18">
        <f t="shared" si="12"/>
        <v>573.386812321148</v>
      </c>
      <c r="Y120" s="18">
        <f t="shared" si="13"/>
        <v>11.8772619034551</v>
      </c>
      <c r="Z120" s="18">
        <f t="shared" si="14"/>
        <v>0.999999999999997</v>
      </c>
      <c r="AA120" t="str">
        <f t="shared" si="15"/>
        <v>生存不成立</v>
      </c>
      <c r="AB120" t="str">
        <f t="shared" si="16"/>
        <v>有效</v>
      </c>
      <c r="AC120" t="str">
        <f t="shared" si="17"/>
        <v>不降</v>
      </c>
      <c r="AD120" t="s">
        <v>5794</v>
      </c>
      <c r="AE120" s="4">
        <v>1600000</v>
      </c>
      <c r="AF120" s="4">
        <f>INDEX(_统一战力!$B$2:$B$501,J120)</f>
        <v>3790000</v>
      </c>
      <c r="AG120">
        <v>2012</v>
      </c>
      <c r="AH120">
        <v>326</v>
      </c>
      <c r="AI120">
        <v>4</v>
      </c>
    </row>
    <row r="121" spans="1:35">
      <c r="A121" t="s">
        <v>5548</v>
      </c>
      <c r="B121" t="s">
        <v>5561</v>
      </c>
      <c r="C121" t="s">
        <v>582</v>
      </c>
      <c r="D121" t="s">
        <v>5795</v>
      </c>
      <c r="E121" t="s">
        <v>5563</v>
      </c>
      <c r="F121" t="s">
        <v>164</v>
      </c>
      <c r="G121">
        <v>278</v>
      </c>
      <c r="I121">
        <f t="shared" si="9"/>
        <v>278</v>
      </c>
      <c r="J121">
        <v>500</v>
      </c>
      <c r="K121" s="23">
        <v>1.44225938916377</v>
      </c>
      <c r="L121" s="23">
        <v>1.62809864599062</v>
      </c>
      <c r="M121" s="23">
        <v>1.27</v>
      </c>
      <c r="N121">
        <v>1</v>
      </c>
      <c r="O121">
        <v>1</v>
      </c>
      <c r="P121" s="18">
        <v>587.259073909564</v>
      </c>
      <c r="Q121" s="24">
        <f>IF($I121="","",IFERROR(INDEX(_玩家曲线!$H$2:$H$286,MATCH($I121,_玩家曲线!$A$2:$A$286,0)),""))</f>
        <v>2485348.50314207</v>
      </c>
      <c r="R121" s="24">
        <f>IF($I121="","",IFERROR(INDEX(_玩家曲线!$I$2:$I$286,MATCH($I121,_玩家曲线!$A$2:$A$286,0)),""))</f>
        <v>2960774.85867836</v>
      </c>
      <c r="S121" s="24">
        <f>IF(OR($J121="",$F121="不适用"),"",IFERROR(INDEX(_怪物模型!$D$2:$D$4501,(INT($J121)-1)*ROWS(_怪物类型!$A$2:$A$10)+MATCH($F121,_怪物类型!$A$2:$A$10,0))*IF($K121="",1,$K121),""))</f>
        <v>364885865.074434</v>
      </c>
      <c r="T121" s="24">
        <f>IF(OR($J121="",$F121="不适用"),"",IFERROR(INDEX(_怪物模型!$E$2:$E$4501,(INT($J121)-1)*ROWS(_怪物类型!$A$2:$A$10)+MATCH($F121,_怪物类型!$A$2:$A$10,0))*IF($L121="",1,$L121),""))</f>
        <v>255311.917269665</v>
      </c>
      <c r="U121" s="24">
        <f>IF(OR($J121="",$F121="不适用"),"",IFERROR(INDEX(_怪物模型!$F$2:$F$4501,(INT($J121)-1)*ROWS(_怪物类型!$A$2:$A$10)+MATCH($F121,_怪物类型!$A$2:$A$10,0))*IF($M121="",1,$M121),""))</f>
        <v>82981.8</v>
      </c>
      <c r="V121" s="6">
        <f t="shared" si="10"/>
        <v>0.75</v>
      </c>
      <c r="W121" s="24">
        <f t="shared" si="11"/>
        <v>1459543460.29773</v>
      </c>
      <c r="X121" s="18">
        <f t="shared" si="12"/>
        <v>587.259073909564</v>
      </c>
      <c r="Y121" s="18">
        <f t="shared" si="13"/>
        <v>11.5966966616413</v>
      </c>
      <c r="Z121" s="18">
        <f t="shared" si="14"/>
        <v>1</v>
      </c>
      <c r="AA121" t="str">
        <f t="shared" si="15"/>
        <v>生存不成立</v>
      </c>
      <c r="AB121" t="str">
        <f t="shared" si="16"/>
        <v>有效</v>
      </c>
      <c r="AC121" t="str">
        <f t="shared" si="17"/>
        <v>不降</v>
      </c>
      <c r="AD121" t="s">
        <v>5796</v>
      </c>
      <c r="AE121" s="4">
        <v>1600000</v>
      </c>
      <c r="AF121" s="4">
        <f>INDEX(_统一战力!$B$2:$B$501,J121)</f>
        <v>3790000</v>
      </c>
      <c r="AG121">
        <v>2013</v>
      </c>
      <c r="AH121">
        <v>327</v>
      </c>
      <c r="AI121">
        <v>4</v>
      </c>
    </row>
    <row r="122" spans="1:35">
      <c r="A122" t="s">
        <v>5548</v>
      </c>
      <c r="B122" t="s">
        <v>5561</v>
      </c>
      <c r="C122" t="s">
        <v>582</v>
      </c>
      <c r="D122" t="s">
        <v>5797</v>
      </c>
      <c r="E122" t="s">
        <v>5563</v>
      </c>
      <c r="F122" t="s">
        <v>164</v>
      </c>
      <c r="G122">
        <v>278</v>
      </c>
      <c r="I122">
        <f t="shared" si="9"/>
        <v>278</v>
      </c>
      <c r="J122">
        <v>500</v>
      </c>
      <c r="K122" s="23">
        <v>1.46497213544981</v>
      </c>
      <c r="L122" s="23">
        <v>1.65373799474638</v>
      </c>
      <c r="M122" s="23">
        <v>1.29</v>
      </c>
      <c r="N122">
        <v>1</v>
      </c>
      <c r="O122">
        <v>1</v>
      </c>
      <c r="P122" s="18">
        <v>596.507248301841</v>
      </c>
      <c r="Q122" s="24">
        <f>IF($I122="","",IFERROR(INDEX(_玩家曲线!$H$2:$H$286,MATCH($I122,_玩家曲线!$A$2:$A$286,0)),""))</f>
        <v>2485348.50314207</v>
      </c>
      <c r="R122" s="24">
        <f>IF($I122="","",IFERROR(INDEX(_玩家曲线!$I$2:$I$286,MATCH($I122,_玩家曲线!$A$2:$A$286,0)),""))</f>
        <v>2960774.85867836</v>
      </c>
      <c r="S122" s="24">
        <f>IF(OR($J122="",$F122="不适用"),"",IFERROR(INDEX(_怪物模型!$D$2:$D$4501,(INT($J122)-1)*ROWS(_怪物类型!$A$2:$A$10)+MATCH($F122,_怪物类型!$A$2:$A$10,0))*IF($K122="",1,$K122),""))</f>
        <v>370632099.170093</v>
      </c>
      <c r="T122" s="24">
        <f>IF(OR($J122="",$F122="不适用"),"",IFERROR(INDEX(_怪物模型!$E$2:$E$4501,(INT($J122)-1)*ROWS(_怪物类型!$A$2:$A$10)+MATCH($F122,_怪物类型!$A$2:$A$10,0))*IF($L122="",1,$L122),""))</f>
        <v>259332.577384148</v>
      </c>
      <c r="U122" s="24">
        <f>IF(OR($J122="",$F122="不适用"),"",IFERROR(INDEX(_怪物模型!$F$2:$F$4501,(INT($J122)-1)*ROWS(_怪物类型!$A$2:$A$10)+MATCH($F122,_怪物类型!$A$2:$A$10,0))*IF($M122="",1,$M122),""))</f>
        <v>84288.6</v>
      </c>
      <c r="V122" s="6">
        <f t="shared" si="10"/>
        <v>0.75</v>
      </c>
      <c r="W122" s="24">
        <f t="shared" si="11"/>
        <v>1482528396.68037</v>
      </c>
      <c r="X122" s="18">
        <f t="shared" si="12"/>
        <v>596.507248301839</v>
      </c>
      <c r="Y122" s="18">
        <f t="shared" si="13"/>
        <v>11.4169029149492</v>
      </c>
      <c r="Z122" s="18">
        <f t="shared" si="14"/>
        <v>0.999999999999998</v>
      </c>
      <c r="AA122" t="str">
        <f t="shared" si="15"/>
        <v>生存不成立</v>
      </c>
      <c r="AB122" t="str">
        <f t="shared" si="16"/>
        <v>有效</v>
      </c>
      <c r="AC122" t="str">
        <f t="shared" si="17"/>
        <v>不降</v>
      </c>
      <c r="AD122" t="s">
        <v>5798</v>
      </c>
      <c r="AE122" s="4">
        <v>1600000</v>
      </c>
      <c r="AF122" s="4">
        <f>INDEX(_统一战力!$B$2:$B$501,J122)</f>
        <v>3790000</v>
      </c>
      <c r="AG122">
        <v>2014</v>
      </c>
      <c r="AH122">
        <v>328</v>
      </c>
      <c r="AI122">
        <v>4</v>
      </c>
    </row>
    <row r="123" spans="1:35">
      <c r="A123" t="s">
        <v>5548</v>
      </c>
      <c r="B123" t="s">
        <v>5561</v>
      </c>
      <c r="C123" t="s">
        <v>582</v>
      </c>
      <c r="D123" t="s">
        <v>5799</v>
      </c>
      <c r="E123" t="s">
        <v>5563</v>
      </c>
      <c r="F123" t="s">
        <v>164</v>
      </c>
      <c r="G123">
        <v>278</v>
      </c>
      <c r="I123">
        <f t="shared" si="9"/>
        <v>278</v>
      </c>
      <c r="J123">
        <v>500</v>
      </c>
      <c r="K123" s="23">
        <v>1.49904125487888</v>
      </c>
      <c r="L123" s="23">
        <v>1.69219701788002</v>
      </c>
      <c r="M123" s="23">
        <v>1.32</v>
      </c>
      <c r="N123">
        <v>1</v>
      </c>
      <c r="O123">
        <v>1</v>
      </c>
      <c r="P123" s="18">
        <v>610.379509890256</v>
      </c>
      <c r="Q123" s="24">
        <f>IF($I123="","",IFERROR(INDEX(_玩家曲线!$H$2:$H$286,MATCH($I123,_玩家曲线!$A$2:$A$286,0)),""))</f>
        <v>2485348.50314207</v>
      </c>
      <c r="R123" s="24">
        <f>IF($I123="","",IFERROR(INDEX(_玩家曲线!$I$2:$I$286,MATCH($I123,_玩家曲线!$A$2:$A$286,0)),""))</f>
        <v>2960774.85867836</v>
      </c>
      <c r="S123" s="24">
        <f>IF(OR($J123="",$F123="不适用"),"",IFERROR(INDEX(_怪物模型!$D$2:$D$4501,(INT($J123)-1)*ROWS(_怪物类型!$A$2:$A$10)+MATCH($F123,_怪物类型!$A$2:$A$10,0))*IF($K123="",1,$K123),""))</f>
        <v>379251450.313585</v>
      </c>
      <c r="T123" s="24">
        <f>IF(OR($J123="",$F123="不适用"),"",IFERROR(INDEX(_怪物模型!$E$2:$E$4501,(INT($J123)-1)*ROWS(_怪物类型!$A$2:$A$10)+MATCH($F123,_怪物类型!$A$2:$A$10,0))*IF($L123="",1,$L123),""))</f>
        <v>265363.567555873</v>
      </c>
      <c r="U123" s="24">
        <f>IF(OR($J123="",$F123="不适用"),"",IFERROR(INDEX(_怪物模型!$F$2:$F$4501,(INT($J123)-1)*ROWS(_怪物类型!$A$2:$A$10)+MATCH($F123,_怪物类型!$A$2:$A$10,0))*IF($M123="",1,$M123),""))</f>
        <v>86248.8</v>
      </c>
      <c r="V123" s="6">
        <f t="shared" si="10"/>
        <v>0.75</v>
      </c>
      <c r="W123" s="24">
        <f t="shared" si="11"/>
        <v>1517005801.25434</v>
      </c>
      <c r="X123" s="18">
        <f t="shared" si="12"/>
        <v>610.379509890256</v>
      </c>
      <c r="Y123" s="18">
        <f t="shared" si="13"/>
        <v>11.1574278487003</v>
      </c>
      <c r="Z123" s="18">
        <f t="shared" si="14"/>
        <v>1</v>
      </c>
      <c r="AA123" t="str">
        <f t="shared" si="15"/>
        <v>生存不成立</v>
      </c>
      <c r="AB123" t="str">
        <f t="shared" si="16"/>
        <v>有效</v>
      </c>
      <c r="AC123" t="str">
        <f t="shared" si="17"/>
        <v>不降</v>
      </c>
      <c r="AD123" t="s">
        <v>5800</v>
      </c>
      <c r="AE123" s="4">
        <v>1600000</v>
      </c>
      <c r="AF123" s="4">
        <f>INDEX(_统一战力!$B$2:$B$501,J123)</f>
        <v>3790000</v>
      </c>
      <c r="AG123">
        <v>2015</v>
      </c>
      <c r="AH123">
        <v>329</v>
      </c>
      <c r="AI123">
        <v>4</v>
      </c>
    </row>
    <row r="124" spans="1:35">
      <c r="A124" t="s">
        <v>5548</v>
      </c>
      <c r="B124" t="s">
        <v>5561</v>
      </c>
      <c r="C124" t="s">
        <v>582</v>
      </c>
      <c r="D124" t="s">
        <v>5801</v>
      </c>
      <c r="E124" t="s">
        <v>5563</v>
      </c>
      <c r="F124" t="s">
        <v>164</v>
      </c>
      <c r="G124">
        <v>278</v>
      </c>
      <c r="I124">
        <f t="shared" si="9"/>
        <v>278</v>
      </c>
      <c r="J124">
        <v>500</v>
      </c>
      <c r="K124" s="23">
        <v>1.53311037430794</v>
      </c>
      <c r="L124" s="23">
        <v>1.73065604101366</v>
      </c>
      <c r="M124" s="23">
        <v>1.35</v>
      </c>
      <c r="N124">
        <v>1</v>
      </c>
      <c r="O124">
        <v>1</v>
      </c>
      <c r="P124" s="18">
        <v>624.251771478671</v>
      </c>
      <c r="Q124" s="24">
        <f>IF($I124="","",IFERROR(INDEX(_玩家曲线!$H$2:$H$286,MATCH($I124,_玩家曲线!$A$2:$A$286,0)),""))</f>
        <v>2485348.50314207</v>
      </c>
      <c r="R124" s="24">
        <f>IF($I124="","",IFERROR(INDEX(_玩家曲线!$I$2:$I$286,MATCH($I124,_玩家曲线!$A$2:$A$286,0)),""))</f>
        <v>2960774.85867836</v>
      </c>
      <c r="S124" s="24">
        <f>IF(OR($J124="",$F124="不适用"),"",IFERROR(INDEX(_怪物模型!$D$2:$D$4501,(INT($J124)-1)*ROWS(_怪物类型!$A$2:$A$10)+MATCH($F124,_怪物类型!$A$2:$A$10,0))*IF($K124="",1,$K124),""))</f>
        <v>387870801.457074</v>
      </c>
      <c r="T124" s="24">
        <f>IF(OR($J124="",$F124="不适用"),"",IFERROR(INDEX(_怪物模型!$E$2:$E$4501,(INT($J124)-1)*ROWS(_怪物类型!$A$2:$A$10)+MATCH($F124,_怪物类型!$A$2:$A$10,0))*IF($L124="",1,$L124),""))</f>
        <v>271394.557727598</v>
      </c>
      <c r="U124" s="24">
        <f>IF(OR($J124="",$F124="不适用"),"",IFERROR(INDEX(_怪物模型!$F$2:$F$4501,(INT($J124)-1)*ROWS(_怪物类型!$A$2:$A$10)+MATCH($F124,_怪物类型!$A$2:$A$10,0))*IF($M124="",1,$M124),""))</f>
        <v>88209</v>
      </c>
      <c r="V124" s="6">
        <f t="shared" si="10"/>
        <v>0.75</v>
      </c>
      <c r="W124" s="24">
        <f t="shared" si="11"/>
        <v>1551483205.8283</v>
      </c>
      <c r="X124" s="18">
        <f t="shared" si="12"/>
        <v>624.251771478669</v>
      </c>
      <c r="Y124" s="18">
        <f t="shared" si="13"/>
        <v>10.909485007618</v>
      </c>
      <c r="Z124" s="18">
        <f t="shared" si="14"/>
        <v>0.999999999999997</v>
      </c>
      <c r="AA124" t="str">
        <f t="shared" si="15"/>
        <v>生存不成立</v>
      </c>
      <c r="AB124" t="str">
        <f t="shared" si="16"/>
        <v>有效</v>
      </c>
      <c r="AC124" t="str">
        <f t="shared" si="17"/>
        <v>不降</v>
      </c>
      <c r="AD124" t="s">
        <v>5802</v>
      </c>
      <c r="AE124" s="4">
        <v>1600000</v>
      </c>
      <c r="AF124" s="4">
        <f>INDEX(_统一战力!$B$2:$B$501,J124)</f>
        <v>3790000</v>
      </c>
      <c r="AG124">
        <v>2016</v>
      </c>
      <c r="AH124">
        <v>330</v>
      </c>
      <c r="AI124">
        <v>4</v>
      </c>
    </row>
  </sheetData>
  <mergeCells count="2">
    <mergeCell ref="A1:AF1"/>
    <mergeCell ref="A2:AF2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09"/>
  <sheetViews>
    <sheetView workbookViewId="0">
      <selection activeCell="A35" sqref="$A35:$XFD40"/>
    </sheetView>
  </sheetViews>
  <sheetFormatPr defaultColWidth="9" defaultRowHeight="13.5"/>
  <cols>
    <col min="1" max="3" width="15" customWidth="1"/>
    <col min="4" max="5" width="26" customWidth="1"/>
    <col min="6" max="29" width="15" customWidth="1"/>
    <col min="30" max="30" width="65" customWidth="1"/>
    <col min="31" max="32" width="22" customWidth="1"/>
  </cols>
  <sheetData>
    <row r="1" ht="32" customHeight="1" spans="1:32">
      <c r="A1" s="8" t="s">
        <v>5803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40" customHeight="1" spans="1:32">
      <c r="A2" s="19" t="s">
        <v>5547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</row>
    <row r="3" spans="1:32">
      <c r="A3" t="s">
        <v>120</v>
      </c>
    </row>
    <row r="4" ht="40" customHeight="1" spans="1:32">
      <c r="A4" t="s">
        <v>81</v>
      </c>
      <c r="B4" t="s">
        <v>80</v>
      </c>
      <c r="C4" t="s">
        <v>121</v>
      </c>
      <c r="D4" t="s">
        <v>122</v>
      </c>
      <c r="E4" t="s">
        <v>123</v>
      </c>
      <c r="F4" t="s">
        <v>124</v>
      </c>
      <c r="G4" t="s">
        <v>125</v>
      </c>
      <c r="H4" t="s">
        <v>126</v>
      </c>
      <c r="I4" t="s">
        <v>127</v>
      </c>
      <c r="J4" t="s">
        <v>128</v>
      </c>
      <c r="K4" t="s">
        <v>129</v>
      </c>
      <c r="L4" t="s">
        <v>130</v>
      </c>
      <c r="M4" t="s">
        <v>131</v>
      </c>
      <c r="N4" t="s">
        <v>132</v>
      </c>
      <c r="O4" t="s">
        <v>133</v>
      </c>
      <c r="P4" t="s">
        <v>134</v>
      </c>
      <c r="Q4" s="3" t="s">
        <v>135</v>
      </c>
      <c r="R4" s="3" t="s">
        <v>136</v>
      </c>
      <c r="S4" s="3" t="s">
        <v>137</v>
      </c>
      <c r="T4" s="3" t="s">
        <v>138</v>
      </c>
      <c r="U4" s="3" t="s">
        <v>139</v>
      </c>
      <c r="V4" s="3" t="s">
        <v>140</v>
      </c>
      <c r="W4" s="3" t="s">
        <v>141</v>
      </c>
      <c r="X4" s="3" t="s">
        <v>142</v>
      </c>
      <c r="Y4" s="3" t="s">
        <v>143</v>
      </c>
      <c r="Z4" s="3" t="s">
        <v>144</v>
      </c>
      <c r="AA4" s="3" t="s">
        <v>145</v>
      </c>
      <c r="AB4" s="3" t="s">
        <v>146</v>
      </c>
      <c r="AC4" s="3" t="s">
        <v>147</v>
      </c>
      <c r="AD4" s="3" t="s">
        <v>91</v>
      </c>
      <c r="AE4" s="3" t="s">
        <v>148</v>
      </c>
      <c r="AF4" s="3" t="s">
        <v>149</v>
      </c>
    </row>
    <row r="5" spans="1:32">
      <c r="A5" t="s">
        <v>5548</v>
      </c>
      <c r="B5" t="s">
        <v>5804</v>
      </c>
      <c r="C5" t="s">
        <v>5805</v>
      </c>
      <c r="D5" t="s">
        <v>5806</v>
      </c>
      <c r="E5" t="s">
        <v>5807</v>
      </c>
      <c r="F5" t="s">
        <v>164</v>
      </c>
      <c r="G5">
        <v>53</v>
      </c>
      <c r="I5">
        <f t="shared" ref="I5:I29" si="0">IF($H5="",$G5,$H5)</f>
        <v>53</v>
      </c>
      <c r="J5">
        <v>98</v>
      </c>
      <c r="K5" s="23">
        <v>1.09264050109355</v>
      </c>
      <c r="L5" s="23">
        <v>0.79268174391955</v>
      </c>
      <c r="M5" s="23">
        <v>1</v>
      </c>
      <c r="N5">
        <v>1</v>
      </c>
      <c r="O5">
        <v>1</v>
      </c>
      <c r="P5" s="18">
        <v>35.9270793257236</v>
      </c>
      <c r="Q5" s="24">
        <f>IF($I5="","",IFERROR(INDEX(_玩家曲线!$H$2:$H$286,MATCH($I5,_玩家曲线!$A$2:$A$286,0)),""))</f>
        <v>113822.405455727</v>
      </c>
      <c r="R5" s="24">
        <f>IF($I5="","",IFERROR(INDEX(_玩家曲线!$I$2:$I$286,MATCH($I5,_玩家曲线!$A$2:$A$286,0)),""))</f>
        <v>260909.970617466</v>
      </c>
      <c r="S5" s="24">
        <f>IF(OR($J5="",$F5="不适用"),"",IFERROR(INDEX(_怪物模型!$D$2:$D$4501,(INT($J5)-1)*ROWS(_怪物类型!$A$2:$A$10)+MATCH($F5,_怪物类型!$A$2:$A$10,0))*IF($K5="",1,$K5),""))</f>
        <v>3035956.26431348</v>
      </c>
      <c r="T5" s="24">
        <f>IF(OR($J5="",$F5="不适用"),"",IFERROR(INDEX(_怪物模型!$E$2:$E$4501,(INT($J5)-1)*ROWS(_怪物类型!$A$2:$A$10)+MATCH($F5,_怪物类型!$A$2:$A$10,0))*IF($L5="",1,$L5),""))</f>
        <v>6012.49102762979</v>
      </c>
      <c r="U5" s="24">
        <f>IF(OR($J5="",$F5="不适用"),"",IFERROR(INDEX(_怪物模型!$F$2:$F$4501,(INT($J5)-1)*ROWS(_怪物类型!$A$2:$A$10)+MATCH($F5,_怪物类型!$A$2:$A$10,0))*IF($M5="",1,$M5),""))</f>
        <v>8327</v>
      </c>
      <c r="V5" s="6">
        <f t="shared" ref="V5:V29" si="1">IF($U5="","",MIN(0.75,$U5/($U5+24000)))</f>
        <v>0.257586537569215</v>
      </c>
      <c r="W5" s="24">
        <f t="shared" ref="W5:W29" si="2">IF($S5="","",$S5/(1-$V5)*IF($N5="",1,$N5))</f>
        <v>4089306.58985258</v>
      </c>
      <c r="X5" s="18">
        <f t="shared" ref="X5:X29" si="3">IF(OR($W5="",$Q5="",$Q5=0),"",$W5/$Q5)</f>
        <v>35.9270793257236</v>
      </c>
      <c r="Y5" s="18">
        <f t="shared" ref="Y5:Y29" si="4">IF(OR($R5="",$T5="",$T5=0),"",$R5/($T5*IF($O5="",1,$O5)))</f>
        <v>43.3946544649266</v>
      </c>
      <c r="Z5" s="18">
        <f t="shared" ref="Z5:Z29" si="5">IF(OR($X5="",$P5="",$P5=0),"",$X5/$P5)</f>
        <v>1</v>
      </c>
      <c r="AA5" t="str">
        <f t="shared" ref="AA5:AA29" si="6">IF($J5="","待填怪物等级",IF(OR($I5="",$Q5=""),"待填对照关卡",IF($P5="","已计算",IF(AND($Y5&lt;&gt;"",$Y5&lt;$X5),"生存不成立",IF($Z5&lt;0.5,"碾压",IF($Z5&lt;0.8,"偏简单",IF($Z5&lt;=1.2,"适中",IF($Z5&lt;=1.5,"偏难","过难"))))))))</f>
        <v>适中</v>
      </c>
      <c r="AB5" t="str">
        <f t="shared" ref="AB5:AB29" si="7">IF($J5="","待填",IF(AND(ISNUMBER($J5),$J5&gt;=1,$J5&lt;=500,MOD($J5,1)=0),"有效","超范围"))</f>
        <v>有效</v>
      </c>
      <c r="AC5" t="s">
        <v>5552</v>
      </c>
      <c r="AD5" t="s">
        <v>5808</v>
      </c>
      <c r="AE5" s="4">
        <v>65300</v>
      </c>
      <c r="AF5" s="4">
        <f>INDEX(_统一战力!$B$2:$B$501,J5)</f>
        <v>175000</v>
      </c>
    </row>
    <row r="6" spans="1:32">
      <c r="A6" t="s">
        <v>5548</v>
      </c>
      <c r="B6" t="s">
        <v>5804</v>
      </c>
      <c r="C6" t="s">
        <v>5805</v>
      </c>
      <c r="D6" t="s">
        <v>5809</v>
      </c>
      <c r="E6" t="s">
        <v>5810</v>
      </c>
      <c r="F6" t="s">
        <v>164</v>
      </c>
      <c r="G6">
        <v>53</v>
      </c>
      <c r="I6">
        <f t="shared" si="0"/>
        <v>53</v>
      </c>
      <c r="J6">
        <v>98</v>
      </c>
      <c r="K6" s="23">
        <v>1.09264050109355</v>
      </c>
      <c r="L6" s="23">
        <v>0.79268174391955</v>
      </c>
      <c r="M6" s="23">
        <v>1</v>
      </c>
      <c r="N6">
        <v>1</v>
      </c>
      <c r="O6">
        <v>1</v>
      </c>
      <c r="P6" s="18">
        <v>35.9270793257236</v>
      </c>
      <c r="Q6" s="24">
        <f>IF($I6="","",IFERROR(INDEX(_玩家曲线!$H$2:$H$286,MATCH($I6,_玩家曲线!$A$2:$A$286,0)),""))</f>
        <v>113822.405455727</v>
      </c>
      <c r="R6" s="24">
        <f>IF($I6="","",IFERROR(INDEX(_玩家曲线!$I$2:$I$286,MATCH($I6,_玩家曲线!$A$2:$A$286,0)),""))</f>
        <v>260909.970617466</v>
      </c>
      <c r="S6" s="24">
        <f>IF(OR($J6="",$F6="不适用"),"",IFERROR(INDEX(_怪物模型!$D$2:$D$4501,(INT($J6)-1)*ROWS(_怪物类型!$A$2:$A$10)+MATCH($F6,_怪物类型!$A$2:$A$10,0))*IF($K6="",1,$K6),""))</f>
        <v>3035956.26431348</v>
      </c>
      <c r="T6" s="24">
        <f>IF(OR($J6="",$F6="不适用"),"",IFERROR(INDEX(_怪物模型!$E$2:$E$4501,(INT($J6)-1)*ROWS(_怪物类型!$A$2:$A$10)+MATCH($F6,_怪物类型!$A$2:$A$10,0))*IF($L6="",1,$L6),""))</f>
        <v>6012.49102762979</v>
      </c>
      <c r="U6" s="24">
        <f>IF(OR($J6="",$F6="不适用"),"",IFERROR(INDEX(_怪物模型!$F$2:$F$4501,(INT($J6)-1)*ROWS(_怪物类型!$A$2:$A$10)+MATCH($F6,_怪物类型!$A$2:$A$10,0))*IF($M6="",1,$M6),""))</f>
        <v>8327</v>
      </c>
      <c r="V6" s="6">
        <f t="shared" si="1"/>
        <v>0.257586537569215</v>
      </c>
      <c r="W6" s="24">
        <f t="shared" si="2"/>
        <v>4089306.58985258</v>
      </c>
      <c r="X6" s="18">
        <f t="shared" si="3"/>
        <v>35.9270793257236</v>
      </c>
      <c r="Y6" s="18">
        <f t="shared" si="4"/>
        <v>43.3946544649266</v>
      </c>
      <c r="Z6" s="18">
        <f t="shared" si="5"/>
        <v>1</v>
      </c>
      <c r="AA6" t="str">
        <f t="shared" si="6"/>
        <v>适中</v>
      </c>
      <c r="AB6" t="str">
        <f t="shared" si="7"/>
        <v>有效</v>
      </c>
      <c r="AC6" t="str">
        <f t="shared" ref="AC6:AC29" si="8">IF(C6&lt;&gt;C5,"新玩法组",IF(J6&gt;=J5,"不降","回退"))</f>
        <v>不降</v>
      </c>
      <c r="AD6" t="s">
        <v>5808</v>
      </c>
      <c r="AE6" s="4">
        <v>65300</v>
      </c>
      <c r="AF6" s="4">
        <f>INDEX(_统一战力!$B$2:$B$501,J6)</f>
        <v>175000</v>
      </c>
    </row>
    <row r="7" spans="1:32">
      <c r="A7" t="s">
        <v>5548</v>
      </c>
      <c r="B7" t="s">
        <v>5804</v>
      </c>
      <c r="C7" t="s">
        <v>5805</v>
      </c>
      <c r="D7" t="s">
        <v>5811</v>
      </c>
      <c r="E7" t="s">
        <v>5812</v>
      </c>
      <c r="F7" t="s">
        <v>164</v>
      </c>
      <c r="G7">
        <v>64</v>
      </c>
      <c r="I7">
        <f t="shared" si="0"/>
        <v>64</v>
      </c>
      <c r="J7">
        <v>115</v>
      </c>
      <c r="K7" s="23">
        <v>1.08111097404659</v>
      </c>
      <c r="L7" s="23">
        <v>0.823700612834876</v>
      </c>
      <c r="M7" s="23">
        <v>1</v>
      </c>
      <c r="N7">
        <v>1</v>
      </c>
      <c r="O7">
        <v>1</v>
      </c>
      <c r="P7" s="18">
        <v>36.3073932234264</v>
      </c>
      <c r="Q7" s="24">
        <f>IF($I7="","",IFERROR(INDEX(_玩家曲线!$H$2:$H$286,MATCH($I7,_玩家曲线!$A$2:$A$286,0)),""))</f>
        <v>165656.324811522</v>
      </c>
      <c r="R7" s="24">
        <f>IF($I7="","",IFERROR(INDEX(_玩家曲线!$I$2:$I$286,MATCH($I7,_玩家曲线!$A$2:$A$286,0)),""))</f>
        <v>352956.471884879</v>
      </c>
      <c r="S7" s="24">
        <f>IF(OR($J7="",$F7="不适用"),"",IFERROR(INDEX(_怪物模型!$D$2:$D$4501,(INT($J7)-1)*ROWS(_怪物类型!$A$2:$A$10)+MATCH($F7,_怪物类型!$A$2:$A$10,0))*IF($K7="",1,$K7),""))</f>
        <v>4246438.49607598</v>
      </c>
      <c r="T7" s="24">
        <f>IF(OR($J7="",$F7="不适用"),"",IFERROR(INDEX(_怪物模型!$E$2:$E$4501,(INT($J7)-1)*ROWS(_怪物类型!$A$2:$A$10)+MATCH($F7,_怪物类型!$A$2:$A$10,0))*IF($L7="",1,$L7),""))</f>
        <v>7772.43898270989</v>
      </c>
      <c r="U7" s="24">
        <f>IF(OR($J7="",$F7="不适用"),"",IFERROR(INDEX(_怪物模型!$F$2:$F$4501,(INT($J7)-1)*ROWS(_怪物类型!$A$2:$A$10)+MATCH($F7,_怪物类型!$A$2:$A$10,0))*IF($M7="",1,$M7),""))</f>
        <v>9993</v>
      </c>
      <c r="V7" s="6">
        <f t="shared" si="1"/>
        <v>0.29397228841232</v>
      </c>
      <c r="W7" s="24">
        <f t="shared" si="2"/>
        <v>6014549.32487961</v>
      </c>
      <c r="X7" s="18">
        <f t="shared" si="3"/>
        <v>36.3073932234266</v>
      </c>
      <c r="Y7" s="18">
        <f t="shared" si="4"/>
        <v>45.4112888721346</v>
      </c>
      <c r="Z7" s="18">
        <f t="shared" si="5"/>
        <v>1.00000000000001</v>
      </c>
      <c r="AA7" t="str">
        <f t="shared" si="6"/>
        <v>适中</v>
      </c>
      <c r="AB7" t="str">
        <f t="shared" si="7"/>
        <v>有效</v>
      </c>
      <c r="AC7" t="str">
        <f t="shared" si="8"/>
        <v>不降</v>
      </c>
      <c r="AD7" t="s">
        <v>5813</v>
      </c>
      <c r="AE7" s="4">
        <v>91400</v>
      </c>
      <c r="AF7" s="4">
        <f>INDEX(_统一战力!$B$2:$B$501,J7)</f>
        <v>249000</v>
      </c>
    </row>
    <row r="8" spans="1:32">
      <c r="A8" t="s">
        <v>5548</v>
      </c>
      <c r="B8" t="s">
        <v>5804</v>
      </c>
      <c r="C8" t="s">
        <v>5805</v>
      </c>
      <c r="D8" t="s">
        <v>5814</v>
      </c>
      <c r="E8" t="s">
        <v>5815</v>
      </c>
      <c r="F8" t="s">
        <v>164</v>
      </c>
      <c r="G8">
        <v>64</v>
      </c>
      <c r="I8">
        <f t="shared" si="0"/>
        <v>64</v>
      </c>
      <c r="J8">
        <v>115</v>
      </c>
      <c r="K8" s="23">
        <v>1.08111097404659</v>
      </c>
      <c r="L8" s="23">
        <v>0.823700612834876</v>
      </c>
      <c r="M8" s="23">
        <v>1</v>
      </c>
      <c r="N8">
        <v>1</v>
      </c>
      <c r="O8">
        <v>1</v>
      </c>
      <c r="P8" s="18">
        <v>36.3073932234264</v>
      </c>
      <c r="Q8" s="24">
        <f>IF($I8="","",IFERROR(INDEX(_玩家曲线!$H$2:$H$286,MATCH($I8,_玩家曲线!$A$2:$A$286,0)),""))</f>
        <v>165656.324811522</v>
      </c>
      <c r="R8" s="24">
        <f>IF($I8="","",IFERROR(INDEX(_玩家曲线!$I$2:$I$286,MATCH($I8,_玩家曲线!$A$2:$A$286,0)),""))</f>
        <v>352956.471884879</v>
      </c>
      <c r="S8" s="24">
        <f>IF(OR($J8="",$F8="不适用"),"",IFERROR(INDEX(_怪物模型!$D$2:$D$4501,(INT($J8)-1)*ROWS(_怪物类型!$A$2:$A$10)+MATCH($F8,_怪物类型!$A$2:$A$10,0))*IF($K8="",1,$K8),""))</f>
        <v>4246438.49607598</v>
      </c>
      <c r="T8" s="24">
        <f>IF(OR($J8="",$F8="不适用"),"",IFERROR(INDEX(_怪物模型!$E$2:$E$4501,(INT($J8)-1)*ROWS(_怪物类型!$A$2:$A$10)+MATCH($F8,_怪物类型!$A$2:$A$10,0))*IF($L8="",1,$L8),""))</f>
        <v>7772.43898270989</v>
      </c>
      <c r="U8" s="24">
        <f>IF(OR($J8="",$F8="不适用"),"",IFERROR(INDEX(_怪物模型!$F$2:$F$4501,(INT($J8)-1)*ROWS(_怪物类型!$A$2:$A$10)+MATCH($F8,_怪物类型!$A$2:$A$10,0))*IF($M8="",1,$M8),""))</f>
        <v>9993</v>
      </c>
      <c r="V8" s="6">
        <f t="shared" si="1"/>
        <v>0.29397228841232</v>
      </c>
      <c r="W8" s="24">
        <f t="shared" si="2"/>
        <v>6014549.32487961</v>
      </c>
      <c r="X8" s="18">
        <f t="shared" si="3"/>
        <v>36.3073932234266</v>
      </c>
      <c r="Y8" s="18">
        <f t="shared" si="4"/>
        <v>45.4112888721346</v>
      </c>
      <c r="Z8" s="18">
        <f t="shared" si="5"/>
        <v>1.00000000000001</v>
      </c>
      <c r="AA8" t="str">
        <f t="shared" si="6"/>
        <v>适中</v>
      </c>
      <c r="AB8" t="str">
        <f t="shared" si="7"/>
        <v>有效</v>
      </c>
      <c r="AC8" t="str">
        <f t="shared" si="8"/>
        <v>不降</v>
      </c>
      <c r="AD8" t="s">
        <v>5813</v>
      </c>
      <c r="AE8" s="4">
        <v>91400</v>
      </c>
      <c r="AF8" s="4">
        <f>INDEX(_统一战力!$B$2:$B$501,J8)</f>
        <v>249000</v>
      </c>
    </row>
    <row r="9" spans="1:32">
      <c r="A9" t="s">
        <v>5548</v>
      </c>
      <c r="B9" t="s">
        <v>5804</v>
      </c>
      <c r="C9" t="s">
        <v>5805</v>
      </c>
      <c r="D9" t="s">
        <v>5816</v>
      </c>
      <c r="E9" t="s">
        <v>5817</v>
      </c>
      <c r="F9" t="s">
        <v>164</v>
      </c>
      <c r="G9">
        <v>74</v>
      </c>
      <c r="I9">
        <f t="shared" si="0"/>
        <v>74</v>
      </c>
      <c r="J9">
        <v>132</v>
      </c>
      <c r="K9" s="23">
        <v>1.05316722932026</v>
      </c>
      <c r="L9" s="23">
        <v>0.837748809814455</v>
      </c>
      <c r="M9" s="23">
        <v>1</v>
      </c>
      <c r="N9">
        <v>1</v>
      </c>
      <c r="O9">
        <v>1</v>
      </c>
      <c r="P9" s="18">
        <v>36.7512501798507</v>
      </c>
      <c r="Q9" s="24">
        <f>IF($I9="","",IFERROR(INDEX(_玩家曲线!$H$2:$H$286,MATCH($I9,_玩家曲线!$A$2:$A$286,0)),""))</f>
        <v>229107.066317105</v>
      </c>
      <c r="R9" s="24">
        <f>IF($I9="","",IFERROR(INDEX(_玩家曲线!$I$2:$I$286,MATCH($I9,_玩家曲线!$A$2:$A$286,0)),""))</f>
        <v>471776.255639066</v>
      </c>
      <c r="S9" s="24">
        <f>IF(OR($J9="",$F9="不适用"),"",IFERROR(INDEX(_怪物模型!$D$2:$D$4501,(INT($J9)-1)*ROWS(_怪物类型!$A$2:$A$10)+MATCH($F9,_怪物类型!$A$2:$A$10,0))*IF($K9="",1,$K9),""))</f>
        <v>5656365.29957446</v>
      </c>
      <c r="T9" s="24">
        <f>IF(OR($J9="",$F9="不适用"),"",IFERROR(INDEX(_怪物模型!$E$2:$E$4501,(INT($J9)-1)*ROWS(_怪物类型!$A$2:$A$10)+MATCH($F9,_怪物类型!$A$2:$A$10,0))*IF($L9="",1,$L9),""))</f>
        <v>9619.86958309939</v>
      </c>
      <c r="U9" s="24">
        <f>IF(OR($J9="",$F9="不适用"),"",IFERROR(INDEX(_怪物模型!$F$2:$F$4501,(INT($J9)-1)*ROWS(_怪物类型!$A$2:$A$10)+MATCH($F9,_怪物类型!$A$2:$A$10,0))*IF($M9="",1,$M9),""))</f>
        <v>11726</v>
      </c>
      <c r="V9" s="6">
        <f t="shared" si="1"/>
        <v>0.328220343727257</v>
      </c>
      <c r="W9" s="24">
        <f t="shared" si="2"/>
        <v>8419971.11219155</v>
      </c>
      <c r="X9" s="18">
        <f t="shared" si="3"/>
        <v>36.7512501798506</v>
      </c>
      <c r="Y9" s="18">
        <f t="shared" si="4"/>
        <v>49.0418556679712</v>
      </c>
      <c r="Z9" s="18">
        <f t="shared" si="5"/>
        <v>0.999999999999998</v>
      </c>
      <c r="AA9" t="str">
        <f t="shared" si="6"/>
        <v>适中</v>
      </c>
      <c r="AB9" t="str">
        <f t="shared" si="7"/>
        <v>有效</v>
      </c>
      <c r="AC9" t="str">
        <f t="shared" si="8"/>
        <v>不降</v>
      </c>
      <c r="AD9" t="s">
        <v>5818</v>
      </c>
      <c r="AE9" s="4">
        <v>115000</v>
      </c>
      <c r="AF9" s="4">
        <f>INDEX(_统一战力!$B$2:$B$501,J9)</f>
        <v>320000</v>
      </c>
    </row>
    <row r="10" spans="1:32">
      <c r="A10" t="s">
        <v>5548</v>
      </c>
      <c r="B10" t="s">
        <v>5804</v>
      </c>
      <c r="C10" t="s">
        <v>5805</v>
      </c>
      <c r="D10" t="s">
        <v>5819</v>
      </c>
      <c r="E10" t="s">
        <v>5820</v>
      </c>
      <c r="F10" t="s">
        <v>164</v>
      </c>
      <c r="G10">
        <v>74</v>
      </c>
      <c r="I10">
        <f t="shared" si="0"/>
        <v>74</v>
      </c>
      <c r="J10">
        <v>132</v>
      </c>
      <c r="K10" s="23">
        <v>1.05316722932026</v>
      </c>
      <c r="L10" s="23">
        <v>0.837748809814455</v>
      </c>
      <c r="M10" s="23">
        <v>1</v>
      </c>
      <c r="N10">
        <v>1</v>
      </c>
      <c r="O10">
        <v>1</v>
      </c>
      <c r="P10" s="18">
        <v>36.7512501798507</v>
      </c>
      <c r="Q10" s="24">
        <f>IF($I10="","",IFERROR(INDEX(_玩家曲线!$H$2:$H$286,MATCH($I10,_玩家曲线!$A$2:$A$286,0)),""))</f>
        <v>229107.066317105</v>
      </c>
      <c r="R10" s="24">
        <f>IF($I10="","",IFERROR(INDEX(_玩家曲线!$I$2:$I$286,MATCH($I10,_玩家曲线!$A$2:$A$286,0)),""))</f>
        <v>471776.255639066</v>
      </c>
      <c r="S10" s="24">
        <f>IF(OR($J10="",$F10="不适用"),"",IFERROR(INDEX(_怪物模型!$D$2:$D$4501,(INT($J10)-1)*ROWS(_怪物类型!$A$2:$A$10)+MATCH($F10,_怪物类型!$A$2:$A$10,0))*IF($K10="",1,$K10),""))</f>
        <v>5656365.29957446</v>
      </c>
      <c r="T10" s="24">
        <f>IF(OR($J10="",$F10="不适用"),"",IFERROR(INDEX(_怪物模型!$E$2:$E$4501,(INT($J10)-1)*ROWS(_怪物类型!$A$2:$A$10)+MATCH($F10,_怪物类型!$A$2:$A$10,0))*IF($L10="",1,$L10),""))</f>
        <v>9619.86958309939</v>
      </c>
      <c r="U10" s="24">
        <f>IF(OR($J10="",$F10="不适用"),"",IFERROR(INDEX(_怪物模型!$F$2:$F$4501,(INT($J10)-1)*ROWS(_怪物类型!$A$2:$A$10)+MATCH($F10,_怪物类型!$A$2:$A$10,0))*IF($M10="",1,$M10),""))</f>
        <v>11726</v>
      </c>
      <c r="V10" s="6">
        <f t="shared" si="1"/>
        <v>0.328220343727257</v>
      </c>
      <c r="W10" s="24">
        <f t="shared" si="2"/>
        <v>8419971.11219155</v>
      </c>
      <c r="X10" s="18">
        <f t="shared" si="3"/>
        <v>36.7512501798506</v>
      </c>
      <c r="Y10" s="18">
        <f t="shared" si="4"/>
        <v>49.0418556679712</v>
      </c>
      <c r="Z10" s="18">
        <f t="shared" si="5"/>
        <v>0.999999999999998</v>
      </c>
      <c r="AA10" t="str">
        <f t="shared" si="6"/>
        <v>适中</v>
      </c>
      <c r="AB10" t="str">
        <f t="shared" si="7"/>
        <v>有效</v>
      </c>
      <c r="AC10" t="str">
        <f t="shared" si="8"/>
        <v>不降</v>
      </c>
      <c r="AD10" t="s">
        <v>5818</v>
      </c>
      <c r="AE10" s="4">
        <v>115000</v>
      </c>
      <c r="AF10" s="4">
        <f>INDEX(_统一战力!$B$2:$B$501,J10)</f>
        <v>320000</v>
      </c>
    </row>
    <row r="11" spans="1:32">
      <c r="A11" t="s">
        <v>5548</v>
      </c>
      <c r="B11" t="s">
        <v>5804</v>
      </c>
      <c r="C11" t="s">
        <v>5805</v>
      </c>
      <c r="D11" t="s">
        <v>5821</v>
      </c>
      <c r="E11" t="s">
        <v>5822</v>
      </c>
      <c r="F11" t="s">
        <v>164</v>
      </c>
      <c r="G11">
        <v>87</v>
      </c>
      <c r="I11">
        <f t="shared" si="0"/>
        <v>87</v>
      </c>
      <c r="J11">
        <v>149</v>
      </c>
      <c r="K11" s="23">
        <v>1.04237865009292</v>
      </c>
      <c r="L11" s="23">
        <v>0.863088524131312</v>
      </c>
      <c r="M11" s="23">
        <v>1</v>
      </c>
      <c r="N11">
        <v>1</v>
      </c>
      <c r="O11">
        <v>1</v>
      </c>
      <c r="P11" s="18">
        <v>36.9876182383789</v>
      </c>
      <c r="Q11" s="24">
        <f>IF($I11="","",IFERROR(INDEX(_玩家曲线!$H$2:$H$286,MATCH($I11,_玩家曲线!$A$2:$A$286,0)),""))</f>
        <v>314966.783031065</v>
      </c>
      <c r="R11" s="24">
        <f>IF($I11="","",IFERROR(INDEX(_玩家曲线!$I$2:$I$286,MATCH($I11,_玩家曲线!$A$2:$A$286,0)),""))</f>
        <v>624642.209425444</v>
      </c>
      <c r="S11" s="24">
        <f>IF(OR($J11="",$F11="不适用"),"",IFERROR(INDEX(_怪物模型!$D$2:$D$4501,(INT($J11)-1)*ROWS(_怪物类型!$A$2:$A$10)+MATCH($F11,_怪物类型!$A$2:$A$10,0))*IF($K11="",1,$K11),""))</f>
        <v>7451148.78703126</v>
      </c>
      <c r="T11" s="24">
        <f>IF(OR($J11="",$F11="不适用"),"",IFERROR(INDEX(_怪物模型!$E$2:$E$4501,(INT($J11)-1)*ROWS(_怪物类型!$A$2:$A$10)+MATCH($F11,_怪物类型!$A$2:$A$10,0))*IF($L11="",1,$L11),""))</f>
        <v>11861.4255871366</v>
      </c>
      <c r="U11" s="24">
        <f>IF(OR($J11="",$F11="不适用"),"",IFERROR(INDEX(_怪物模型!$F$2:$F$4501,(INT($J11)-1)*ROWS(_怪物类型!$A$2:$A$10)+MATCH($F11,_怪物类型!$A$2:$A$10,0))*IF($M11="",1,$M11),""))</f>
        <v>13524</v>
      </c>
      <c r="V11" s="6">
        <f t="shared" si="1"/>
        <v>0.360409338023665</v>
      </c>
      <c r="W11" s="24">
        <f t="shared" si="2"/>
        <v>11649871.1285234</v>
      </c>
      <c r="X11" s="18">
        <f t="shared" si="3"/>
        <v>36.987618238379</v>
      </c>
      <c r="Y11" s="18">
        <f t="shared" si="4"/>
        <v>52.6616471887537</v>
      </c>
      <c r="Z11" s="18">
        <f t="shared" si="5"/>
        <v>1</v>
      </c>
      <c r="AA11" t="str">
        <f t="shared" si="6"/>
        <v>适中</v>
      </c>
      <c r="AB11" t="str">
        <f t="shared" si="7"/>
        <v>有效</v>
      </c>
      <c r="AC11" t="str">
        <f t="shared" si="8"/>
        <v>不降</v>
      </c>
      <c r="AD11" t="s">
        <v>5823</v>
      </c>
      <c r="AE11" s="4">
        <v>151000</v>
      </c>
      <c r="AF11" s="4">
        <f>INDEX(_统一战力!$B$2:$B$501,J11)</f>
        <v>403000</v>
      </c>
    </row>
    <row r="12" spans="1:32">
      <c r="A12" t="s">
        <v>5548</v>
      </c>
      <c r="B12" t="s">
        <v>5804</v>
      </c>
      <c r="C12" t="s">
        <v>5805</v>
      </c>
      <c r="D12" t="s">
        <v>5824</v>
      </c>
      <c r="E12" t="s">
        <v>5825</v>
      </c>
      <c r="F12" t="s">
        <v>164</v>
      </c>
      <c r="G12">
        <v>87</v>
      </c>
      <c r="I12">
        <f t="shared" si="0"/>
        <v>87</v>
      </c>
      <c r="J12">
        <v>149</v>
      </c>
      <c r="K12" s="23">
        <v>1.04237865009292</v>
      </c>
      <c r="L12" s="23">
        <v>0.863088524131312</v>
      </c>
      <c r="M12" s="23">
        <v>1</v>
      </c>
      <c r="N12">
        <v>1</v>
      </c>
      <c r="O12">
        <v>1</v>
      </c>
      <c r="P12" s="18">
        <v>36.9876182383789</v>
      </c>
      <c r="Q12" s="24">
        <f>IF($I12="","",IFERROR(INDEX(_玩家曲线!$H$2:$H$286,MATCH($I12,_玩家曲线!$A$2:$A$286,0)),""))</f>
        <v>314966.783031065</v>
      </c>
      <c r="R12" s="24">
        <f>IF($I12="","",IFERROR(INDEX(_玩家曲线!$I$2:$I$286,MATCH($I12,_玩家曲线!$A$2:$A$286,0)),""))</f>
        <v>624642.209425444</v>
      </c>
      <c r="S12" s="24">
        <f>IF(OR($J12="",$F12="不适用"),"",IFERROR(INDEX(_怪物模型!$D$2:$D$4501,(INT($J12)-1)*ROWS(_怪物类型!$A$2:$A$10)+MATCH($F12,_怪物类型!$A$2:$A$10,0))*IF($K12="",1,$K12),""))</f>
        <v>7451148.78703126</v>
      </c>
      <c r="T12" s="24">
        <f>IF(OR($J12="",$F12="不适用"),"",IFERROR(INDEX(_怪物模型!$E$2:$E$4501,(INT($J12)-1)*ROWS(_怪物类型!$A$2:$A$10)+MATCH($F12,_怪物类型!$A$2:$A$10,0))*IF($L12="",1,$L12),""))</f>
        <v>11861.4255871366</v>
      </c>
      <c r="U12" s="24">
        <f>IF(OR($J12="",$F12="不适用"),"",IFERROR(INDEX(_怪物模型!$F$2:$F$4501,(INT($J12)-1)*ROWS(_怪物类型!$A$2:$A$10)+MATCH($F12,_怪物类型!$A$2:$A$10,0))*IF($M12="",1,$M12),""))</f>
        <v>13524</v>
      </c>
      <c r="V12" s="6">
        <f t="shared" si="1"/>
        <v>0.360409338023665</v>
      </c>
      <c r="W12" s="24">
        <f t="shared" si="2"/>
        <v>11649871.1285234</v>
      </c>
      <c r="X12" s="18">
        <f t="shared" si="3"/>
        <v>36.987618238379</v>
      </c>
      <c r="Y12" s="18">
        <f t="shared" si="4"/>
        <v>52.6616471887537</v>
      </c>
      <c r="Z12" s="18">
        <f t="shared" si="5"/>
        <v>1</v>
      </c>
      <c r="AA12" t="str">
        <f t="shared" si="6"/>
        <v>适中</v>
      </c>
      <c r="AB12" t="str">
        <f t="shared" si="7"/>
        <v>有效</v>
      </c>
      <c r="AC12" t="str">
        <f t="shared" si="8"/>
        <v>不降</v>
      </c>
      <c r="AD12" t="s">
        <v>5823</v>
      </c>
      <c r="AE12" s="4">
        <v>151000</v>
      </c>
      <c r="AF12" s="4">
        <f>INDEX(_统一战力!$B$2:$B$501,J12)</f>
        <v>403000</v>
      </c>
    </row>
    <row r="13" spans="1:32">
      <c r="A13" t="s">
        <v>5548</v>
      </c>
      <c r="B13" t="s">
        <v>5804</v>
      </c>
      <c r="C13" t="s">
        <v>5805</v>
      </c>
      <c r="D13" t="s">
        <v>5826</v>
      </c>
      <c r="E13" t="s">
        <v>5827</v>
      </c>
      <c r="F13" t="s">
        <v>164</v>
      </c>
      <c r="G13">
        <v>102</v>
      </c>
      <c r="I13">
        <f t="shared" si="0"/>
        <v>102</v>
      </c>
      <c r="J13">
        <v>166</v>
      </c>
      <c r="K13" s="23">
        <v>1.03282438955474</v>
      </c>
      <c r="L13" s="23">
        <v>0.888425448347749</v>
      </c>
      <c r="M13" s="23">
        <v>1</v>
      </c>
      <c r="N13">
        <v>1</v>
      </c>
      <c r="O13">
        <v>1</v>
      </c>
      <c r="P13" s="18">
        <v>37.8844814031346</v>
      </c>
      <c r="Q13" s="24">
        <f>IF($I13="","",IFERROR(INDEX(_玩家曲线!$H$2:$H$286,MATCH($I13,_玩家曲线!$A$2:$A$286,0)),""))</f>
        <v>416356.082201349</v>
      </c>
      <c r="R13" s="24">
        <f>IF($I13="","",IFERROR(INDEX(_玩家曲线!$I$2:$I$286,MATCH($I13,_玩家曲线!$A$2:$A$286,0)),""))</f>
        <v>792319.104933243</v>
      </c>
      <c r="S13" s="24">
        <f>IF(OR($J13="",$F13="不适用"),"",IFERROR(INDEX(_怪物模型!$D$2:$D$4501,(INT($J13)-1)*ROWS(_怪物类型!$A$2:$A$10)+MATCH($F13,_怪物类型!$A$2:$A$10,0))*IF($K13="",1,$K13),""))</f>
        <v>9611110.54325518</v>
      </c>
      <c r="T13" s="24">
        <f>IF(OR($J13="",$F13="不适用"),"",IFERROR(INDEX(_怪物模型!$E$2:$E$4501,(INT($J13)-1)*ROWS(_怪物类型!$A$2:$A$10)+MATCH($F13,_怪物类型!$A$2:$A$10,0))*IF($L13="",1,$L13),""))</f>
        <v>14423.5871539257</v>
      </c>
      <c r="U13" s="24">
        <f>IF(OR($J13="",$F13="不适用"),"",IFERROR(INDEX(_怪物模型!$F$2:$F$4501,(INT($J13)-1)*ROWS(_怪物类型!$A$2:$A$10)+MATCH($F13,_怪物类型!$A$2:$A$10,0))*IF($M13="",1,$M13),""))</f>
        <v>15388</v>
      </c>
      <c r="V13" s="6">
        <f t="shared" si="1"/>
        <v>0.39067736366406</v>
      </c>
      <c r="W13" s="24">
        <f t="shared" si="2"/>
        <v>15773434.253239</v>
      </c>
      <c r="X13" s="18">
        <f t="shared" si="3"/>
        <v>37.8844814031345</v>
      </c>
      <c r="Y13" s="18">
        <f t="shared" si="4"/>
        <v>54.9321813275552</v>
      </c>
      <c r="Z13" s="18">
        <f t="shared" si="5"/>
        <v>0.999999999999998</v>
      </c>
      <c r="AA13" t="str">
        <f t="shared" si="6"/>
        <v>适中</v>
      </c>
      <c r="AB13" t="str">
        <f t="shared" si="7"/>
        <v>有效</v>
      </c>
      <c r="AC13" t="str">
        <f t="shared" si="8"/>
        <v>不降</v>
      </c>
      <c r="AD13" t="s">
        <v>5828</v>
      </c>
      <c r="AE13" s="4">
        <v>185000</v>
      </c>
      <c r="AF13" s="4">
        <f>INDEX(_统一战力!$B$2:$B$501,J13)</f>
        <v>417000</v>
      </c>
    </row>
    <row r="14" spans="1:32">
      <c r="A14" t="s">
        <v>5548</v>
      </c>
      <c r="B14" t="s">
        <v>5804</v>
      </c>
      <c r="C14" t="s">
        <v>5805</v>
      </c>
      <c r="D14" t="s">
        <v>5829</v>
      </c>
      <c r="E14" t="s">
        <v>5830</v>
      </c>
      <c r="F14" t="s">
        <v>164</v>
      </c>
      <c r="G14">
        <v>102</v>
      </c>
      <c r="I14">
        <f t="shared" si="0"/>
        <v>102</v>
      </c>
      <c r="J14">
        <v>166</v>
      </c>
      <c r="K14" s="23">
        <v>1.03282438955474</v>
      </c>
      <c r="L14" s="23">
        <v>0.888425448347749</v>
      </c>
      <c r="M14" s="23">
        <v>1</v>
      </c>
      <c r="N14">
        <v>1</v>
      </c>
      <c r="O14">
        <v>1</v>
      </c>
      <c r="P14" s="18">
        <v>37.8844814031346</v>
      </c>
      <c r="Q14" s="24">
        <f>IF($I14="","",IFERROR(INDEX(_玩家曲线!$H$2:$H$286,MATCH($I14,_玩家曲线!$A$2:$A$286,0)),""))</f>
        <v>416356.082201349</v>
      </c>
      <c r="R14" s="24">
        <f>IF($I14="","",IFERROR(INDEX(_玩家曲线!$I$2:$I$286,MATCH($I14,_玩家曲线!$A$2:$A$286,0)),""))</f>
        <v>792319.104933243</v>
      </c>
      <c r="S14" s="24">
        <f>IF(OR($J14="",$F14="不适用"),"",IFERROR(INDEX(_怪物模型!$D$2:$D$4501,(INT($J14)-1)*ROWS(_怪物类型!$A$2:$A$10)+MATCH($F14,_怪物类型!$A$2:$A$10,0))*IF($K14="",1,$K14),""))</f>
        <v>9611110.54325518</v>
      </c>
      <c r="T14" s="24">
        <f>IF(OR($J14="",$F14="不适用"),"",IFERROR(INDEX(_怪物模型!$E$2:$E$4501,(INT($J14)-1)*ROWS(_怪物类型!$A$2:$A$10)+MATCH($F14,_怪物类型!$A$2:$A$10,0))*IF($L14="",1,$L14),""))</f>
        <v>14423.5871539257</v>
      </c>
      <c r="U14" s="24">
        <f>IF(OR($J14="",$F14="不适用"),"",IFERROR(INDEX(_怪物模型!$F$2:$F$4501,(INT($J14)-1)*ROWS(_怪物类型!$A$2:$A$10)+MATCH($F14,_怪物类型!$A$2:$A$10,0))*IF($M14="",1,$M14),""))</f>
        <v>15388</v>
      </c>
      <c r="V14" s="6">
        <f t="shared" si="1"/>
        <v>0.39067736366406</v>
      </c>
      <c r="W14" s="24">
        <f t="shared" si="2"/>
        <v>15773434.253239</v>
      </c>
      <c r="X14" s="18">
        <f t="shared" si="3"/>
        <v>37.8844814031345</v>
      </c>
      <c r="Y14" s="18">
        <f t="shared" si="4"/>
        <v>54.9321813275552</v>
      </c>
      <c r="Z14" s="18">
        <f t="shared" si="5"/>
        <v>0.999999999999998</v>
      </c>
      <c r="AA14" t="str">
        <f t="shared" si="6"/>
        <v>适中</v>
      </c>
      <c r="AB14" t="str">
        <f t="shared" si="7"/>
        <v>有效</v>
      </c>
      <c r="AC14" t="str">
        <f t="shared" si="8"/>
        <v>不降</v>
      </c>
      <c r="AD14" t="s">
        <v>5828</v>
      </c>
      <c r="AE14" s="4">
        <v>185000</v>
      </c>
      <c r="AF14" s="4">
        <f>INDEX(_统一战力!$B$2:$B$501,J14)</f>
        <v>417000</v>
      </c>
    </row>
    <row r="15" spans="1:32">
      <c r="A15" t="s">
        <v>5548</v>
      </c>
      <c r="B15" t="s">
        <v>5804</v>
      </c>
      <c r="C15" t="s">
        <v>5805</v>
      </c>
      <c r="D15" t="s">
        <v>5831</v>
      </c>
      <c r="E15" t="s">
        <v>5832</v>
      </c>
      <c r="F15" t="s">
        <v>164</v>
      </c>
      <c r="G15">
        <v>123</v>
      </c>
      <c r="I15">
        <f t="shared" si="0"/>
        <v>123</v>
      </c>
      <c r="J15">
        <v>195</v>
      </c>
      <c r="K15" s="23">
        <v>1.02338346071287</v>
      </c>
      <c r="L15" s="23">
        <v>0.944699661217369</v>
      </c>
      <c r="M15" s="23">
        <v>1</v>
      </c>
      <c r="N15">
        <v>1</v>
      </c>
      <c r="O15">
        <v>1</v>
      </c>
      <c r="P15" s="18">
        <v>38.2610103506263</v>
      </c>
      <c r="Q15" s="24">
        <f>IF($I15="","",IFERROR(INDEX(_玩家曲线!$H$2:$H$286,MATCH($I15,_玩家曲线!$A$2:$A$286,0)),""))</f>
        <v>667087.846868461</v>
      </c>
      <c r="R15" s="24">
        <f>IF($I15="","",IFERROR(INDEX(_玩家曲线!$I$2:$I$286,MATCH($I15,_玩家曲线!$A$2:$A$286,0)),""))</f>
        <v>1133890.18758906</v>
      </c>
      <c r="S15" s="24">
        <f>IF(OR($J15="",$F15="不适用"),"",IFERROR(INDEX(_怪物模型!$D$2:$D$4501,(INT($J15)-1)*ROWS(_怪物类型!$A$2:$A$10)+MATCH($F15,_怪物类型!$A$2:$A$10,0))*IF($K15="",1,$K15),""))</f>
        <v>14339019.6706804</v>
      </c>
      <c r="T15" s="24">
        <f>IF(OR($J15="",$F15="不适用"),"",IFERROR(INDEX(_怪物模型!$E$2:$E$4501,(INT($J15)-1)*ROWS(_怪物类型!$A$2:$A$10)+MATCH($F15,_怪物类型!$A$2:$A$10,0))*IF($L15="",1,$L15),""))</f>
        <v>19912.3794591397</v>
      </c>
      <c r="U15" s="24">
        <f>IF(OR($J15="",$F15="不适用"),"",IFERROR(INDEX(_怪物模型!$F$2:$F$4501,(INT($J15)-1)*ROWS(_怪物类型!$A$2:$A$10)+MATCH($F15,_怪物类型!$A$2:$A$10,0))*IF($M15="",1,$M15),""))</f>
        <v>18720</v>
      </c>
      <c r="V15" s="6">
        <f t="shared" si="1"/>
        <v>0.438202247191011</v>
      </c>
      <c r="W15" s="24">
        <f t="shared" si="2"/>
        <v>25523455.0138111</v>
      </c>
      <c r="X15" s="18">
        <f t="shared" si="3"/>
        <v>38.2610103506262</v>
      </c>
      <c r="Y15" s="18">
        <f t="shared" si="4"/>
        <v>56.943982506752</v>
      </c>
      <c r="Z15" s="18">
        <f t="shared" si="5"/>
        <v>0.999999999999996</v>
      </c>
      <c r="AA15" t="str">
        <f t="shared" si="6"/>
        <v>适中</v>
      </c>
      <c r="AB15" t="str">
        <f t="shared" si="7"/>
        <v>有效</v>
      </c>
      <c r="AC15" t="str">
        <f t="shared" si="8"/>
        <v>不降</v>
      </c>
      <c r="AD15" t="s">
        <v>5833</v>
      </c>
      <c r="AE15" s="4">
        <v>268000</v>
      </c>
      <c r="AF15" s="4">
        <f>INDEX(_统一战力!$B$2:$B$501,J15)</f>
        <v>613000</v>
      </c>
    </row>
    <row r="16" spans="1:32">
      <c r="A16" t="s">
        <v>5548</v>
      </c>
      <c r="B16" t="s">
        <v>5804</v>
      </c>
      <c r="C16" t="s">
        <v>5805</v>
      </c>
      <c r="D16" t="s">
        <v>5834</v>
      </c>
      <c r="E16" t="s">
        <v>5835</v>
      </c>
      <c r="F16" t="s">
        <v>164</v>
      </c>
      <c r="G16">
        <v>123</v>
      </c>
      <c r="I16">
        <f t="shared" si="0"/>
        <v>123</v>
      </c>
      <c r="J16">
        <v>195</v>
      </c>
      <c r="K16" s="23">
        <v>1.02338346071287</v>
      </c>
      <c r="L16" s="23">
        <v>0.944699661217369</v>
      </c>
      <c r="M16" s="23">
        <v>1</v>
      </c>
      <c r="N16">
        <v>1</v>
      </c>
      <c r="O16">
        <v>1</v>
      </c>
      <c r="P16" s="18">
        <v>38.2610103506263</v>
      </c>
      <c r="Q16" s="24">
        <f>IF($I16="","",IFERROR(INDEX(_玩家曲线!$H$2:$H$286,MATCH($I16,_玩家曲线!$A$2:$A$286,0)),""))</f>
        <v>667087.846868461</v>
      </c>
      <c r="R16" s="24">
        <f>IF($I16="","",IFERROR(INDEX(_玩家曲线!$I$2:$I$286,MATCH($I16,_玩家曲线!$A$2:$A$286,0)),""))</f>
        <v>1133890.18758906</v>
      </c>
      <c r="S16" s="24">
        <f>IF(OR($J16="",$F16="不适用"),"",IFERROR(INDEX(_怪物模型!$D$2:$D$4501,(INT($J16)-1)*ROWS(_怪物类型!$A$2:$A$10)+MATCH($F16,_怪物类型!$A$2:$A$10,0))*IF($K16="",1,$K16),""))</f>
        <v>14339019.6706804</v>
      </c>
      <c r="T16" s="24">
        <f>IF(OR($J16="",$F16="不适用"),"",IFERROR(INDEX(_怪物模型!$E$2:$E$4501,(INT($J16)-1)*ROWS(_怪物类型!$A$2:$A$10)+MATCH($F16,_怪物类型!$A$2:$A$10,0))*IF($L16="",1,$L16),""))</f>
        <v>19912.3794591397</v>
      </c>
      <c r="U16" s="24">
        <f>IF(OR($J16="",$F16="不适用"),"",IFERROR(INDEX(_怪物模型!$F$2:$F$4501,(INT($J16)-1)*ROWS(_怪物类型!$A$2:$A$10)+MATCH($F16,_怪物类型!$A$2:$A$10,0))*IF($M16="",1,$M16),""))</f>
        <v>18720</v>
      </c>
      <c r="V16" s="6">
        <f t="shared" si="1"/>
        <v>0.438202247191011</v>
      </c>
      <c r="W16" s="24">
        <f t="shared" si="2"/>
        <v>25523455.0138111</v>
      </c>
      <c r="X16" s="18">
        <f t="shared" si="3"/>
        <v>38.2610103506262</v>
      </c>
      <c r="Y16" s="18">
        <f t="shared" si="4"/>
        <v>56.943982506752</v>
      </c>
      <c r="Z16" s="18">
        <f t="shared" si="5"/>
        <v>0.999999999999996</v>
      </c>
      <c r="AA16" t="str">
        <f t="shared" si="6"/>
        <v>适中</v>
      </c>
      <c r="AB16" t="str">
        <f t="shared" si="7"/>
        <v>有效</v>
      </c>
      <c r="AC16" t="str">
        <f t="shared" si="8"/>
        <v>不降</v>
      </c>
      <c r="AD16" t="s">
        <v>5833</v>
      </c>
      <c r="AE16" s="4">
        <v>268000</v>
      </c>
      <c r="AF16" s="4">
        <f>INDEX(_统一战力!$B$2:$B$501,J16)</f>
        <v>613000</v>
      </c>
    </row>
    <row r="17" spans="1:32">
      <c r="A17" t="s">
        <v>5548</v>
      </c>
      <c r="B17" t="s">
        <v>5804</v>
      </c>
      <c r="C17" t="s">
        <v>5805</v>
      </c>
      <c r="D17" t="s">
        <v>5836</v>
      </c>
      <c r="E17" t="s">
        <v>5837</v>
      </c>
      <c r="F17" t="s">
        <v>164</v>
      </c>
      <c r="G17">
        <v>155</v>
      </c>
      <c r="I17">
        <f t="shared" si="0"/>
        <v>155</v>
      </c>
      <c r="J17">
        <v>230</v>
      </c>
      <c r="K17" s="23">
        <v>1.00377794054907</v>
      </c>
      <c r="L17" s="23">
        <v>1.00277933827993</v>
      </c>
      <c r="M17" s="23">
        <v>1</v>
      </c>
      <c r="N17">
        <v>1</v>
      </c>
      <c r="O17">
        <v>1</v>
      </c>
      <c r="P17" s="18">
        <v>40.1908286134743</v>
      </c>
      <c r="Q17" s="24">
        <f>IF($I17="","",IFERROR(INDEX(_玩家曲线!$H$2:$H$286,MATCH($I17,_玩家曲线!$A$2:$A$286,0)),""))</f>
        <v>1065358.47516053</v>
      </c>
      <c r="R17" s="24">
        <f>IF($I17="","",IFERROR(INDEX(_玩家曲线!$I$2:$I$286,MATCH($I17,_玩家曲线!$A$2:$A$286,0)),""))</f>
        <v>1604876.210103</v>
      </c>
      <c r="S17" s="24">
        <f>IF(OR($J17="",$F17="不适用"),"",IFERROR(INDEX(_怪物模型!$D$2:$D$4501,(INT($J17)-1)*ROWS(_怪物类型!$A$2:$A$10)+MATCH($F17,_怪物类型!$A$2:$A$10,0))*IF($K17="",1,$K17),""))</f>
        <v>21866652.990534</v>
      </c>
      <c r="T17" s="24">
        <f>IF(OR($J17="",$F17="不适用"),"",IFERROR(INDEX(_怪物模型!$E$2:$E$4501,(INT($J17)-1)*ROWS(_怪物类型!$A$2:$A$10)+MATCH($F17,_怪物类型!$A$2:$A$10,0))*IF($L17="",1,$L17),""))</f>
        <v>28138.9910114731</v>
      </c>
      <c r="U17" s="24">
        <f>IF(OR($J17="",$F17="不适用"),"",IFERROR(INDEX(_怪物模型!$F$2:$F$4501,(INT($J17)-1)*ROWS(_怪物类型!$A$2:$A$10)+MATCH($F17,_怪物类型!$A$2:$A$10,0))*IF($M17="",1,$M17),""))</f>
        <v>22995</v>
      </c>
      <c r="V17" s="6">
        <f t="shared" si="1"/>
        <v>0.4893073731248</v>
      </c>
      <c r="W17" s="24">
        <f t="shared" si="2"/>
        <v>42817639.8870893</v>
      </c>
      <c r="X17" s="18">
        <f t="shared" si="3"/>
        <v>40.1908286134744</v>
      </c>
      <c r="Y17" s="18">
        <f t="shared" si="4"/>
        <v>57.033893271036</v>
      </c>
      <c r="Z17" s="18">
        <f t="shared" si="5"/>
        <v>1</v>
      </c>
      <c r="AA17" t="str">
        <f t="shared" si="6"/>
        <v>适中</v>
      </c>
      <c r="AB17" t="str">
        <f t="shared" si="7"/>
        <v>有效</v>
      </c>
      <c r="AC17" t="str">
        <f t="shared" si="8"/>
        <v>不降</v>
      </c>
      <c r="AD17" t="s">
        <v>5838</v>
      </c>
      <c r="AE17" s="4">
        <v>386000</v>
      </c>
      <c r="AF17" s="4">
        <f>INDEX(_统一战力!$B$2:$B$501,J17)</f>
        <v>885000</v>
      </c>
    </row>
    <row r="18" spans="1:32">
      <c r="A18" t="s">
        <v>5548</v>
      </c>
      <c r="B18" t="s">
        <v>5804</v>
      </c>
      <c r="C18" t="s">
        <v>5805</v>
      </c>
      <c r="D18" t="s">
        <v>5839</v>
      </c>
      <c r="E18" t="s">
        <v>5840</v>
      </c>
      <c r="F18" t="s">
        <v>164</v>
      </c>
      <c r="G18">
        <v>155</v>
      </c>
      <c r="I18">
        <f t="shared" si="0"/>
        <v>155</v>
      </c>
      <c r="J18">
        <v>230</v>
      </c>
      <c r="K18" s="23">
        <v>1.00377794054907</v>
      </c>
      <c r="L18" s="23">
        <v>1.00277933827993</v>
      </c>
      <c r="M18" s="23">
        <v>1</v>
      </c>
      <c r="N18">
        <v>1</v>
      </c>
      <c r="O18">
        <v>1</v>
      </c>
      <c r="P18" s="18">
        <v>40.1908286134743</v>
      </c>
      <c r="Q18" s="24">
        <f>IF($I18="","",IFERROR(INDEX(_玩家曲线!$H$2:$H$286,MATCH($I18,_玩家曲线!$A$2:$A$286,0)),""))</f>
        <v>1065358.47516053</v>
      </c>
      <c r="R18" s="24">
        <f>IF($I18="","",IFERROR(INDEX(_玩家曲线!$I$2:$I$286,MATCH($I18,_玩家曲线!$A$2:$A$286,0)),""))</f>
        <v>1604876.210103</v>
      </c>
      <c r="S18" s="24">
        <f>IF(OR($J18="",$F18="不适用"),"",IFERROR(INDEX(_怪物模型!$D$2:$D$4501,(INT($J18)-1)*ROWS(_怪物类型!$A$2:$A$10)+MATCH($F18,_怪物类型!$A$2:$A$10,0))*IF($K18="",1,$K18),""))</f>
        <v>21866652.990534</v>
      </c>
      <c r="T18" s="24">
        <f>IF(OR($J18="",$F18="不适用"),"",IFERROR(INDEX(_怪物模型!$E$2:$E$4501,(INT($J18)-1)*ROWS(_怪物类型!$A$2:$A$10)+MATCH($F18,_怪物类型!$A$2:$A$10,0))*IF($L18="",1,$L18),""))</f>
        <v>28138.9910114731</v>
      </c>
      <c r="U18" s="24">
        <f>IF(OR($J18="",$F18="不适用"),"",IFERROR(INDEX(_怪物模型!$F$2:$F$4501,(INT($J18)-1)*ROWS(_怪物类型!$A$2:$A$10)+MATCH($F18,_怪物类型!$A$2:$A$10,0))*IF($M18="",1,$M18),""))</f>
        <v>22995</v>
      </c>
      <c r="V18" s="6">
        <f t="shared" si="1"/>
        <v>0.4893073731248</v>
      </c>
      <c r="W18" s="24">
        <f t="shared" si="2"/>
        <v>42817639.8870893</v>
      </c>
      <c r="X18" s="18">
        <f t="shared" si="3"/>
        <v>40.1908286134744</v>
      </c>
      <c r="Y18" s="18">
        <f t="shared" si="4"/>
        <v>57.033893271036</v>
      </c>
      <c r="Z18" s="18">
        <f t="shared" si="5"/>
        <v>1</v>
      </c>
      <c r="AA18" t="str">
        <f t="shared" si="6"/>
        <v>适中</v>
      </c>
      <c r="AB18" t="str">
        <f t="shared" si="7"/>
        <v>有效</v>
      </c>
      <c r="AC18" t="str">
        <f t="shared" si="8"/>
        <v>不降</v>
      </c>
      <c r="AD18" t="s">
        <v>5838</v>
      </c>
      <c r="AE18" s="4">
        <v>386000</v>
      </c>
      <c r="AF18" s="4">
        <f>INDEX(_统一战力!$B$2:$B$501,J18)</f>
        <v>885000</v>
      </c>
    </row>
    <row r="19" spans="1:32">
      <c r="A19" t="s">
        <v>5548</v>
      </c>
      <c r="B19" t="s">
        <v>5804</v>
      </c>
      <c r="C19" t="s">
        <v>5805</v>
      </c>
      <c r="D19" t="s">
        <v>5841</v>
      </c>
      <c r="E19" t="s">
        <v>5842</v>
      </c>
      <c r="F19" t="s">
        <v>164</v>
      </c>
      <c r="G19">
        <v>214</v>
      </c>
      <c r="I19">
        <f t="shared" si="0"/>
        <v>214</v>
      </c>
      <c r="J19">
        <v>277</v>
      </c>
      <c r="K19" s="23">
        <v>0.975797192130606</v>
      </c>
      <c r="L19" s="23">
        <v>1.07135589100686</v>
      </c>
      <c r="M19" s="23">
        <v>1</v>
      </c>
      <c r="N19">
        <v>1</v>
      </c>
      <c r="O19">
        <v>1</v>
      </c>
      <c r="P19" s="18">
        <v>45.3496314351031</v>
      </c>
      <c r="Q19" s="24">
        <f>IF($I19="","",IFERROR(INDEX(_玩家曲线!$H$2:$H$286,MATCH($I19,_玩家曲线!$A$2:$A$286,0)),""))</f>
        <v>1758169.23888546</v>
      </c>
      <c r="R19" s="24">
        <f>IF($I19="","",IFERROR(INDEX(_玩家曲线!$I$2:$I$286,MATCH($I19,_玩家曲线!$A$2:$A$286,0)),""))</f>
        <v>2310281.93720886</v>
      </c>
      <c r="S19" s="24">
        <f>IF(OR($J19="",$F19="不适用"),"",IFERROR(INDEX(_怪物模型!$D$2:$D$4501,(INT($J19)-1)*ROWS(_怪物类型!$A$2:$A$10)+MATCH($F19,_怪物类型!$A$2:$A$10,0))*IF($K19="",1,$K19),""))</f>
        <v>35986381.7135082</v>
      </c>
      <c r="T19" s="24">
        <f>IF(OR($J19="",$F19="不适用"),"",IFERROR(INDEX(_怪物模型!$E$2:$E$4501,(INT($J19)-1)*ROWS(_怪物类型!$A$2:$A$10)+MATCH($F19,_怪物类型!$A$2:$A$10,0))*IF($L19="",1,$L19),""))</f>
        <v>42618.5373442529</v>
      </c>
      <c r="U19" s="24">
        <f>IF(OR($J19="",$F19="不适用"),"",IFERROR(INDEX(_怪物模型!$F$2:$F$4501,(INT($J19)-1)*ROWS(_怪物类型!$A$2:$A$10)+MATCH($F19,_怪物类型!$A$2:$A$10,0))*IF($M19="",1,$M19),""))</f>
        <v>29175</v>
      </c>
      <c r="V19" s="6">
        <f t="shared" si="1"/>
        <v>0.548660084626234</v>
      </c>
      <c r="W19" s="24">
        <f t="shared" si="2"/>
        <v>79732326.9839915</v>
      </c>
      <c r="X19" s="18">
        <f t="shared" si="3"/>
        <v>45.3496314351032</v>
      </c>
      <c r="Y19" s="18">
        <f t="shared" si="4"/>
        <v>54.2083816379588</v>
      </c>
      <c r="Z19" s="18">
        <f t="shared" si="5"/>
        <v>1</v>
      </c>
      <c r="AA19" t="str">
        <f t="shared" si="6"/>
        <v>适中</v>
      </c>
      <c r="AB19" t="str">
        <f t="shared" si="7"/>
        <v>有效</v>
      </c>
      <c r="AC19" t="str">
        <f t="shared" si="8"/>
        <v>不降</v>
      </c>
      <c r="AD19" t="s">
        <v>5843</v>
      </c>
      <c r="AE19" s="4">
        <v>577000</v>
      </c>
      <c r="AF19" s="4">
        <f>INDEX(_统一战力!$B$2:$B$501,J19)</f>
        <v>1280000</v>
      </c>
    </row>
    <row r="20" spans="1:32">
      <c r="A20" t="s">
        <v>5548</v>
      </c>
      <c r="B20" t="s">
        <v>5804</v>
      </c>
      <c r="C20" t="s">
        <v>5805</v>
      </c>
      <c r="D20" t="s">
        <v>5844</v>
      </c>
      <c r="E20" t="s">
        <v>5845</v>
      </c>
      <c r="F20" t="s">
        <v>164</v>
      </c>
      <c r="G20">
        <v>214</v>
      </c>
      <c r="I20">
        <f t="shared" si="0"/>
        <v>214</v>
      </c>
      <c r="J20">
        <v>277</v>
      </c>
      <c r="K20" s="23">
        <v>0.975797192130606</v>
      </c>
      <c r="L20" s="23">
        <v>1.07135589100686</v>
      </c>
      <c r="M20" s="23">
        <v>1</v>
      </c>
      <c r="N20">
        <v>1</v>
      </c>
      <c r="O20">
        <v>1</v>
      </c>
      <c r="P20" s="18">
        <v>45.3496314351031</v>
      </c>
      <c r="Q20" s="24">
        <f>IF($I20="","",IFERROR(INDEX(_玩家曲线!$H$2:$H$286,MATCH($I20,_玩家曲线!$A$2:$A$286,0)),""))</f>
        <v>1758169.23888546</v>
      </c>
      <c r="R20" s="24">
        <f>IF($I20="","",IFERROR(INDEX(_玩家曲线!$I$2:$I$286,MATCH($I20,_玩家曲线!$A$2:$A$286,0)),""))</f>
        <v>2310281.93720886</v>
      </c>
      <c r="S20" s="24">
        <f>IF(OR($J20="",$F20="不适用"),"",IFERROR(INDEX(_怪物模型!$D$2:$D$4501,(INT($J20)-1)*ROWS(_怪物类型!$A$2:$A$10)+MATCH($F20,_怪物类型!$A$2:$A$10,0))*IF($K20="",1,$K20),""))</f>
        <v>35986381.7135082</v>
      </c>
      <c r="T20" s="24">
        <f>IF(OR($J20="",$F20="不适用"),"",IFERROR(INDEX(_怪物模型!$E$2:$E$4501,(INT($J20)-1)*ROWS(_怪物类型!$A$2:$A$10)+MATCH($F20,_怪物类型!$A$2:$A$10,0))*IF($L20="",1,$L20),""))</f>
        <v>42618.5373442529</v>
      </c>
      <c r="U20" s="24">
        <f>IF(OR($J20="",$F20="不适用"),"",IFERROR(INDEX(_怪物模型!$F$2:$F$4501,(INT($J20)-1)*ROWS(_怪物类型!$A$2:$A$10)+MATCH($F20,_怪物类型!$A$2:$A$10,0))*IF($M20="",1,$M20),""))</f>
        <v>29175</v>
      </c>
      <c r="V20" s="6">
        <f t="shared" si="1"/>
        <v>0.548660084626234</v>
      </c>
      <c r="W20" s="24">
        <f t="shared" si="2"/>
        <v>79732326.9839915</v>
      </c>
      <c r="X20" s="18">
        <f t="shared" si="3"/>
        <v>45.3496314351032</v>
      </c>
      <c r="Y20" s="18">
        <f t="shared" si="4"/>
        <v>54.2083816379588</v>
      </c>
      <c r="Z20" s="18">
        <f t="shared" si="5"/>
        <v>1</v>
      </c>
      <c r="AA20" t="str">
        <f t="shared" si="6"/>
        <v>适中</v>
      </c>
      <c r="AB20" t="str">
        <f t="shared" si="7"/>
        <v>有效</v>
      </c>
      <c r="AC20" t="str">
        <f t="shared" si="8"/>
        <v>不降</v>
      </c>
      <c r="AD20" t="s">
        <v>5843</v>
      </c>
      <c r="AE20" s="4">
        <v>577000</v>
      </c>
      <c r="AF20" s="4">
        <f>INDEX(_统一战力!$B$2:$B$501,J20)</f>
        <v>1280000</v>
      </c>
    </row>
    <row r="21" spans="1:32">
      <c r="A21" t="s">
        <v>5548</v>
      </c>
      <c r="B21" t="s">
        <v>5804</v>
      </c>
      <c r="C21" t="s">
        <v>5805</v>
      </c>
      <c r="D21" t="s">
        <v>5846</v>
      </c>
      <c r="E21" t="s">
        <v>5847</v>
      </c>
      <c r="F21" t="s">
        <v>164</v>
      </c>
      <c r="G21">
        <v>278</v>
      </c>
      <c r="I21">
        <f t="shared" si="0"/>
        <v>278</v>
      </c>
      <c r="J21">
        <v>329</v>
      </c>
      <c r="K21" s="23">
        <v>0.957229469150641</v>
      </c>
      <c r="L21" s="23">
        <v>1.13811993814146</v>
      </c>
      <c r="M21" s="23">
        <v>1</v>
      </c>
      <c r="N21">
        <v>1</v>
      </c>
      <c r="O21">
        <v>1</v>
      </c>
      <c r="P21" s="18">
        <v>60.2127783653</v>
      </c>
      <c r="Q21" s="24">
        <f>IF($I21="","",IFERROR(INDEX(_玩家曲线!$H$2:$H$286,MATCH($I21,_玩家曲线!$A$2:$A$286,0)),""))</f>
        <v>2485348.50314207</v>
      </c>
      <c r="R21" s="24">
        <f>IF($I21="","",IFERROR(INDEX(_玩家曲线!$I$2:$I$286,MATCH($I21,_玩家曲线!$A$2:$A$286,0)),""))</f>
        <v>2960774.85867836</v>
      </c>
      <c r="S21" s="24">
        <f>IF(OR($J21="",$F21="不适用"),"",IFERROR(INDEX(_怪物模型!$D$2:$D$4501,(INT($J21)-1)*ROWS(_怪物类型!$A$2:$A$10)+MATCH($F21,_怪物类型!$A$2:$A$10,0))*IF($K21="",1,$K21),""))</f>
        <v>59270157.3662948</v>
      </c>
      <c r="T21" s="24">
        <f>IF(OR($J21="",$F21="不适用"),"",IFERROR(INDEX(_怪物模型!$E$2:$E$4501,(INT($J21)-1)*ROWS(_怪物类型!$A$2:$A$10)+MATCH($F21,_怪物类型!$A$2:$A$10,0))*IF($L21="",1,$L21),""))</f>
        <v>64449.4558570746</v>
      </c>
      <c r="U21" s="24">
        <f>IF(OR($J21="",$F21="不适用"),"",IFERROR(INDEX(_怪物模型!$F$2:$F$4501,(INT($J21)-1)*ROWS(_怪物类型!$A$2:$A$10)+MATCH($F21,_怪物类型!$A$2:$A$10,0))*IF($M21="",1,$M21),""))</f>
        <v>36597</v>
      </c>
      <c r="V21" s="6">
        <f t="shared" si="1"/>
        <v>0.603940789147978</v>
      </c>
      <c r="W21" s="24">
        <f t="shared" si="2"/>
        <v>149649738.580224</v>
      </c>
      <c r="X21" s="18">
        <f t="shared" si="3"/>
        <v>60.2127783653</v>
      </c>
      <c r="Y21" s="18">
        <f t="shared" si="4"/>
        <v>45.9394857459197</v>
      </c>
      <c r="Z21" s="18">
        <f t="shared" si="5"/>
        <v>1</v>
      </c>
      <c r="AA21" t="str">
        <f t="shared" si="6"/>
        <v>生存不成立</v>
      </c>
      <c r="AB21" t="str">
        <f t="shared" si="7"/>
        <v>有效</v>
      </c>
      <c r="AC21" t="str">
        <f t="shared" si="8"/>
        <v>不降</v>
      </c>
      <c r="AD21" t="s">
        <v>5848</v>
      </c>
      <c r="AE21" s="4">
        <v>840000</v>
      </c>
      <c r="AF21" s="4">
        <f>INDEX(_统一战力!$B$2:$B$501,J21)</f>
        <v>1700000</v>
      </c>
    </row>
    <row r="22" spans="1:32">
      <c r="A22" t="s">
        <v>5548</v>
      </c>
      <c r="B22" t="s">
        <v>5804</v>
      </c>
      <c r="C22" t="s">
        <v>5805</v>
      </c>
      <c r="D22" t="s">
        <v>5849</v>
      </c>
      <c r="E22" t="s">
        <v>5850</v>
      </c>
      <c r="F22" t="s">
        <v>164</v>
      </c>
      <c r="G22">
        <v>278</v>
      </c>
      <c r="I22">
        <f t="shared" si="0"/>
        <v>278</v>
      </c>
      <c r="J22">
        <v>329</v>
      </c>
      <c r="K22" s="23">
        <v>0.957229469150641</v>
      </c>
      <c r="L22" s="23">
        <v>1.13811993814146</v>
      </c>
      <c r="M22" s="23">
        <v>1</v>
      </c>
      <c r="N22">
        <v>1</v>
      </c>
      <c r="O22">
        <v>1</v>
      </c>
      <c r="P22" s="18">
        <v>60.2127783653</v>
      </c>
      <c r="Q22" s="24">
        <f>IF($I22="","",IFERROR(INDEX(_玩家曲线!$H$2:$H$286,MATCH($I22,_玩家曲线!$A$2:$A$286,0)),""))</f>
        <v>2485348.50314207</v>
      </c>
      <c r="R22" s="24">
        <f>IF($I22="","",IFERROR(INDEX(_玩家曲线!$I$2:$I$286,MATCH($I22,_玩家曲线!$A$2:$A$286,0)),""))</f>
        <v>2960774.85867836</v>
      </c>
      <c r="S22" s="24">
        <f>IF(OR($J22="",$F22="不适用"),"",IFERROR(INDEX(_怪物模型!$D$2:$D$4501,(INT($J22)-1)*ROWS(_怪物类型!$A$2:$A$10)+MATCH($F22,_怪物类型!$A$2:$A$10,0))*IF($K22="",1,$K22),""))</f>
        <v>59270157.3662948</v>
      </c>
      <c r="T22" s="24">
        <f>IF(OR($J22="",$F22="不适用"),"",IFERROR(INDEX(_怪物模型!$E$2:$E$4501,(INT($J22)-1)*ROWS(_怪物类型!$A$2:$A$10)+MATCH($F22,_怪物类型!$A$2:$A$10,0))*IF($L22="",1,$L22),""))</f>
        <v>64449.4558570746</v>
      </c>
      <c r="U22" s="24">
        <f>IF(OR($J22="",$F22="不适用"),"",IFERROR(INDEX(_怪物模型!$F$2:$F$4501,(INT($J22)-1)*ROWS(_怪物类型!$A$2:$A$10)+MATCH($F22,_怪物类型!$A$2:$A$10,0))*IF($M22="",1,$M22),""))</f>
        <v>36597</v>
      </c>
      <c r="V22" s="6">
        <f t="shared" si="1"/>
        <v>0.603940789147978</v>
      </c>
      <c r="W22" s="24">
        <f t="shared" si="2"/>
        <v>149649738.580224</v>
      </c>
      <c r="X22" s="18">
        <f t="shared" si="3"/>
        <v>60.2127783653</v>
      </c>
      <c r="Y22" s="18">
        <f t="shared" si="4"/>
        <v>45.9394857459197</v>
      </c>
      <c r="Z22" s="18">
        <f t="shared" si="5"/>
        <v>1</v>
      </c>
      <c r="AA22" t="str">
        <f t="shared" si="6"/>
        <v>生存不成立</v>
      </c>
      <c r="AB22" t="str">
        <f t="shared" si="7"/>
        <v>有效</v>
      </c>
      <c r="AC22" t="str">
        <f t="shared" si="8"/>
        <v>不降</v>
      </c>
      <c r="AD22" t="s">
        <v>5848</v>
      </c>
      <c r="AE22" s="4">
        <v>840000</v>
      </c>
      <c r="AF22" s="4">
        <f>INDEX(_统一战力!$B$2:$B$501,J22)</f>
        <v>1700000</v>
      </c>
    </row>
    <row r="23" spans="1:32">
      <c r="A23" t="s">
        <v>5548</v>
      </c>
      <c r="B23" t="s">
        <v>5804</v>
      </c>
      <c r="C23" t="s">
        <v>5805</v>
      </c>
      <c r="D23" t="s">
        <v>5851</v>
      </c>
      <c r="E23" t="s">
        <v>5852</v>
      </c>
      <c r="F23" t="s">
        <v>164</v>
      </c>
      <c r="G23">
        <v>278</v>
      </c>
      <c r="I23">
        <f t="shared" si="0"/>
        <v>278</v>
      </c>
      <c r="J23">
        <v>360</v>
      </c>
      <c r="K23" s="23">
        <v>0.948333962808333</v>
      </c>
      <c r="L23" s="23">
        <v>1.15574881221252</v>
      </c>
      <c r="M23" s="23">
        <v>1</v>
      </c>
      <c r="N23">
        <v>1</v>
      </c>
      <c r="O23">
        <v>1</v>
      </c>
      <c r="P23" s="18">
        <v>85.4412423689003</v>
      </c>
      <c r="Q23" s="24">
        <f>IF($I23="","",IFERROR(INDEX(_玩家曲线!$H$2:$H$286,MATCH($I23,_玩家曲线!$A$2:$A$286,0)),""))</f>
        <v>2485348.50314207</v>
      </c>
      <c r="R23" s="24">
        <f>IF($I23="","",IFERROR(INDEX(_玩家曲线!$I$2:$I$286,MATCH($I23,_玩家曲线!$A$2:$A$286,0)),""))</f>
        <v>2960774.85867836</v>
      </c>
      <c r="S23" s="24">
        <f>IF(OR($J23="",$F23="不适用"),"",IFERROR(INDEX(_怪物模型!$D$2:$D$4501,(INT($J23)-1)*ROWS(_怪物类型!$A$2:$A$10)+MATCH($F23,_怪物类型!$A$2:$A$10,0))*IF($K23="",1,$K23),""))</f>
        <v>78029677.1270399</v>
      </c>
      <c r="T23" s="24">
        <f>IF(OR($J23="",$F23="不适用"),"",IFERROR(INDEX(_怪物模型!$E$2:$E$4501,(INT($J23)-1)*ROWS(_怪物类型!$A$2:$A$10)+MATCH($F23,_怪物类型!$A$2:$A$10,0))*IF($L23="",1,$L23),""))</f>
        <v>79806.7669808989</v>
      </c>
      <c r="U23" s="24">
        <f>IF(OR($J23="",$F23="不适用"),"",IFERROR(INDEX(_怪物模型!$F$2:$F$4501,(INT($J23)-1)*ROWS(_怪物类型!$A$2:$A$10)+MATCH($F23,_怪物类型!$A$2:$A$10,0))*IF($M23="",1,$M23),""))</f>
        <v>41314</v>
      </c>
      <c r="V23" s="6">
        <f t="shared" si="1"/>
        <v>0.632544324340876</v>
      </c>
      <c r="W23" s="24">
        <f t="shared" si="2"/>
        <v>212351263.828145</v>
      </c>
      <c r="X23" s="18">
        <f t="shared" si="3"/>
        <v>85.4412423689003</v>
      </c>
      <c r="Y23" s="18">
        <f t="shared" si="4"/>
        <v>37.0992958452633</v>
      </c>
      <c r="Z23" s="18">
        <f t="shared" si="5"/>
        <v>1</v>
      </c>
      <c r="AA23" t="str">
        <f t="shared" si="6"/>
        <v>生存不成立</v>
      </c>
      <c r="AB23" t="str">
        <f t="shared" si="7"/>
        <v>有效</v>
      </c>
      <c r="AC23" t="str">
        <f t="shared" si="8"/>
        <v>不降</v>
      </c>
      <c r="AD23" t="s">
        <v>5853</v>
      </c>
      <c r="AE23" s="4">
        <v>1030000</v>
      </c>
      <c r="AF23" s="4">
        <f>INDEX(_统一战力!$B$2:$B$501,J23)</f>
        <v>2000000</v>
      </c>
    </row>
    <row r="24" spans="1:32">
      <c r="A24" t="s">
        <v>5548</v>
      </c>
      <c r="B24" t="s">
        <v>5804</v>
      </c>
      <c r="C24" t="s">
        <v>5805</v>
      </c>
      <c r="D24" t="s">
        <v>5854</v>
      </c>
      <c r="E24" t="s">
        <v>5855</v>
      </c>
      <c r="F24" t="s">
        <v>164</v>
      </c>
      <c r="G24">
        <v>278</v>
      </c>
      <c r="I24">
        <f t="shared" si="0"/>
        <v>278</v>
      </c>
      <c r="J24">
        <v>360</v>
      </c>
      <c r="K24" s="23">
        <v>0.948333962808333</v>
      </c>
      <c r="L24" s="23">
        <v>1.15574881221252</v>
      </c>
      <c r="M24" s="23">
        <v>1</v>
      </c>
      <c r="N24">
        <v>1</v>
      </c>
      <c r="O24">
        <v>1</v>
      </c>
      <c r="P24" s="18">
        <v>85.4412423689003</v>
      </c>
      <c r="Q24" s="24">
        <f>IF($I24="","",IFERROR(INDEX(_玩家曲线!$H$2:$H$286,MATCH($I24,_玩家曲线!$A$2:$A$286,0)),""))</f>
        <v>2485348.50314207</v>
      </c>
      <c r="R24" s="24">
        <f>IF($I24="","",IFERROR(INDEX(_玩家曲线!$I$2:$I$286,MATCH($I24,_玩家曲线!$A$2:$A$286,0)),""))</f>
        <v>2960774.85867836</v>
      </c>
      <c r="S24" s="24">
        <f>IF(OR($J24="",$F24="不适用"),"",IFERROR(INDEX(_怪物模型!$D$2:$D$4501,(INT($J24)-1)*ROWS(_怪物类型!$A$2:$A$10)+MATCH($F24,_怪物类型!$A$2:$A$10,0))*IF($K24="",1,$K24),""))</f>
        <v>78029677.1270399</v>
      </c>
      <c r="T24" s="24">
        <f>IF(OR($J24="",$F24="不适用"),"",IFERROR(INDEX(_怪物模型!$E$2:$E$4501,(INT($J24)-1)*ROWS(_怪物类型!$A$2:$A$10)+MATCH($F24,_怪物类型!$A$2:$A$10,0))*IF($L24="",1,$L24),""))</f>
        <v>79806.7669808989</v>
      </c>
      <c r="U24" s="24">
        <f>IF(OR($J24="",$F24="不适用"),"",IFERROR(INDEX(_怪物模型!$F$2:$F$4501,(INT($J24)-1)*ROWS(_怪物类型!$A$2:$A$10)+MATCH($F24,_怪物类型!$A$2:$A$10,0))*IF($M24="",1,$M24),""))</f>
        <v>41314</v>
      </c>
      <c r="V24" s="6">
        <f t="shared" si="1"/>
        <v>0.632544324340876</v>
      </c>
      <c r="W24" s="24">
        <f t="shared" si="2"/>
        <v>212351263.828145</v>
      </c>
      <c r="X24" s="18">
        <f t="shared" si="3"/>
        <v>85.4412423689003</v>
      </c>
      <c r="Y24" s="18">
        <f t="shared" si="4"/>
        <v>37.0992958452633</v>
      </c>
      <c r="Z24" s="18">
        <f t="shared" si="5"/>
        <v>1</v>
      </c>
      <c r="AA24" t="str">
        <f t="shared" si="6"/>
        <v>生存不成立</v>
      </c>
      <c r="AB24" t="str">
        <f t="shared" si="7"/>
        <v>有效</v>
      </c>
      <c r="AC24" t="str">
        <f t="shared" si="8"/>
        <v>不降</v>
      </c>
      <c r="AD24" t="s">
        <v>5853</v>
      </c>
      <c r="AE24" s="4">
        <v>1030000</v>
      </c>
      <c r="AF24" s="4">
        <f>INDEX(_统一战力!$B$2:$B$501,J24)</f>
        <v>2000000</v>
      </c>
    </row>
    <row r="25" spans="1:32">
      <c r="A25" t="s">
        <v>5548</v>
      </c>
      <c r="B25" t="s">
        <v>5804</v>
      </c>
      <c r="C25" t="s">
        <v>5856</v>
      </c>
      <c r="D25" t="s">
        <v>5857</v>
      </c>
      <c r="E25" t="s">
        <v>5858</v>
      </c>
      <c r="F25" t="s">
        <v>154</v>
      </c>
      <c r="G25">
        <v>7</v>
      </c>
      <c r="I25">
        <f t="shared" si="0"/>
        <v>7</v>
      </c>
      <c r="J25">
        <v>13</v>
      </c>
      <c r="K25" s="23">
        <v>1.3</v>
      </c>
      <c r="L25" s="23">
        <v>1.3</v>
      </c>
      <c r="M25" s="23">
        <v>1</v>
      </c>
      <c r="N25">
        <v>1</v>
      </c>
      <c r="O25">
        <v>1</v>
      </c>
      <c r="P25" s="18">
        <v>0.382434921929684</v>
      </c>
      <c r="Q25" s="24">
        <f>IF($I25="","",IFERROR(INDEX(_玩家曲线!$H$2:$H$286,MATCH($I25,_玩家曲线!$A$2:$A$286,0)),""))</f>
        <v>4945.43127875686</v>
      </c>
      <c r="R25" s="24">
        <f>IF($I25="","",IFERROR(INDEX(_玩家曲线!$I$2:$I$286,MATCH($I25,_玩家曲线!$A$2:$A$286,0)),""))</f>
        <v>17028.3595053211</v>
      </c>
      <c r="S25" s="24">
        <f>IF(OR($J25="",$F25="不适用"),"",IFERROR(INDEX(_怪物模型!$D$2:$D$4501,(INT($J25)-1)*ROWS(_怪物类型!$A$2:$A$10)+MATCH($F25,_怪物类型!$A$2:$A$10,0))*IF($K25="",1,$K25),""))</f>
        <v>2241.2</v>
      </c>
      <c r="T25" s="24">
        <f>IF(OR($J25="",$F25="不适用"),"",IFERROR(INDEX(_怪物模型!$E$2:$E$4501,(INT($J25)-1)*ROWS(_怪物类型!$A$2:$A$10)+MATCH($F25,_怪物类型!$A$2:$A$10,0))*IF($L25="",1,$L25),""))</f>
        <v>787.8</v>
      </c>
      <c r="U25" s="24">
        <f>IF(OR($J25="",$F25="不适用"),"",IFERROR(INDEX(_怪物模型!$F$2:$F$4501,(INT($J25)-1)*ROWS(_怪物类型!$A$2:$A$10)+MATCH($F25,_怪物类型!$A$2:$A$10,0))*IF($M25="",1,$M25),""))</f>
        <v>979</v>
      </c>
      <c r="V25" s="6">
        <f t="shared" si="1"/>
        <v>0.0391929220545258</v>
      </c>
      <c r="W25" s="24">
        <f t="shared" si="2"/>
        <v>2332.62228333333</v>
      </c>
      <c r="X25" s="18">
        <f t="shared" si="3"/>
        <v>0.4716721660562</v>
      </c>
      <c r="Y25" s="18">
        <f t="shared" si="4"/>
        <v>21.6150793416109</v>
      </c>
      <c r="Z25" s="18">
        <f t="shared" si="5"/>
        <v>1.23333968476583</v>
      </c>
      <c r="AA25" t="str">
        <f t="shared" si="6"/>
        <v>偏难</v>
      </c>
      <c r="AB25" t="str">
        <f t="shared" si="7"/>
        <v>有效</v>
      </c>
      <c r="AC25" t="str">
        <f t="shared" si="8"/>
        <v>新玩法组</v>
      </c>
      <c r="AD25" t="s">
        <v>5859</v>
      </c>
      <c r="AE25" s="4">
        <v>7220</v>
      </c>
      <c r="AF25" s="4">
        <f>INDEX(_统一战力!$B$2:$B$501,J25)</f>
        <v>5910</v>
      </c>
    </row>
    <row r="26" spans="1:32">
      <c r="A26" t="s">
        <v>5548</v>
      </c>
      <c r="B26" t="s">
        <v>5804</v>
      </c>
      <c r="C26" t="s">
        <v>5856</v>
      </c>
      <c r="D26" t="s">
        <v>5860</v>
      </c>
      <c r="E26" t="s">
        <v>5861</v>
      </c>
      <c r="F26" t="s">
        <v>154</v>
      </c>
      <c r="G26">
        <v>7</v>
      </c>
      <c r="I26">
        <f t="shared" si="0"/>
        <v>7</v>
      </c>
      <c r="J26">
        <v>14</v>
      </c>
      <c r="K26" s="23">
        <v>1.3</v>
      </c>
      <c r="L26" s="23">
        <v>1.3</v>
      </c>
      <c r="M26" s="23">
        <v>1</v>
      </c>
      <c r="N26">
        <v>1</v>
      </c>
      <c r="O26">
        <v>1</v>
      </c>
      <c r="P26" s="18">
        <v>0.418858868567819</v>
      </c>
      <c r="Q26" s="24">
        <f>IF($I26="","",IFERROR(INDEX(_玩家曲线!$H$2:$H$286,MATCH($I26,_玩家曲线!$A$2:$A$286,0)),""))</f>
        <v>4945.43127875686</v>
      </c>
      <c r="R26" s="24">
        <f>IF($I26="","",IFERROR(INDEX(_玩家曲线!$I$2:$I$286,MATCH($I26,_玩家曲线!$A$2:$A$286,0)),""))</f>
        <v>17028.3595053211</v>
      </c>
      <c r="S26" s="24">
        <f>IF(OR($J26="",$F26="不适用"),"",IFERROR(INDEX(_怪物模型!$D$2:$D$4501,(INT($J26)-1)*ROWS(_怪物类型!$A$2:$A$10)+MATCH($F26,_怪物类型!$A$2:$A$10,0))*IF($K26="",1,$K26),""))</f>
        <v>2462.2</v>
      </c>
      <c r="T26" s="24">
        <f>IF(OR($J26="",$F26="不适用"),"",IFERROR(INDEX(_怪物模型!$E$2:$E$4501,(INT($J26)-1)*ROWS(_怪物类型!$A$2:$A$10)+MATCH($F26,_怪物类型!$A$2:$A$10,0))*IF($L26="",1,$L26),""))</f>
        <v>852.8</v>
      </c>
      <c r="U26" s="24">
        <f>IF(OR($J26="",$F26="不适用"),"",IFERROR(INDEX(_怪物模型!$F$2:$F$4501,(INT($J26)-1)*ROWS(_怪物类型!$A$2:$A$10)+MATCH($F26,_怪物类型!$A$2:$A$10,0))*IF($M26="",1,$M26),""))</f>
        <v>1056</v>
      </c>
      <c r="V26" s="6">
        <f t="shared" si="1"/>
        <v>0.0421455938697318</v>
      </c>
      <c r="W26" s="24">
        <f t="shared" si="2"/>
        <v>2570.5368</v>
      </c>
      <c r="X26" s="18">
        <f t="shared" si="3"/>
        <v>0.519780107155014</v>
      </c>
      <c r="Y26" s="18">
        <f t="shared" si="4"/>
        <v>19.9675885381345</v>
      </c>
      <c r="Z26" s="18">
        <f t="shared" si="5"/>
        <v>1.24094330133744</v>
      </c>
      <c r="AA26" t="str">
        <f t="shared" si="6"/>
        <v>偏难</v>
      </c>
      <c r="AB26" t="str">
        <f t="shared" si="7"/>
        <v>有效</v>
      </c>
      <c r="AC26" t="str">
        <f t="shared" si="8"/>
        <v>不降</v>
      </c>
      <c r="AD26" t="s">
        <v>5862</v>
      </c>
      <c r="AE26" s="4">
        <v>8610</v>
      </c>
      <c r="AF26" s="4">
        <f>INDEX(_统一战力!$B$2:$B$501,J26)</f>
        <v>7220</v>
      </c>
    </row>
    <row r="27" spans="1:32">
      <c r="A27" t="s">
        <v>5548</v>
      </c>
      <c r="B27" t="s">
        <v>5804</v>
      </c>
      <c r="C27" t="s">
        <v>5856</v>
      </c>
      <c r="D27" t="s">
        <v>5863</v>
      </c>
      <c r="E27" t="s">
        <v>5864</v>
      </c>
      <c r="F27" t="s">
        <v>154</v>
      </c>
      <c r="G27">
        <v>11</v>
      </c>
      <c r="I27">
        <f t="shared" si="0"/>
        <v>11</v>
      </c>
      <c r="J27">
        <v>20</v>
      </c>
      <c r="K27" s="23">
        <v>1.3</v>
      </c>
      <c r="L27" s="23">
        <v>1.3</v>
      </c>
      <c r="M27" s="23">
        <v>1</v>
      </c>
      <c r="N27">
        <v>1</v>
      </c>
      <c r="O27">
        <v>1</v>
      </c>
      <c r="P27" s="18">
        <v>0.415937257137191</v>
      </c>
      <c r="Q27" s="24">
        <f>IF($I27="","",IFERROR(INDEX(_玩家曲线!$H$2:$H$286,MATCH($I27,_玩家曲线!$A$2:$A$286,0)),""))</f>
        <v>8430.78069475875</v>
      </c>
      <c r="R27" s="24">
        <f>IF($I27="","",IFERROR(INDEX(_玩家曲线!$I$2:$I$286,MATCH($I27,_玩家曲线!$A$2:$A$286,0)),""))</f>
        <v>29297.5566282877</v>
      </c>
      <c r="S27" s="24">
        <f>IF(OR($J27="",$F27="不适用"),"",IFERROR(INDEX(_怪物模型!$D$2:$D$4501,(INT($J27)-1)*ROWS(_怪物类型!$A$2:$A$10)+MATCH($F27,_怪物类型!$A$2:$A$10,0))*IF($K27="",1,$K27),""))</f>
        <v>3926</v>
      </c>
      <c r="T27" s="24">
        <f>IF(OR($J27="",$F27="不适用"),"",IFERROR(INDEX(_怪物模型!$E$2:$E$4501,(INT($J27)-1)*ROWS(_怪物类型!$A$2:$A$10)+MATCH($F27,_怪物类型!$A$2:$A$10,0))*IF($L27="",1,$L27),""))</f>
        <v>1248</v>
      </c>
      <c r="U27" s="24">
        <f>IF(OR($J27="",$F27="不适用"),"",IFERROR(INDEX(_怪物模型!$F$2:$F$4501,(INT($J27)-1)*ROWS(_怪物类型!$A$2:$A$10)+MATCH($F27,_怪物类型!$A$2:$A$10,0))*IF($M27="",1,$M27),""))</f>
        <v>1522</v>
      </c>
      <c r="V27" s="6">
        <f t="shared" si="1"/>
        <v>0.0596348248569861</v>
      </c>
      <c r="W27" s="24">
        <f t="shared" si="2"/>
        <v>4174.97383333333</v>
      </c>
      <c r="X27" s="18">
        <f t="shared" si="3"/>
        <v>0.495206076932927</v>
      </c>
      <c r="Y27" s="18">
        <f t="shared" si="4"/>
        <v>23.4756062726664</v>
      </c>
      <c r="Z27" s="18">
        <f t="shared" si="5"/>
        <v>1.19057879147765</v>
      </c>
      <c r="AA27" t="str">
        <f t="shared" si="6"/>
        <v>适中</v>
      </c>
      <c r="AB27" t="str">
        <f t="shared" si="7"/>
        <v>有效</v>
      </c>
      <c r="AC27" t="str">
        <f t="shared" si="8"/>
        <v>不降</v>
      </c>
      <c r="AD27" t="s">
        <v>5865</v>
      </c>
      <c r="AE27" s="4">
        <v>11200</v>
      </c>
      <c r="AF27" s="4">
        <f>INDEX(_统一战力!$B$2:$B$501,J27)</f>
        <v>11200</v>
      </c>
    </row>
    <row r="28" spans="1:32">
      <c r="A28" t="s">
        <v>5548</v>
      </c>
      <c r="B28" t="s">
        <v>5804</v>
      </c>
      <c r="C28" t="s">
        <v>5856</v>
      </c>
      <c r="D28" t="s">
        <v>5866</v>
      </c>
      <c r="E28" t="s">
        <v>5867</v>
      </c>
      <c r="F28" t="s">
        <v>154</v>
      </c>
      <c r="G28">
        <v>11</v>
      </c>
      <c r="I28">
        <f t="shared" si="0"/>
        <v>11</v>
      </c>
      <c r="J28">
        <v>20</v>
      </c>
      <c r="K28" s="23">
        <v>1.3</v>
      </c>
      <c r="L28" s="23">
        <v>1.3</v>
      </c>
      <c r="M28" s="23">
        <v>1</v>
      </c>
      <c r="N28">
        <v>1</v>
      </c>
      <c r="O28">
        <v>1</v>
      </c>
      <c r="P28" s="18">
        <v>0.415937257137191</v>
      </c>
      <c r="Q28" s="24">
        <f>IF($I28="","",IFERROR(INDEX(_玩家曲线!$H$2:$H$286,MATCH($I28,_玩家曲线!$A$2:$A$286,0)),""))</f>
        <v>8430.78069475875</v>
      </c>
      <c r="R28" s="24">
        <f>IF($I28="","",IFERROR(INDEX(_玩家曲线!$I$2:$I$286,MATCH($I28,_玩家曲线!$A$2:$A$286,0)),""))</f>
        <v>29297.5566282877</v>
      </c>
      <c r="S28" s="24">
        <f>IF(OR($J28="",$F28="不适用"),"",IFERROR(INDEX(_怪物模型!$D$2:$D$4501,(INT($J28)-1)*ROWS(_怪物类型!$A$2:$A$10)+MATCH($F28,_怪物类型!$A$2:$A$10,0))*IF($K28="",1,$K28),""))</f>
        <v>3926</v>
      </c>
      <c r="T28" s="24">
        <f>IF(OR($J28="",$F28="不适用"),"",IFERROR(INDEX(_怪物模型!$E$2:$E$4501,(INT($J28)-1)*ROWS(_怪物类型!$A$2:$A$10)+MATCH($F28,_怪物类型!$A$2:$A$10,0))*IF($L28="",1,$L28),""))</f>
        <v>1248</v>
      </c>
      <c r="U28" s="24">
        <f>IF(OR($J28="",$F28="不适用"),"",IFERROR(INDEX(_怪物模型!$F$2:$F$4501,(INT($J28)-1)*ROWS(_怪物类型!$A$2:$A$10)+MATCH($F28,_怪物类型!$A$2:$A$10,0))*IF($M28="",1,$M28),""))</f>
        <v>1522</v>
      </c>
      <c r="V28" s="6">
        <f t="shared" si="1"/>
        <v>0.0596348248569861</v>
      </c>
      <c r="W28" s="24">
        <f t="shared" si="2"/>
        <v>4174.97383333333</v>
      </c>
      <c r="X28" s="18">
        <f t="shared" si="3"/>
        <v>0.495206076932927</v>
      </c>
      <c r="Y28" s="18">
        <f t="shared" si="4"/>
        <v>23.4756062726664</v>
      </c>
      <c r="Z28" s="18">
        <f t="shared" si="5"/>
        <v>1.19057879147765</v>
      </c>
      <c r="AA28" t="str">
        <f t="shared" si="6"/>
        <v>适中</v>
      </c>
      <c r="AB28" t="str">
        <f t="shared" si="7"/>
        <v>有效</v>
      </c>
      <c r="AC28" t="str">
        <f t="shared" si="8"/>
        <v>不降</v>
      </c>
      <c r="AD28" t="s">
        <v>5865</v>
      </c>
      <c r="AE28" s="4">
        <v>11200</v>
      </c>
      <c r="AF28" s="4">
        <f>INDEX(_统一战力!$B$2:$B$501,J28)</f>
        <v>11200</v>
      </c>
    </row>
    <row r="29" spans="1:32">
      <c r="A29" t="s">
        <v>5548</v>
      </c>
      <c r="B29" t="s">
        <v>5804</v>
      </c>
      <c r="C29" t="s">
        <v>5856</v>
      </c>
      <c r="D29" t="s">
        <v>5866</v>
      </c>
      <c r="E29" t="s">
        <v>5868</v>
      </c>
      <c r="F29" t="s">
        <v>154</v>
      </c>
      <c r="G29">
        <v>11</v>
      </c>
      <c r="I29">
        <f t="shared" si="0"/>
        <v>11</v>
      </c>
      <c r="J29">
        <v>20</v>
      </c>
      <c r="K29" s="23">
        <v>1.3</v>
      </c>
      <c r="L29" s="23">
        <v>1.3</v>
      </c>
      <c r="M29" s="23">
        <v>1</v>
      </c>
      <c r="N29">
        <v>1</v>
      </c>
      <c r="O29">
        <v>1</v>
      </c>
      <c r="P29" s="18">
        <v>0.415937257137191</v>
      </c>
      <c r="Q29" s="24">
        <f>IF($I29="","",IFERROR(INDEX(_玩家曲线!$H$2:$H$286,MATCH($I29,_玩家曲线!$A$2:$A$286,0)),""))</f>
        <v>8430.78069475875</v>
      </c>
      <c r="R29" s="24">
        <f>IF($I29="","",IFERROR(INDEX(_玩家曲线!$I$2:$I$286,MATCH($I29,_玩家曲线!$A$2:$A$286,0)),""))</f>
        <v>29297.5566282877</v>
      </c>
      <c r="S29" s="24">
        <f>IF(OR($J29="",$F29="不适用"),"",IFERROR(INDEX(_怪物模型!$D$2:$D$4501,(INT($J29)-1)*ROWS(_怪物类型!$A$2:$A$10)+MATCH($F29,_怪物类型!$A$2:$A$10,0))*IF($K29="",1,$K29),""))</f>
        <v>3926</v>
      </c>
      <c r="T29" s="24">
        <f>IF(OR($J29="",$F29="不适用"),"",IFERROR(INDEX(_怪物模型!$E$2:$E$4501,(INT($J29)-1)*ROWS(_怪物类型!$A$2:$A$10)+MATCH($F29,_怪物类型!$A$2:$A$10,0))*IF($L29="",1,$L29),""))</f>
        <v>1248</v>
      </c>
      <c r="U29" s="24">
        <f>IF(OR($J29="",$F29="不适用"),"",IFERROR(INDEX(_怪物模型!$F$2:$F$4501,(INT($J29)-1)*ROWS(_怪物类型!$A$2:$A$10)+MATCH($F29,_怪物类型!$A$2:$A$10,0))*IF($M29="",1,$M29),""))</f>
        <v>1522</v>
      </c>
      <c r="V29" s="6">
        <f t="shared" si="1"/>
        <v>0.0596348248569861</v>
      </c>
      <c r="W29" s="24">
        <f t="shared" si="2"/>
        <v>4174.97383333333</v>
      </c>
      <c r="X29" s="18">
        <f t="shared" si="3"/>
        <v>0.495206076932927</v>
      </c>
      <c r="Y29" s="18">
        <f t="shared" si="4"/>
        <v>23.4756062726664</v>
      </c>
      <c r="Z29" s="18">
        <f t="shared" si="5"/>
        <v>1.19057879147765</v>
      </c>
      <c r="AA29" t="str">
        <f t="shared" si="6"/>
        <v>适中</v>
      </c>
      <c r="AB29" t="str">
        <f t="shared" si="7"/>
        <v>有效</v>
      </c>
      <c r="AC29" t="str">
        <f t="shared" si="8"/>
        <v>不降</v>
      </c>
      <c r="AD29" t="s">
        <v>5865</v>
      </c>
      <c r="AE29" s="4">
        <v>11200</v>
      </c>
      <c r="AF29" s="4">
        <f>INDEX(_统一战力!$B$2:$B$501,J29)</f>
        <v>11200</v>
      </c>
    </row>
    <row r="30" spans="1:32">
      <c r="A30" t="s">
        <v>5548</v>
      </c>
      <c r="B30" t="s">
        <v>5804</v>
      </c>
      <c r="C30" t="s">
        <v>5856</v>
      </c>
      <c r="D30" t="s">
        <v>5866</v>
      </c>
      <c r="E30" t="s">
        <v>5869</v>
      </c>
      <c r="F30" t="s">
        <v>154</v>
      </c>
      <c r="G30">
        <v>11</v>
      </c>
      <c r="I30">
        <f t="shared" ref="I30:I40" si="9">IF($H30="",$G30,$H30)</f>
        <v>11</v>
      </c>
      <c r="J30">
        <v>20</v>
      </c>
      <c r="K30" s="23">
        <v>1.3</v>
      </c>
      <c r="L30" s="23">
        <v>1.3</v>
      </c>
      <c r="M30" s="23">
        <v>1</v>
      </c>
      <c r="N30">
        <v>1</v>
      </c>
      <c r="O30">
        <v>1</v>
      </c>
      <c r="P30" s="18">
        <v>0.415937257137191</v>
      </c>
      <c r="Q30" s="24">
        <f>IF($I30="","",IFERROR(INDEX(_玩家曲线!$H$2:$H$286,MATCH($I30,_玩家曲线!$A$2:$A$286,0)),""))</f>
        <v>8430.78069475875</v>
      </c>
      <c r="R30" s="24">
        <f>IF($I30="","",IFERROR(INDEX(_玩家曲线!$I$2:$I$286,MATCH($I30,_玩家曲线!$A$2:$A$286,0)),""))</f>
        <v>29297.5566282877</v>
      </c>
      <c r="S30" s="24">
        <f>IF(OR($J30="",$F30="不适用"),"",IFERROR(INDEX(_怪物模型!$D$2:$D$4501,(INT($J30)-1)*ROWS(_怪物类型!$A$2:$A$10)+MATCH($F30,_怪物类型!$A$2:$A$10,0))*IF($K30="",1,$K30),""))</f>
        <v>3926</v>
      </c>
      <c r="T30" s="24">
        <f>IF(OR($J30="",$F30="不适用"),"",IFERROR(INDEX(_怪物模型!$E$2:$E$4501,(INT($J30)-1)*ROWS(_怪物类型!$A$2:$A$10)+MATCH($F30,_怪物类型!$A$2:$A$10,0))*IF($L30="",1,$L30),""))</f>
        <v>1248</v>
      </c>
      <c r="U30" s="24">
        <f>IF(OR($J30="",$F30="不适用"),"",IFERROR(INDEX(_怪物模型!$F$2:$F$4501,(INT($J30)-1)*ROWS(_怪物类型!$A$2:$A$10)+MATCH($F30,_怪物类型!$A$2:$A$10,0))*IF($M30="",1,$M30),""))</f>
        <v>1522</v>
      </c>
      <c r="V30" s="6">
        <f t="shared" ref="V30:V40" si="10">IF($U30="","",MIN(0.75,$U30/($U30+24000)))</f>
        <v>0.0596348248569861</v>
      </c>
      <c r="W30" s="24">
        <f t="shared" ref="W30:W40" si="11">IF($S30="","",$S30/(1-$V30)*IF($N30="",1,$N30))</f>
        <v>4174.97383333333</v>
      </c>
      <c r="X30" s="18">
        <f t="shared" ref="X30:X40" si="12">IF(OR($W30="",$Q30="",$Q30=0),"",$W30/$Q30)</f>
        <v>0.495206076932927</v>
      </c>
      <c r="Y30" s="18">
        <f t="shared" ref="Y30:Y40" si="13">IF(OR($R30="",$T30="",$T30=0),"",$R30/($T30*IF($O30="",1,$O30)))</f>
        <v>23.4756062726664</v>
      </c>
      <c r="Z30" s="18">
        <f t="shared" ref="Z30:Z40" si="14">IF(OR($X30="",$P30="",$P30=0),"",$X30/$P30)</f>
        <v>1.19057879147765</v>
      </c>
      <c r="AA30" t="str">
        <f t="shared" ref="AA30:AA40" si="15">IF($J30="","待填怪物等级",IF(OR($I30="",$Q30=""),"待填对照关卡",IF($P30="","已计算",IF(AND($Y30&lt;&gt;"",$Y30&lt;$X30),"生存不成立",IF($Z30&lt;0.5,"碾压",IF($Z30&lt;0.8,"偏简单",IF($Z30&lt;=1.2,"适中",IF($Z30&lt;=1.5,"偏难","过难"))))))))</f>
        <v>适中</v>
      </c>
      <c r="AB30" t="str">
        <f t="shared" ref="AB30:AB40" si="16">IF($J30="","待填",IF(AND(ISNUMBER($J30),$J30&gt;=1,$J30&lt;=500,MOD($J30,1)=0),"有效","超范围"))</f>
        <v>有效</v>
      </c>
      <c r="AC30" t="str">
        <f t="shared" ref="AC30:AC40" si="17">IF(C30&lt;&gt;C29,"新玩法组",IF(J30&gt;=J29,"不降","回退"))</f>
        <v>不降</v>
      </c>
      <c r="AD30" t="s">
        <v>5865</v>
      </c>
      <c r="AE30" s="4">
        <v>11200</v>
      </c>
      <c r="AF30" s="4">
        <f>INDEX(_统一战力!$B$2:$B$501,J30)</f>
        <v>11200</v>
      </c>
    </row>
    <row r="31" spans="1:32">
      <c r="A31" t="s">
        <v>5548</v>
      </c>
      <c r="B31" t="s">
        <v>5804</v>
      </c>
      <c r="C31" t="s">
        <v>5856</v>
      </c>
      <c r="D31" t="s">
        <v>5866</v>
      </c>
      <c r="E31" t="s">
        <v>5870</v>
      </c>
      <c r="F31" t="s">
        <v>154</v>
      </c>
      <c r="G31">
        <v>11</v>
      </c>
      <c r="I31">
        <f t="shared" si="9"/>
        <v>11</v>
      </c>
      <c r="J31">
        <v>20</v>
      </c>
      <c r="K31" s="23">
        <v>1.3</v>
      </c>
      <c r="L31" s="23">
        <v>1.3</v>
      </c>
      <c r="M31" s="23">
        <v>1</v>
      </c>
      <c r="N31">
        <v>1</v>
      </c>
      <c r="O31">
        <v>1</v>
      </c>
      <c r="P31" s="18">
        <v>0.415937257137191</v>
      </c>
      <c r="Q31" s="24">
        <f>IF($I31="","",IFERROR(INDEX(_玩家曲线!$H$2:$H$286,MATCH($I31,_玩家曲线!$A$2:$A$286,0)),""))</f>
        <v>8430.78069475875</v>
      </c>
      <c r="R31" s="24">
        <f>IF($I31="","",IFERROR(INDEX(_玩家曲线!$I$2:$I$286,MATCH($I31,_玩家曲线!$A$2:$A$286,0)),""))</f>
        <v>29297.5566282877</v>
      </c>
      <c r="S31" s="24">
        <f>IF(OR($J31="",$F31="不适用"),"",IFERROR(INDEX(_怪物模型!$D$2:$D$4501,(INT($J31)-1)*ROWS(_怪物类型!$A$2:$A$10)+MATCH($F31,_怪物类型!$A$2:$A$10,0))*IF($K31="",1,$K31),""))</f>
        <v>3926</v>
      </c>
      <c r="T31" s="24">
        <f>IF(OR($J31="",$F31="不适用"),"",IFERROR(INDEX(_怪物模型!$E$2:$E$4501,(INT($J31)-1)*ROWS(_怪物类型!$A$2:$A$10)+MATCH($F31,_怪物类型!$A$2:$A$10,0))*IF($L31="",1,$L31),""))</f>
        <v>1248</v>
      </c>
      <c r="U31" s="24">
        <f>IF(OR($J31="",$F31="不适用"),"",IFERROR(INDEX(_怪物模型!$F$2:$F$4501,(INT($J31)-1)*ROWS(_怪物类型!$A$2:$A$10)+MATCH($F31,_怪物类型!$A$2:$A$10,0))*IF($M31="",1,$M31),""))</f>
        <v>1522</v>
      </c>
      <c r="V31" s="6">
        <f t="shared" si="10"/>
        <v>0.0596348248569861</v>
      </c>
      <c r="W31" s="24">
        <f t="shared" si="11"/>
        <v>4174.97383333333</v>
      </c>
      <c r="X31" s="18">
        <f t="shared" si="12"/>
        <v>0.495206076932927</v>
      </c>
      <c r="Y31" s="18">
        <f t="shared" si="13"/>
        <v>23.4756062726664</v>
      </c>
      <c r="Z31" s="18">
        <f t="shared" si="14"/>
        <v>1.19057879147765</v>
      </c>
      <c r="AA31" t="str">
        <f t="shared" si="15"/>
        <v>适中</v>
      </c>
      <c r="AB31" t="str">
        <f t="shared" si="16"/>
        <v>有效</v>
      </c>
      <c r="AC31" t="str">
        <f t="shared" si="17"/>
        <v>不降</v>
      </c>
      <c r="AD31" t="s">
        <v>5865</v>
      </c>
      <c r="AE31" s="4">
        <v>11200</v>
      </c>
      <c r="AF31" s="4">
        <f>INDEX(_统一战力!$B$2:$B$501,J31)</f>
        <v>11200</v>
      </c>
    </row>
    <row r="32" spans="1:32">
      <c r="A32" t="s">
        <v>5548</v>
      </c>
      <c r="B32" t="s">
        <v>5804</v>
      </c>
      <c r="C32" t="s">
        <v>5856</v>
      </c>
      <c r="D32" t="s">
        <v>5871</v>
      </c>
      <c r="E32" t="s">
        <v>5872</v>
      </c>
      <c r="F32" t="s">
        <v>154</v>
      </c>
      <c r="G32">
        <v>11</v>
      </c>
      <c r="I32">
        <f t="shared" si="9"/>
        <v>11</v>
      </c>
      <c r="J32">
        <v>21</v>
      </c>
      <c r="K32" s="23">
        <v>1.3</v>
      </c>
      <c r="L32" s="23">
        <v>1.3</v>
      </c>
      <c r="M32" s="23">
        <v>1</v>
      </c>
      <c r="N32">
        <v>1</v>
      </c>
      <c r="O32">
        <v>1</v>
      </c>
      <c r="P32" s="18">
        <v>0.443291346652538</v>
      </c>
      <c r="Q32" s="24">
        <f>IF($I32="","",IFERROR(INDEX(_玩家曲线!$H$2:$H$286,MATCH($I32,_玩家曲线!$A$2:$A$286,0)),""))</f>
        <v>8430.78069475875</v>
      </c>
      <c r="R32" s="24">
        <f>IF($I32="","",IFERROR(INDEX(_玩家曲线!$I$2:$I$286,MATCH($I32,_玩家曲线!$A$2:$A$286,0)),""))</f>
        <v>29297.5566282877</v>
      </c>
      <c r="S32" s="24">
        <f>IF(OR($J32="",$F32="不适用"),"",IFERROR(INDEX(_怪物模型!$D$2:$D$4501,(INT($J32)-1)*ROWS(_怪物类型!$A$2:$A$10)+MATCH($F32,_怪物类型!$A$2:$A$10,0))*IF($K32="",1,$K32),""))</f>
        <v>4192.5</v>
      </c>
      <c r="T32" s="24">
        <f>IF(OR($J32="",$F32="不适用"),"",IFERROR(INDEX(_怪物模型!$E$2:$E$4501,(INT($J32)-1)*ROWS(_怪物类型!$A$2:$A$10)+MATCH($F32,_怪物类型!$A$2:$A$10,0))*IF($L32="",1,$L32),""))</f>
        <v>1315.6</v>
      </c>
      <c r="U32" s="24">
        <f>IF(OR($J32="",$F32="不适用"),"",IFERROR(INDEX(_怪物模型!$F$2:$F$4501,(INT($J32)-1)*ROWS(_怪物类型!$A$2:$A$10)+MATCH($F32,_怪物类型!$A$2:$A$10,0))*IF($M32="",1,$M32),""))</f>
        <v>1600</v>
      </c>
      <c r="V32" s="6">
        <f t="shared" si="10"/>
        <v>0.0625</v>
      </c>
      <c r="W32" s="24">
        <f t="shared" si="11"/>
        <v>4472</v>
      </c>
      <c r="X32" s="18">
        <f t="shared" si="12"/>
        <v>0.530437234926554</v>
      </c>
      <c r="Y32" s="18">
        <f t="shared" si="13"/>
        <v>22.2693498238733</v>
      </c>
      <c r="Z32" s="18">
        <f t="shared" si="14"/>
        <v>1.19658829104626</v>
      </c>
      <c r="AA32" t="str">
        <f t="shared" si="15"/>
        <v>适中</v>
      </c>
      <c r="AB32" t="str">
        <f t="shared" si="16"/>
        <v>有效</v>
      </c>
      <c r="AC32" t="str">
        <f t="shared" si="17"/>
        <v>不降</v>
      </c>
      <c r="AD32" t="s">
        <v>5873</v>
      </c>
      <c r="AE32" s="4">
        <v>11200</v>
      </c>
      <c r="AF32" s="4">
        <f>INDEX(_统一战力!$B$2:$B$501,J32)</f>
        <v>11200</v>
      </c>
    </row>
    <row r="33" spans="1:32">
      <c r="A33" t="s">
        <v>5548</v>
      </c>
      <c r="B33" t="s">
        <v>5804</v>
      </c>
      <c r="C33" t="s">
        <v>5856</v>
      </c>
      <c r="D33" t="s">
        <v>5874</v>
      </c>
      <c r="E33" t="s">
        <v>5875</v>
      </c>
      <c r="F33" t="s">
        <v>154</v>
      </c>
      <c r="G33">
        <v>12</v>
      </c>
      <c r="I33">
        <f t="shared" si="9"/>
        <v>12</v>
      </c>
      <c r="J33">
        <v>22</v>
      </c>
      <c r="K33" s="23">
        <v>1.3</v>
      </c>
      <c r="L33" s="23">
        <v>1.3</v>
      </c>
      <c r="M33" s="23">
        <v>1</v>
      </c>
      <c r="N33">
        <v>1</v>
      </c>
      <c r="O33">
        <v>1</v>
      </c>
      <c r="P33" s="18">
        <v>0.430180246751498</v>
      </c>
      <c r="Q33" s="24">
        <f>IF($I33="","",IFERROR(INDEX(_玩家曲线!$H$2:$H$286,MATCH($I33,_玩家曲线!$A$2:$A$286,0)),""))</f>
        <v>9241.7525096093</v>
      </c>
      <c r="R33" s="24">
        <f>IF($I33="","",IFERROR(INDEX(_玩家曲线!$I$2:$I$286,MATCH($I33,_玩家曲线!$A$2:$A$286,0)),""))</f>
        <v>32187.1922088963</v>
      </c>
      <c r="S33" s="24">
        <f>IF(OR($J33="",$F33="不适用"),"",IFERROR(INDEX(_怪物模型!$D$2:$D$4501,(INT($J33)-1)*ROWS(_怪物类型!$A$2:$A$10)+MATCH($F33,_怪物类型!$A$2:$A$10,0))*IF($K33="",1,$K33),""))</f>
        <v>4465.5</v>
      </c>
      <c r="T33" s="24">
        <f>IF(OR($J33="",$F33="不适用"),"",IFERROR(INDEX(_怪物模型!$E$2:$E$4501,(INT($J33)-1)*ROWS(_怪物类型!$A$2:$A$10)+MATCH($F33,_怪物类型!$A$2:$A$10,0))*IF($L33="",1,$L33),""))</f>
        <v>1383.2</v>
      </c>
      <c r="U33" s="24">
        <f>IF(OR($J33="",$F33="不适用"),"",IFERROR(INDEX(_怪物模型!$F$2:$F$4501,(INT($J33)-1)*ROWS(_怪物类型!$A$2:$A$10)+MATCH($F33,_怪物类型!$A$2:$A$10,0))*IF($M33="",1,$M33),""))</f>
        <v>1679</v>
      </c>
      <c r="V33" s="6">
        <f t="shared" si="10"/>
        <v>0.0653841660500798</v>
      </c>
      <c r="W33" s="24">
        <f t="shared" si="11"/>
        <v>4777.8989375</v>
      </c>
      <c r="X33" s="18">
        <f t="shared" si="12"/>
        <v>0.516990574302015</v>
      </c>
      <c r="Y33" s="18">
        <f t="shared" si="13"/>
        <v>23.2700926900638</v>
      </c>
      <c r="Z33" s="18">
        <f t="shared" si="14"/>
        <v>1.20179989250103</v>
      </c>
      <c r="AA33" t="str">
        <f t="shared" si="15"/>
        <v>偏难</v>
      </c>
      <c r="AB33" t="str">
        <f t="shared" si="16"/>
        <v>有效</v>
      </c>
      <c r="AC33" t="str">
        <f t="shared" si="17"/>
        <v>不降</v>
      </c>
      <c r="AD33" t="s">
        <v>5876</v>
      </c>
      <c r="AE33" s="4">
        <v>12300</v>
      </c>
      <c r="AF33" s="4">
        <f>INDEX(_统一战力!$B$2:$B$501,J33)</f>
        <v>12300</v>
      </c>
    </row>
    <row r="34" spans="1:32">
      <c r="A34" t="s">
        <v>5548</v>
      </c>
      <c r="B34" t="s">
        <v>5804</v>
      </c>
      <c r="C34" t="s">
        <v>5856</v>
      </c>
      <c r="D34" t="s">
        <v>5877</v>
      </c>
      <c r="E34" t="s">
        <v>5878</v>
      </c>
      <c r="F34" t="s">
        <v>154</v>
      </c>
      <c r="G34">
        <v>16</v>
      </c>
      <c r="I34">
        <f t="shared" si="9"/>
        <v>16</v>
      </c>
      <c r="J34">
        <v>29</v>
      </c>
      <c r="K34" s="23">
        <v>1.3</v>
      </c>
      <c r="L34" s="23">
        <v>1.3</v>
      </c>
      <c r="M34" s="23">
        <v>1</v>
      </c>
      <c r="N34">
        <v>1</v>
      </c>
      <c r="O34">
        <v>1</v>
      </c>
      <c r="P34" s="18">
        <v>0.455296696414133</v>
      </c>
      <c r="Q34" s="24">
        <f>IF($I34="","",IFERROR(INDEX(_玩家曲线!$H$2:$H$286,MATCH($I34,_玩家曲线!$A$2:$A$286,0)),""))</f>
        <v>12729.4716557661</v>
      </c>
      <c r="R34" s="24">
        <f>IF($I34="","",IFERROR(INDEX(_玩家曲线!$I$2:$I$286,MATCH($I34,_玩家曲线!$A$2:$A$286,0)),""))</f>
        <v>43361.3035091893</v>
      </c>
      <c r="S34" s="24">
        <f>IF(OR($J34="",$F34="不适用"),"",IFERROR(INDEX(_怪物模型!$D$2:$D$4501,(INT($J34)-1)*ROWS(_怪物类型!$A$2:$A$10)+MATCH($F34,_怪物类型!$A$2:$A$10,0))*IF($K34="",1,$K34),""))</f>
        <v>6559.8</v>
      </c>
      <c r="T34" s="24">
        <f>IF(OR($J34="",$F34="不适用"),"",IFERROR(INDEX(_怪物模型!$E$2:$E$4501,(INT($J34)-1)*ROWS(_怪物类型!$A$2:$A$10)+MATCH($F34,_怪物类型!$A$2:$A$10,0))*IF($L34="",1,$L34),""))</f>
        <v>1877.2</v>
      </c>
      <c r="U34" s="24">
        <f>IF(OR($J34="",$F34="不适用"),"",IFERROR(INDEX(_怪物模型!$F$2:$F$4501,(INT($J34)-1)*ROWS(_怪物类型!$A$2:$A$10)+MATCH($F34,_怪物类型!$A$2:$A$10,0))*IF($M34="",1,$M34),""))</f>
        <v>2236</v>
      </c>
      <c r="V34" s="6">
        <f t="shared" si="10"/>
        <v>0.0852264064644001</v>
      </c>
      <c r="W34" s="24">
        <f t="shared" si="11"/>
        <v>7170.9547</v>
      </c>
      <c r="X34" s="18">
        <f t="shared" si="12"/>
        <v>0.563334825978559</v>
      </c>
      <c r="Y34" s="18">
        <f t="shared" si="13"/>
        <v>23.0989257986306</v>
      </c>
      <c r="Z34" s="18">
        <f t="shared" si="14"/>
        <v>1.23729170542049</v>
      </c>
      <c r="AA34" t="str">
        <f t="shared" si="15"/>
        <v>偏难</v>
      </c>
      <c r="AB34" t="str">
        <f t="shared" si="16"/>
        <v>有效</v>
      </c>
      <c r="AC34" t="str">
        <f t="shared" si="17"/>
        <v>不降</v>
      </c>
      <c r="AD34" t="s">
        <v>5879</v>
      </c>
      <c r="AE34" s="4">
        <v>16000</v>
      </c>
      <c r="AF34" s="4">
        <f>INDEX(_统一战力!$B$2:$B$501,J34)</f>
        <v>18200</v>
      </c>
    </row>
    <row r="35" spans="1:32">
      <c r="A35" t="s">
        <v>5548</v>
      </c>
      <c r="B35" t="s">
        <v>5804</v>
      </c>
      <c r="C35" t="s">
        <v>5856</v>
      </c>
      <c r="D35" t="s">
        <v>5863</v>
      </c>
      <c r="E35">
        <v>150110</v>
      </c>
      <c r="F35" t="s">
        <v>154</v>
      </c>
      <c r="G35">
        <v>17</v>
      </c>
      <c r="I35">
        <f t="shared" si="9"/>
        <v>17</v>
      </c>
      <c r="J35">
        <v>30</v>
      </c>
      <c r="K35" s="23">
        <v>1.3</v>
      </c>
      <c r="L35" s="23">
        <v>1.3</v>
      </c>
      <c r="M35" s="23">
        <v>1</v>
      </c>
      <c r="N35">
        <v>1</v>
      </c>
      <c r="O35">
        <v>1</v>
      </c>
      <c r="P35" s="18">
        <v>0.455296696414133</v>
      </c>
      <c r="Q35" s="24">
        <f>IF($I35="","",IFERROR(INDEX(_玩家曲线!$H$2:$H$286,MATCH($I35,_玩家曲线!$A$2:$A$286,0)),""))</f>
        <v>13957.0878273227</v>
      </c>
      <c r="R35" s="24">
        <f>IF($I35="","",IFERROR(INDEX(_玩家曲线!$I$2:$I$286,MATCH($I35,_玩家曲线!$A$2:$A$286,0)),""))</f>
        <v>46731.0163987609</v>
      </c>
      <c r="S35" s="24">
        <f>IF(OR($J35="",$F35="不适用"),"",IFERROR(INDEX(_怪物模型!$D$2:$D$4501,(INT($J35)-1)*ROWS(_怪物类型!$A$2:$A$10)+MATCH($F35,_怪物类型!$A$2:$A$10,0))*IF($K35="",1,$K35),""))</f>
        <v>6886.1</v>
      </c>
      <c r="T35" s="24">
        <f>IF(OR($J35="",$F35="不适用"),"",IFERROR(INDEX(_怪物模型!$E$2:$E$4501,(INT($J35)-1)*ROWS(_怪物类型!$A$2:$A$10)+MATCH($F35,_怪物类型!$A$2:$A$10,0))*IF($L35="",1,$L35),""))</f>
        <v>1950</v>
      </c>
      <c r="U35" s="24">
        <f>IF(OR($J35="",$F35="不适用"),"",IFERROR(INDEX(_怪物模型!$F$2:$F$4501,(INT($J35)-1)*ROWS(_怪物类型!$A$2:$A$10)+MATCH($F35,_怪物类型!$A$2:$A$10,0))*IF($M35="",1,$M35),""))</f>
        <v>2317</v>
      </c>
      <c r="V35" s="6">
        <f t="shared" si="10"/>
        <v>0.0880419500702968</v>
      </c>
      <c r="W35" s="24">
        <f t="shared" si="11"/>
        <v>7550.89557083333</v>
      </c>
      <c r="X35" s="18">
        <f t="shared" si="12"/>
        <v>0.541007956978786</v>
      </c>
      <c r="Y35" s="18">
        <f t="shared" si="13"/>
        <v>23.9646237942364</v>
      </c>
      <c r="Z35" s="18">
        <f t="shared" si="14"/>
        <v>1.18825364040571</v>
      </c>
      <c r="AA35" t="str">
        <f t="shared" si="15"/>
        <v>适中</v>
      </c>
      <c r="AB35" t="str">
        <f t="shared" si="16"/>
        <v>有效</v>
      </c>
      <c r="AC35" t="str">
        <f t="shared" si="17"/>
        <v>不降</v>
      </c>
      <c r="AE35" s="4">
        <v>16700</v>
      </c>
      <c r="AF35" s="4">
        <f>INDEX(_统一战力!$B$2:$B$501,J35)</f>
        <v>18200</v>
      </c>
    </row>
    <row r="36" spans="1:32">
      <c r="A36" t="s">
        <v>5548</v>
      </c>
      <c r="B36" t="s">
        <v>5804</v>
      </c>
      <c r="C36" t="s">
        <v>5856</v>
      </c>
      <c r="D36" t="s">
        <v>5871</v>
      </c>
      <c r="E36">
        <v>150111</v>
      </c>
      <c r="F36" t="s">
        <v>154</v>
      </c>
      <c r="G36">
        <v>18</v>
      </c>
      <c r="I36">
        <f t="shared" si="9"/>
        <v>18</v>
      </c>
      <c r="J36">
        <v>31</v>
      </c>
      <c r="K36" s="23">
        <v>1.3</v>
      </c>
      <c r="L36" s="23">
        <v>1.3</v>
      </c>
      <c r="M36" s="23">
        <v>1</v>
      </c>
      <c r="N36">
        <v>1</v>
      </c>
      <c r="O36">
        <v>1</v>
      </c>
      <c r="P36" s="18">
        <v>0.455296696414133</v>
      </c>
      <c r="Q36" s="24">
        <f>IF($I36="","",IFERROR(INDEX(_玩家曲线!$H$2:$H$286,MATCH($I36,_玩家曲线!$A$2:$A$286,0)),""))</f>
        <v>15239.1437306135</v>
      </c>
      <c r="R36" s="24">
        <f>IF($I36="","",IFERROR(INDEX(_玩家曲线!$I$2:$I$286,MATCH($I36,_玩家曲线!$A$2:$A$286,0)),""))</f>
        <v>50164.8230046736</v>
      </c>
      <c r="S36" s="24">
        <f>IF(OR($J36="",$F36="不适用"),"",IFERROR(INDEX(_怪物模型!$D$2:$D$4501,(INT($J36)-1)*ROWS(_怪物类型!$A$2:$A$10)+MATCH($F36,_怪物类型!$A$2:$A$10,0))*IF($K36="",1,$K36),""))</f>
        <v>7217.6</v>
      </c>
      <c r="T36" s="24">
        <f>IF(OR($J36="",$F36="不适用"),"",IFERROR(INDEX(_怪物模型!$E$2:$E$4501,(INT($J36)-1)*ROWS(_怪物类型!$A$2:$A$10)+MATCH($F36,_怪物类型!$A$2:$A$10,0))*IF($L36="",1,$L36),""))</f>
        <v>2024.1</v>
      </c>
      <c r="U36" s="24">
        <f>IF(OR($J36="",$F36="不适用"),"",IFERROR(INDEX(_怪物模型!$F$2:$F$4501,(INT($J36)-1)*ROWS(_怪物类型!$A$2:$A$10)+MATCH($F36,_怪物类型!$A$2:$A$10,0))*IF($M36="",1,$M36),""))</f>
        <v>2398</v>
      </c>
      <c r="V36" s="6">
        <f t="shared" si="10"/>
        <v>0.0908402151678157</v>
      </c>
      <c r="W36" s="24">
        <f t="shared" si="11"/>
        <v>7938.75853333333</v>
      </c>
      <c r="X36" s="18">
        <f t="shared" si="12"/>
        <v>0.520945183907241</v>
      </c>
      <c r="Y36" s="18">
        <f t="shared" si="13"/>
        <v>24.7837671086772</v>
      </c>
      <c r="Z36" s="18">
        <f t="shared" si="14"/>
        <v>1.14418836773943</v>
      </c>
      <c r="AA36" t="str">
        <f t="shared" si="15"/>
        <v>适中</v>
      </c>
      <c r="AB36" t="str">
        <f t="shared" si="16"/>
        <v>有效</v>
      </c>
      <c r="AC36" t="str">
        <f t="shared" si="17"/>
        <v>不降</v>
      </c>
      <c r="AE36" s="4">
        <v>18200</v>
      </c>
      <c r="AF36" s="4">
        <f>INDEX(_统一战力!$B$2:$B$501,J36)</f>
        <v>19800</v>
      </c>
    </row>
    <row r="37" spans="1:32">
      <c r="A37" t="s">
        <v>5548</v>
      </c>
      <c r="B37" t="s">
        <v>5804</v>
      </c>
      <c r="C37" t="s">
        <v>5856</v>
      </c>
      <c r="D37" t="s">
        <v>5874</v>
      </c>
      <c r="E37">
        <v>150112</v>
      </c>
      <c r="F37" t="s">
        <v>154</v>
      </c>
      <c r="G37">
        <v>19</v>
      </c>
      <c r="I37">
        <f t="shared" si="9"/>
        <v>19</v>
      </c>
      <c r="J37">
        <v>32</v>
      </c>
      <c r="K37" s="23">
        <v>1.3</v>
      </c>
      <c r="L37" s="23">
        <v>1.3</v>
      </c>
      <c r="M37" s="23">
        <v>1</v>
      </c>
      <c r="N37">
        <v>1</v>
      </c>
      <c r="O37">
        <v>1</v>
      </c>
      <c r="P37" s="18">
        <v>0.455296696414133</v>
      </c>
      <c r="Q37" s="24">
        <f>IF($I37="","",IFERROR(INDEX(_玩家曲线!$H$2:$H$286,MATCH($I37,_玩家曲线!$A$2:$A$286,0)),""))</f>
        <v>16577.1744599968</v>
      </c>
      <c r="R37" s="24">
        <f>IF($I37="","",IFERROR(INDEX(_玩家曲线!$I$2:$I$286,MATCH($I37,_玩家曲线!$A$2:$A$286,0)),""))</f>
        <v>53663.6446921413</v>
      </c>
      <c r="S37" s="24">
        <f>IF(OR($J37="",$F37="不适用"),"",IFERROR(INDEX(_怪物模型!$D$2:$D$4501,(INT($J37)-1)*ROWS(_怪物类型!$A$2:$A$10)+MATCH($F37,_怪物类型!$A$2:$A$10,0))*IF($K37="",1,$K37),""))</f>
        <v>7555.6</v>
      </c>
      <c r="T37" s="24">
        <f>IF(OR($J37="",$F37="不适用"),"",IFERROR(INDEX(_怪物模型!$E$2:$E$4501,(INT($J37)-1)*ROWS(_怪物类型!$A$2:$A$10)+MATCH($F37,_怪物类型!$A$2:$A$10,0))*IF($L37="",1,$L37),""))</f>
        <v>2096.9</v>
      </c>
      <c r="U37" s="24">
        <f>IF(OR($J37="",$F37="不适用"),"",IFERROR(INDEX(_怪物模型!$F$2:$F$4501,(INT($J37)-1)*ROWS(_怪物类型!$A$2:$A$10)+MATCH($F37,_怪物类型!$A$2:$A$10,0))*IF($M37="",1,$M37),""))</f>
        <v>2479</v>
      </c>
      <c r="V37" s="6">
        <f t="shared" si="10"/>
        <v>0.093621360323275</v>
      </c>
      <c r="W37" s="24">
        <f t="shared" si="11"/>
        <v>8336.03051666667</v>
      </c>
      <c r="X37" s="18">
        <f t="shared" si="12"/>
        <v>0.502861964611807</v>
      </c>
      <c r="Y37" s="18">
        <f t="shared" si="13"/>
        <v>25.5918950317809</v>
      </c>
      <c r="Z37" s="18">
        <f t="shared" si="14"/>
        <v>1.1044709275782</v>
      </c>
      <c r="AA37" t="str">
        <f t="shared" si="15"/>
        <v>适中</v>
      </c>
      <c r="AB37" t="str">
        <f t="shared" si="16"/>
        <v>有效</v>
      </c>
      <c r="AC37" t="str">
        <f t="shared" si="17"/>
        <v>不降</v>
      </c>
      <c r="AE37" s="4">
        <v>18200</v>
      </c>
      <c r="AF37" s="4">
        <f>INDEX(_统一战力!$B$2:$B$501,J37)</f>
        <v>19800</v>
      </c>
    </row>
    <row r="38" spans="1:32">
      <c r="A38" t="s">
        <v>5548</v>
      </c>
      <c r="B38" t="s">
        <v>5804</v>
      </c>
      <c r="C38" t="s">
        <v>5856</v>
      </c>
      <c r="D38" t="s">
        <v>5877</v>
      </c>
      <c r="E38">
        <v>150113</v>
      </c>
      <c r="F38" t="s">
        <v>154</v>
      </c>
      <c r="G38">
        <v>20</v>
      </c>
      <c r="I38">
        <f t="shared" si="9"/>
        <v>20</v>
      </c>
      <c r="J38">
        <v>33</v>
      </c>
      <c r="K38" s="23">
        <v>1.3</v>
      </c>
      <c r="L38" s="23">
        <v>1.3</v>
      </c>
      <c r="M38" s="23">
        <v>1</v>
      </c>
      <c r="N38">
        <v>1</v>
      </c>
      <c r="O38">
        <v>1</v>
      </c>
      <c r="P38" s="18">
        <v>0.455296696414133</v>
      </c>
      <c r="Q38" s="24">
        <f>IF($I38="","",IFERROR(INDEX(_玩家曲线!$H$2:$H$286,MATCH($I38,_玩家曲线!$A$2:$A$286,0)),""))</f>
        <v>18422.0658556409</v>
      </c>
      <c r="R38" s="24">
        <f>IF($I38="","",IFERROR(INDEX(_玩家曲线!$I$2:$I$286,MATCH($I38,_玩家曲线!$A$2:$A$286,0)),""))</f>
        <v>58659.1211219852</v>
      </c>
      <c r="S38" s="24">
        <f>IF(OR($J38="",$F38="不适用"),"",IFERROR(INDEX(_怪物模型!$D$2:$D$4501,(INT($J38)-1)*ROWS(_怪物类型!$A$2:$A$10)+MATCH($F38,_怪物类型!$A$2:$A$10,0))*IF($K38="",1,$K38),""))</f>
        <v>7901.4</v>
      </c>
      <c r="T38" s="24">
        <f>IF(OR($J38="",$F38="不适用"),"",IFERROR(INDEX(_怪物模型!$E$2:$E$4501,(INT($J38)-1)*ROWS(_怪物类型!$A$2:$A$10)+MATCH($F38,_怪物类型!$A$2:$A$10,0))*IF($L38="",1,$L38),""))</f>
        <v>2172.3</v>
      </c>
      <c r="U38" s="24">
        <f>IF(OR($J38="",$F38="不适用"),"",IFERROR(INDEX(_怪物模型!$F$2:$F$4501,(INT($J38)-1)*ROWS(_怪物类型!$A$2:$A$10)+MATCH($F38,_怪物类型!$A$2:$A$10,0))*IF($M38="",1,$M38),""))</f>
        <v>2560</v>
      </c>
      <c r="V38" s="6">
        <f t="shared" si="10"/>
        <v>0.0963855421686747</v>
      </c>
      <c r="W38" s="24">
        <f t="shared" si="11"/>
        <v>8744.216</v>
      </c>
      <c r="X38" s="18">
        <f t="shared" si="12"/>
        <v>0.474659903428936</v>
      </c>
      <c r="Y38" s="18">
        <f t="shared" si="13"/>
        <v>27.003232114342</v>
      </c>
      <c r="Z38" s="18">
        <f t="shared" si="14"/>
        <v>1.04252876677407</v>
      </c>
      <c r="AA38" t="str">
        <f t="shared" si="15"/>
        <v>适中</v>
      </c>
      <c r="AB38" t="str">
        <f t="shared" si="16"/>
        <v>有效</v>
      </c>
      <c r="AC38" t="str">
        <f t="shared" si="17"/>
        <v>不降</v>
      </c>
      <c r="AE38" s="4">
        <v>19800</v>
      </c>
      <c r="AF38" s="4">
        <f>INDEX(_统一战力!$B$2:$B$501,J38)</f>
        <v>21400</v>
      </c>
    </row>
    <row r="39" spans="1:32">
      <c r="A39" t="s">
        <v>5548</v>
      </c>
      <c r="B39" t="s">
        <v>5804</v>
      </c>
      <c r="C39" t="s">
        <v>5856</v>
      </c>
      <c r="D39" t="s">
        <v>5880</v>
      </c>
      <c r="E39">
        <v>150114</v>
      </c>
      <c r="F39" t="s">
        <v>154</v>
      </c>
      <c r="G39">
        <v>21</v>
      </c>
      <c r="I39">
        <f t="shared" si="9"/>
        <v>21</v>
      </c>
      <c r="J39">
        <v>34</v>
      </c>
      <c r="K39" s="23">
        <v>1.3</v>
      </c>
      <c r="L39" s="23">
        <v>1.3</v>
      </c>
      <c r="M39" s="23">
        <v>1</v>
      </c>
      <c r="N39">
        <v>1</v>
      </c>
      <c r="O39">
        <v>1</v>
      </c>
      <c r="P39" s="18">
        <v>0.455296696414133</v>
      </c>
      <c r="Q39" s="24">
        <f>IF($I39="","",IFERROR(INDEX(_玩家曲线!$H$2:$H$286,MATCH($I39,_玩家曲线!$A$2:$A$286,0)),""))</f>
        <v>20272.2134954798</v>
      </c>
      <c r="R39" s="24">
        <f>IF($I39="","",IFERROR(INDEX(_玩家曲线!$I$2:$I$286,MATCH($I39,_玩家曲线!$A$2:$A$286,0)),""))</f>
        <v>63598.9013580518</v>
      </c>
      <c r="S39" s="24">
        <f>IF(OR($J39="",$F39="不适用"),"",IFERROR(INDEX(_怪物模型!$D$2:$D$4501,(INT($J39)-1)*ROWS(_怪物类型!$A$2:$A$10)+MATCH($F39,_怪物类型!$A$2:$A$10,0))*IF($K39="",1,$K39),""))</f>
        <v>8252.4</v>
      </c>
      <c r="T39" s="24">
        <f>IF(OR($J39="",$F39="不适用"),"",IFERROR(INDEX(_怪物模型!$E$2:$E$4501,(INT($J39)-1)*ROWS(_怪物类型!$A$2:$A$10)+MATCH($F39,_怪物类型!$A$2:$A$10,0))*IF($L39="",1,$L39),""))</f>
        <v>2246.4</v>
      </c>
      <c r="U39" s="24">
        <f>IF(OR($J39="",$F39="不适用"),"",IFERROR(INDEX(_怪物模型!$F$2:$F$4501,(INT($J39)-1)*ROWS(_怪物类型!$A$2:$A$10)+MATCH($F39,_怪物类型!$A$2:$A$10,0))*IF($M39="",1,$M39),""))</f>
        <v>2641</v>
      </c>
      <c r="V39" s="6">
        <f t="shared" si="10"/>
        <v>0.0991329154311024</v>
      </c>
      <c r="W39" s="24">
        <f t="shared" si="11"/>
        <v>9160.50785</v>
      </c>
      <c r="X39" s="18">
        <f t="shared" si="12"/>
        <v>0.451875067912173</v>
      </c>
      <c r="Y39" s="18">
        <f t="shared" si="13"/>
        <v>28.311476744147</v>
      </c>
      <c r="Z39" s="18">
        <f t="shared" si="14"/>
        <v>0.9924848378455</v>
      </c>
      <c r="AA39" t="str">
        <f t="shared" si="15"/>
        <v>适中</v>
      </c>
      <c r="AB39" t="str">
        <f t="shared" si="16"/>
        <v>有效</v>
      </c>
      <c r="AC39" t="str">
        <f t="shared" si="17"/>
        <v>不降</v>
      </c>
      <c r="AE39" s="4">
        <v>19800</v>
      </c>
      <c r="AF39" s="4">
        <f>INDEX(_统一战力!$B$2:$B$501,J39)</f>
        <v>23100</v>
      </c>
    </row>
    <row r="40" spans="1:32">
      <c r="A40" t="s">
        <v>5548</v>
      </c>
      <c r="B40" t="s">
        <v>5804</v>
      </c>
      <c r="C40" t="s">
        <v>5856</v>
      </c>
      <c r="D40" t="s">
        <v>5881</v>
      </c>
      <c r="E40">
        <v>150115</v>
      </c>
      <c r="F40" t="s">
        <v>154</v>
      </c>
      <c r="G40">
        <v>22</v>
      </c>
      <c r="I40">
        <f t="shared" si="9"/>
        <v>22</v>
      </c>
      <c r="J40">
        <v>35</v>
      </c>
      <c r="K40" s="23">
        <v>1.3</v>
      </c>
      <c r="L40" s="23">
        <v>1.3</v>
      </c>
      <c r="M40" s="23">
        <v>1</v>
      </c>
      <c r="N40">
        <v>1</v>
      </c>
      <c r="O40">
        <v>1</v>
      </c>
      <c r="P40" s="18">
        <v>0.455296696414133</v>
      </c>
      <c r="Q40" s="24">
        <f>IF($I40="","",IFERROR(INDEX(_玩家曲线!$H$2:$H$286,MATCH($I40,_玩家曲线!$A$2:$A$286,0)),""))</f>
        <v>22243.9427367402</v>
      </c>
      <c r="R40" s="24">
        <f>IF($I40="","",IFERROR(INDEX(_玩家曲线!$I$2:$I$286,MATCH($I40,_玩家曲线!$A$2:$A$286,0)),""))</f>
        <v>68767.7036174873</v>
      </c>
      <c r="S40" s="24">
        <f>IF(OR($J40="",$F40="不适用"),"",IFERROR(INDEX(_怪物模型!$D$2:$D$4501,(INT($J40)-1)*ROWS(_怪物类型!$A$2:$A$10)+MATCH($F40,_怪物类型!$A$2:$A$10,0))*IF($K40="",1,$K40),""))</f>
        <v>8611.2</v>
      </c>
      <c r="T40" s="24">
        <f>IF(OR($J40="",$F40="不适用"),"",IFERROR(INDEX(_怪物模型!$E$2:$E$4501,(INT($J40)-1)*ROWS(_怪物类型!$A$2:$A$10)+MATCH($F40,_怪物类型!$A$2:$A$10,0))*IF($L40="",1,$L40),""))</f>
        <v>2323.1</v>
      </c>
      <c r="U40" s="24">
        <f>IF(OR($J40="",$F40="不适用"),"",IFERROR(INDEX(_怪物模型!$F$2:$F$4501,(INT($J40)-1)*ROWS(_怪物类型!$A$2:$A$10)+MATCH($F40,_怪物类型!$A$2:$A$10,0))*IF($M40="",1,$M40),""))</f>
        <v>2723</v>
      </c>
      <c r="V40" s="6">
        <f t="shared" si="10"/>
        <v>0.101897242076114</v>
      </c>
      <c r="W40" s="24">
        <f t="shared" si="11"/>
        <v>9588.2124</v>
      </c>
      <c r="X40" s="18">
        <f t="shared" si="12"/>
        <v>0.431048241468595</v>
      </c>
      <c r="Y40" s="18">
        <f t="shared" si="13"/>
        <v>29.6016975668233</v>
      </c>
      <c r="Z40" s="18">
        <f t="shared" si="14"/>
        <v>0.946741421283054</v>
      </c>
      <c r="AA40" t="str">
        <f t="shared" si="15"/>
        <v>适中</v>
      </c>
      <c r="AB40" t="str">
        <f t="shared" si="16"/>
        <v>有效</v>
      </c>
      <c r="AC40" t="str">
        <f t="shared" si="17"/>
        <v>不降</v>
      </c>
      <c r="AE40" s="4">
        <v>19800</v>
      </c>
      <c r="AF40" s="4">
        <f>INDEX(_统一战力!$B$2:$B$501,J40)</f>
        <v>23100</v>
      </c>
    </row>
    <row r="41" spans="1:32">
      <c r="A41" t="s">
        <v>5548</v>
      </c>
      <c r="B41" t="s">
        <v>5804</v>
      </c>
      <c r="C41" t="s">
        <v>5856</v>
      </c>
      <c r="D41" t="s">
        <v>5882</v>
      </c>
      <c r="E41" t="s">
        <v>5883</v>
      </c>
      <c r="F41" t="s">
        <v>154</v>
      </c>
      <c r="G41">
        <v>18</v>
      </c>
      <c r="I41">
        <f t="shared" ref="I41:I98" si="18">IF($H41="",$G41,$H41)</f>
        <v>18</v>
      </c>
      <c r="J41">
        <v>32</v>
      </c>
      <c r="K41" s="23">
        <v>1.3</v>
      </c>
      <c r="L41" s="23">
        <v>1.3</v>
      </c>
      <c r="M41" s="23">
        <v>1</v>
      </c>
      <c r="N41">
        <v>1</v>
      </c>
      <c r="O41">
        <v>1</v>
      </c>
      <c r="P41" s="18">
        <v>0.438065627640766</v>
      </c>
      <c r="Q41" s="24">
        <f>IF($I41="","",IFERROR(INDEX(_玩家曲线!$H$2:$H$286,MATCH($I41,_玩家曲线!$A$2:$A$286,0)),""))</f>
        <v>15239.1437306135</v>
      </c>
      <c r="R41" s="24">
        <f>IF($I41="","",IFERROR(INDEX(_玩家曲线!$I$2:$I$286,MATCH($I41,_玩家曲线!$A$2:$A$286,0)),""))</f>
        <v>50164.8230046736</v>
      </c>
      <c r="S41" s="24">
        <f>IF(OR($J41="",$F41="不适用"),"",IFERROR(INDEX(_怪物模型!$D$2:$D$4501,(INT($J41)-1)*ROWS(_怪物类型!$A$2:$A$10)+MATCH($F41,_怪物类型!$A$2:$A$10,0))*IF($K41="",1,$K41),""))</f>
        <v>7555.6</v>
      </c>
      <c r="T41" s="24">
        <f>IF(OR($J41="",$F41="不适用"),"",IFERROR(INDEX(_怪物模型!$E$2:$E$4501,(INT($J41)-1)*ROWS(_怪物类型!$A$2:$A$10)+MATCH($F41,_怪物类型!$A$2:$A$10,0))*IF($L41="",1,$L41),""))</f>
        <v>2096.9</v>
      </c>
      <c r="U41" s="24">
        <f>IF(OR($J41="",$F41="不适用"),"",IFERROR(INDEX(_怪物模型!$F$2:$F$4501,(INT($J41)-1)*ROWS(_怪物类型!$A$2:$A$10)+MATCH($F41,_怪物类型!$A$2:$A$10,0))*IF($M41="",1,$M41),""))</f>
        <v>2479</v>
      </c>
      <c r="V41" s="6">
        <f t="shared" ref="V41:V98" si="19">IF($U41="","",MIN(0.75,$U41/($U41+24000)))</f>
        <v>0.093621360323275</v>
      </c>
      <c r="W41" s="24">
        <f t="shared" ref="W41:W98" si="20">IF($S41="","",$S41/(1-$V41)*IF($N41="",1,$N41))</f>
        <v>8336.03051666667</v>
      </c>
      <c r="X41" s="18">
        <f t="shared" ref="X41:X98" si="21">IF(OR($W41="",$Q41="",$Q41=0),"",$W41/$Q41)</f>
        <v>0.547014364063031</v>
      </c>
      <c r="Y41" s="18">
        <f t="shared" ref="Y41:Y98" si="22">IF(OR($R41="",$T41="",$T41=0),"",$R41/($T41*IF($O41="",1,$O41)))</f>
        <v>23.92332634111</v>
      </c>
      <c r="Z41" s="18">
        <f t="shared" ref="Z41:Z98" si="23">IF(OR($X41="",$P41="",$P41=0),"",$X41/$P41)</f>
        <v>1.2487041428222</v>
      </c>
      <c r="AA41" t="str">
        <f t="shared" ref="AA41:AA98" si="24">IF($J41="","待填怪物等级",IF(OR($I41="",$Q41=""),"待填对照关卡",IF($P41="","已计算",IF(AND($Y41&lt;&gt;"",$Y41&lt;$X41),"生存不成立",IF($Z41&lt;0.5,"碾压",IF($Z41&lt;0.8,"偏简单",IF($Z41&lt;=1.2,"适中",IF($Z41&lt;=1.5,"偏难","过难"))))))))</f>
        <v>偏难</v>
      </c>
      <c r="AB41" t="str">
        <f t="shared" ref="AB41:AB98" si="25">IF($J41="","待填",IF(AND(ISNUMBER($J41),$J41&gt;=1,$J41&lt;=500,MOD($J41,1)=0),"有效","超范围"))</f>
        <v>有效</v>
      </c>
      <c r="AC41" t="str">
        <f>IF(C41&lt;&gt;C34,"新玩法组",IF(J41&gt;=J34,"不降","回退"))</f>
        <v>不降</v>
      </c>
      <c r="AD41" t="s">
        <v>5884</v>
      </c>
      <c r="AE41" s="4">
        <v>19800</v>
      </c>
      <c r="AF41" s="4">
        <f>INDEX(_统一战力!$B$2:$B$501,J41)</f>
        <v>19800</v>
      </c>
    </row>
    <row r="42" spans="1:32">
      <c r="A42" t="s">
        <v>5548</v>
      </c>
      <c r="B42" t="s">
        <v>5804</v>
      </c>
      <c r="C42" t="s">
        <v>5856</v>
      </c>
      <c r="D42" t="s">
        <v>5885</v>
      </c>
      <c r="E42" t="s">
        <v>5886</v>
      </c>
      <c r="F42" t="s">
        <v>154</v>
      </c>
      <c r="G42">
        <v>18</v>
      </c>
      <c r="I42">
        <f t="shared" si="18"/>
        <v>18</v>
      </c>
      <c r="J42">
        <v>33</v>
      </c>
      <c r="K42" s="23">
        <v>1.3</v>
      </c>
      <c r="L42" s="23">
        <v>1.3</v>
      </c>
      <c r="M42" s="23">
        <v>1</v>
      </c>
      <c r="N42">
        <v>1</v>
      </c>
      <c r="O42">
        <v>1</v>
      </c>
      <c r="P42" s="18">
        <v>0.458367115344619</v>
      </c>
      <c r="Q42" s="24">
        <f>IF($I42="","",IFERROR(INDEX(_玩家曲线!$H$2:$H$286,MATCH($I42,_玩家曲线!$A$2:$A$286,0)),""))</f>
        <v>15239.1437306135</v>
      </c>
      <c r="R42" s="24">
        <f>IF($I42="","",IFERROR(INDEX(_玩家曲线!$I$2:$I$286,MATCH($I42,_玩家曲线!$A$2:$A$286,0)),""))</f>
        <v>50164.8230046736</v>
      </c>
      <c r="S42" s="24">
        <f>IF(OR($J42="",$F42="不适用"),"",IFERROR(INDEX(_怪物模型!$D$2:$D$4501,(INT($J42)-1)*ROWS(_怪物类型!$A$2:$A$10)+MATCH($F42,_怪物类型!$A$2:$A$10,0))*IF($K42="",1,$K42),""))</f>
        <v>7901.4</v>
      </c>
      <c r="T42" s="24">
        <f>IF(OR($J42="",$F42="不适用"),"",IFERROR(INDEX(_怪物模型!$E$2:$E$4501,(INT($J42)-1)*ROWS(_怪物类型!$A$2:$A$10)+MATCH($F42,_怪物类型!$A$2:$A$10,0))*IF($L42="",1,$L42),""))</f>
        <v>2172.3</v>
      </c>
      <c r="U42" s="24">
        <f>IF(OR($J42="",$F42="不适用"),"",IFERROR(INDEX(_怪物模型!$F$2:$F$4501,(INT($J42)-1)*ROWS(_怪物类型!$A$2:$A$10)+MATCH($F42,_怪物类型!$A$2:$A$10,0))*IF($M42="",1,$M42),""))</f>
        <v>2560</v>
      </c>
      <c r="V42" s="6">
        <f t="shared" si="19"/>
        <v>0.0963855421686747</v>
      </c>
      <c r="W42" s="24">
        <f t="shared" si="20"/>
        <v>8744.216</v>
      </c>
      <c r="X42" s="18">
        <f t="shared" si="21"/>
        <v>0.573799693380015</v>
      </c>
      <c r="Y42" s="18">
        <f t="shared" si="22"/>
        <v>23.0929535536867</v>
      </c>
      <c r="Z42" s="18">
        <f t="shared" si="23"/>
        <v>1.25183433577823</v>
      </c>
      <c r="AA42" t="str">
        <f t="shared" si="24"/>
        <v>偏难</v>
      </c>
      <c r="AB42" t="str">
        <f t="shared" si="25"/>
        <v>有效</v>
      </c>
      <c r="AC42" t="str">
        <f t="shared" ref="AC41:AC75" si="26">IF(C42&lt;&gt;C41,"新玩法组",IF(J42&gt;=J41,"不降","回退"))</f>
        <v>不降</v>
      </c>
      <c r="AD42" t="s">
        <v>5887</v>
      </c>
      <c r="AE42" s="4">
        <v>19800</v>
      </c>
      <c r="AF42" s="4">
        <f>INDEX(_统一战力!$B$2:$B$501,J42)</f>
        <v>21400</v>
      </c>
    </row>
    <row r="43" spans="1:32">
      <c r="A43" t="s">
        <v>5548</v>
      </c>
      <c r="B43" t="s">
        <v>5804</v>
      </c>
      <c r="C43" t="s">
        <v>5856</v>
      </c>
      <c r="D43" t="s">
        <v>5888</v>
      </c>
      <c r="E43" t="s">
        <v>5889</v>
      </c>
      <c r="F43" t="s">
        <v>154</v>
      </c>
      <c r="G43">
        <v>19</v>
      </c>
      <c r="I43">
        <f t="shared" si="18"/>
        <v>19</v>
      </c>
      <c r="J43">
        <v>35</v>
      </c>
      <c r="K43" s="23">
        <v>1.3</v>
      </c>
      <c r="L43" s="23">
        <v>1.3</v>
      </c>
      <c r="M43" s="23">
        <v>1</v>
      </c>
      <c r="N43">
        <v>1</v>
      </c>
      <c r="O43">
        <v>1</v>
      </c>
      <c r="P43" s="18">
        <v>0.460828933017874</v>
      </c>
      <c r="Q43" s="24">
        <f>IF($I43="","",IFERROR(INDEX(_玩家曲线!$H$2:$H$286,MATCH($I43,_玩家曲线!$A$2:$A$286,0)),""))</f>
        <v>16577.1744599968</v>
      </c>
      <c r="R43" s="24">
        <f>IF($I43="","",IFERROR(INDEX(_玩家曲线!$I$2:$I$286,MATCH($I43,_玩家曲线!$A$2:$A$286,0)),""))</f>
        <v>53663.6446921413</v>
      </c>
      <c r="S43" s="24">
        <f>IF(OR($J43="",$F43="不适用"),"",IFERROR(INDEX(_怪物模型!$D$2:$D$4501,(INT($J43)-1)*ROWS(_怪物类型!$A$2:$A$10)+MATCH($F43,_怪物类型!$A$2:$A$10,0))*IF($K43="",1,$K43),""))</f>
        <v>8611.2</v>
      </c>
      <c r="T43" s="24">
        <f>IF(OR($J43="",$F43="不适用"),"",IFERROR(INDEX(_怪物模型!$E$2:$E$4501,(INT($J43)-1)*ROWS(_怪物类型!$A$2:$A$10)+MATCH($F43,_怪物类型!$A$2:$A$10,0))*IF($L43="",1,$L43),""))</f>
        <v>2323.1</v>
      </c>
      <c r="U43" s="24">
        <f>IF(OR($J43="",$F43="不适用"),"",IFERROR(INDEX(_怪物模型!$F$2:$F$4501,(INT($J43)-1)*ROWS(_怪物类型!$A$2:$A$10)+MATCH($F43,_怪物类型!$A$2:$A$10,0))*IF($M43="",1,$M43),""))</f>
        <v>2723</v>
      </c>
      <c r="V43" s="6">
        <f t="shared" si="19"/>
        <v>0.101897242076114</v>
      </c>
      <c r="W43" s="24">
        <f t="shared" si="20"/>
        <v>9588.2124</v>
      </c>
      <c r="X43" s="18">
        <f t="shared" si="21"/>
        <v>0.578398473342836</v>
      </c>
      <c r="Y43" s="18">
        <f t="shared" si="22"/>
        <v>23.1000149335549</v>
      </c>
      <c r="Z43" s="18">
        <f t="shared" si="23"/>
        <v>1.25512621257312</v>
      </c>
      <c r="AA43" t="str">
        <f t="shared" si="24"/>
        <v>偏难</v>
      </c>
      <c r="AB43" t="str">
        <f t="shared" si="25"/>
        <v>有效</v>
      </c>
      <c r="AC43" t="str">
        <f t="shared" si="26"/>
        <v>不降</v>
      </c>
      <c r="AD43" t="s">
        <v>5890</v>
      </c>
      <c r="AE43" s="4">
        <v>19800</v>
      </c>
      <c r="AF43" s="4">
        <f>INDEX(_统一战力!$B$2:$B$501,J43)</f>
        <v>23100</v>
      </c>
    </row>
    <row r="44" spans="1:32">
      <c r="A44" t="s">
        <v>5548</v>
      </c>
      <c r="B44" t="s">
        <v>5804</v>
      </c>
      <c r="C44" t="s">
        <v>5856</v>
      </c>
      <c r="D44" t="s">
        <v>5891</v>
      </c>
      <c r="E44" t="s">
        <v>5892</v>
      </c>
      <c r="F44" t="s">
        <v>154</v>
      </c>
      <c r="G44">
        <v>20</v>
      </c>
      <c r="I44">
        <f t="shared" si="18"/>
        <v>20</v>
      </c>
      <c r="J44">
        <v>38</v>
      </c>
      <c r="K44" s="23">
        <v>1.3</v>
      </c>
      <c r="L44" s="23">
        <v>1.3</v>
      </c>
      <c r="M44" s="23">
        <v>1</v>
      </c>
      <c r="N44">
        <v>1</v>
      </c>
      <c r="O44">
        <v>1</v>
      </c>
      <c r="P44" s="18">
        <v>0.471401392658733</v>
      </c>
      <c r="Q44" s="24">
        <f>IF($I44="","",IFERROR(INDEX(_玩家曲线!$H$2:$H$286,MATCH($I44,_玩家曲线!$A$2:$A$286,0)),""))</f>
        <v>18422.0658556409</v>
      </c>
      <c r="R44" s="24">
        <f>IF($I44="","",IFERROR(INDEX(_玩家曲线!$I$2:$I$286,MATCH($I44,_玩家曲线!$A$2:$A$286,0)),""))</f>
        <v>58659.1211219852</v>
      </c>
      <c r="S44" s="24">
        <f>IF(OR($J44="",$F44="不适用"),"",IFERROR(INDEX(_怪物模型!$D$2:$D$4501,(INT($J44)-1)*ROWS(_怪物类型!$A$2:$A$10)+MATCH($F44,_怪物类型!$A$2:$A$10,0))*IF($K44="",1,$K44),""))</f>
        <v>9725.3</v>
      </c>
      <c r="T44" s="24">
        <f>IF(OR($J44="",$F44="不适用"),"",IFERROR(INDEX(_怪物模型!$E$2:$E$4501,(INT($J44)-1)*ROWS(_怪物类型!$A$2:$A$10)+MATCH($F44,_怪物类型!$A$2:$A$10,0))*IF($L44="",1,$L44),""))</f>
        <v>2551.9</v>
      </c>
      <c r="U44" s="24">
        <f>IF(OR($J44="",$F44="不适用"),"",IFERROR(INDEX(_怪物模型!$F$2:$F$4501,(INT($J44)-1)*ROWS(_怪物类型!$A$2:$A$10)+MATCH($F44,_怪物类型!$A$2:$A$10,0))*IF($M44="",1,$M44),""))</f>
        <v>2969</v>
      </c>
      <c r="V44" s="6">
        <f t="shared" si="19"/>
        <v>0.110089361859913</v>
      </c>
      <c r="W44" s="24">
        <f t="shared" si="20"/>
        <v>10928.4006541667</v>
      </c>
      <c r="X44" s="18">
        <f t="shared" si="21"/>
        <v>0.59322340609375</v>
      </c>
      <c r="Y44" s="18">
        <f t="shared" si="22"/>
        <v>22.9864497519437</v>
      </c>
      <c r="Z44" s="18">
        <f t="shared" si="23"/>
        <v>1.25842523024366</v>
      </c>
      <c r="AA44" t="str">
        <f t="shared" si="24"/>
        <v>偏难</v>
      </c>
      <c r="AB44" t="str">
        <f t="shared" si="25"/>
        <v>有效</v>
      </c>
      <c r="AC44" t="str">
        <f t="shared" si="26"/>
        <v>不降</v>
      </c>
      <c r="AD44" t="s">
        <v>5893</v>
      </c>
      <c r="AE44" s="4">
        <v>23100</v>
      </c>
      <c r="AF44" s="4">
        <f>INDEX(_统一战力!$B$2:$B$501,J44)</f>
        <v>27800</v>
      </c>
    </row>
    <row r="45" spans="1:32">
      <c r="A45" t="s">
        <v>5548</v>
      </c>
      <c r="B45" t="s">
        <v>5804</v>
      </c>
      <c r="C45" t="s">
        <v>5856</v>
      </c>
      <c r="D45" t="s">
        <v>5894</v>
      </c>
      <c r="E45" t="s">
        <v>5895</v>
      </c>
      <c r="F45" t="s">
        <v>154</v>
      </c>
      <c r="G45">
        <v>22</v>
      </c>
      <c r="I45">
        <f t="shared" si="18"/>
        <v>22</v>
      </c>
      <c r="J45">
        <v>41</v>
      </c>
      <c r="K45" s="23">
        <v>1.3</v>
      </c>
      <c r="L45" s="23">
        <v>1.3</v>
      </c>
      <c r="M45" s="23">
        <v>1</v>
      </c>
      <c r="N45">
        <v>1</v>
      </c>
      <c r="O45">
        <v>1</v>
      </c>
      <c r="P45" s="18">
        <v>0.438221292377313</v>
      </c>
      <c r="Q45" s="24">
        <f>IF($I45="","",IFERROR(INDEX(_玩家曲线!$H$2:$H$286,MATCH($I45,_玩家曲线!$A$2:$A$286,0)),""))</f>
        <v>22243.9427367402</v>
      </c>
      <c r="R45" s="24">
        <f>IF($I45="","",IFERROR(INDEX(_玩家曲线!$I$2:$I$286,MATCH($I45,_玩家曲线!$A$2:$A$286,0)),""))</f>
        <v>68767.7036174873</v>
      </c>
      <c r="S45" s="24">
        <f>IF(OR($J45="",$F45="不适用"),"",IFERROR(INDEX(_怪物模型!$D$2:$D$4501,(INT($J45)-1)*ROWS(_怪物类型!$A$2:$A$10)+MATCH($F45,_怪物类型!$A$2:$A$10,0))*IF($K45="",1,$K45),""))</f>
        <v>10901.8</v>
      </c>
      <c r="T45" s="24">
        <f>IF(OR($J45="",$F45="不适用"),"",IFERROR(INDEX(_怪物模型!$E$2:$E$4501,(INT($J45)-1)*ROWS(_怪物类型!$A$2:$A$10)+MATCH($F45,_怪物类型!$A$2:$A$10,0))*IF($L45="",1,$L45),""))</f>
        <v>2787.2</v>
      </c>
      <c r="U45" s="24">
        <f>IF(OR($J45="",$F45="不适用"),"",IFERROR(INDEX(_怪物模型!$F$2:$F$4501,(INT($J45)-1)*ROWS(_怪物类型!$A$2:$A$10)+MATCH($F45,_怪物类型!$A$2:$A$10,0))*IF($M45="",1,$M45),""))</f>
        <v>3218</v>
      </c>
      <c r="V45" s="6">
        <f t="shared" si="19"/>
        <v>0.118230582702623</v>
      </c>
      <c r="W45" s="24">
        <f t="shared" si="20"/>
        <v>12363.5496833333</v>
      </c>
      <c r="X45" s="18">
        <f t="shared" si="21"/>
        <v>0.555816467865318</v>
      </c>
      <c r="Y45" s="18">
        <f t="shared" si="22"/>
        <v>24.6726835596611</v>
      </c>
      <c r="Z45" s="18">
        <f t="shared" si="23"/>
        <v>1.2683465580827</v>
      </c>
      <c r="AA45" t="str">
        <f t="shared" si="24"/>
        <v>偏难</v>
      </c>
      <c r="AB45" t="str">
        <f t="shared" si="25"/>
        <v>有效</v>
      </c>
      <c r="AC45" t="str">
        <f t="shared" si="26"/>
        <v>不降</v>
      </c>
      <c r="AD45" t="s">
        <v>5896</v>
      </c>
      <c r="AE45" s="4">
        <v>25400</v>
      </c>
      <c r="AF45" s="4">
        <f>INDEX(_统一战力!$B$2:$B$501,J45)</f>
        <v>30200</v>
      </c>
    </row>
    <row r="46" spans="1:32">
      <c r="A46" t="s">
        <v>5548</v>
      </c>
      <c r="B46" t="s">
        <v>5804</v>
      </c>
      <c r="C46" t="s">
        <v>5856</v>
      </c>
      <c r="D46" t="s">
        <v>5897</v>
      </c>
      <c r="E46" t="s">
        <v>5898</v>
      </c>
      <c r="F46" t="s">
        <v>154</v>
      </c>
      <c r="G46">
        <v>23</v>
      </c>
      <c r="I46">
        <f t="shared" si="18"/>
        <v>23</v>
      </c>
      <c r="J46">
        <v>43</v>
      </c>
      <c r="K46" s="23">
        <v>1.3</v>
      </c>
      <c r="L46" s="23">
        <v>1.3</v>
      </c>
      <c r="M46" s="23">
        <v>1</v>
      </c>
      <c r="N46">
        <v>1</v>
      </c>
      <c r="O46">
        <v>1</v>
      </c>
      <c r="P46" s="18">
        <v>0.432080722084332</v>
      </c>
      <c r="Q46" s="24">
        <f>IF($I46="","",IFERROR(INDEX(_玩家曲线!$H$2:$H$286,MATCH($I46,_玩家曲线!$A$2:$A$286,0)),""))</f>
        <v>24342.4922848202</v>
      </c>
      <c r="R46" s="24">
        <f>IF($I46="","",IFERROR(INDEX(_玩家曲线!$I$2:$I$286,MATCH($I46,_玩家曲线!$A$2:$A$286,0)),""))</f>
        <v>74170.6710651302</v>
      </c>
      <c r="S46" s="24">
        <f>IF(OR($J46="",$F46="不适用"),"",IFERROR(INDEX(_怪物模型!$D$2:$D$4501,(INT($J46)-1)*ROWS(_怪物类型!$A$2:$A$10)+MATCH($F46,_怪物类型!$A$2:$A$10,0))*IF($K46="",1,$K46),""))</f>
        <v>11719.5</v>
      </c>
      <c r="T46" s="24">
        <f>IF(OR($J46="",$F46="不适用"),"",IFERROR(INDEX(_怪物模型!$E$2:$E$4501,(INT($J46)-1)*ROWS(_怪物类型!$A$2:$A$10)+MATCH($F46,_怪物类型!$A$2:$A$10,0))*IF($L46="",1,$L46),""))</f>
        <v>2947.1</v>
      </c>
      <c r="U46" s="24">
        <f>IF(OR($J46="",$F46="不适用"),"",IFERROR(INDEX(_怪物模型!$F$2:$F$4501,(INT($J46)-1)*ROWS(_怪物类型!$A$2:$A$10)+MATCH($F46,_怪物类型!$A$2:$A$10,0))*IF($M46="",1,$M46),""))</f>
        <v>3384</v>
      </c>
      <c r="V46" s="6">
        <f t="shared" si="19"/>
        <v>0.123575810692375</v>
      </c>
      <c r="W46" s="24">
        <f t="shared" si="20"/>
        <v>13371.9495</v>
      </c>
      <c r="X46" s="18">
        <f t="shared" si="21"/>
        <v>0.549325407749586</v>
      </c>
      <c r="Y46" s="18">
        <f t="shared" si="22"/>
        <v>25.1673411370942</v>
      </c>
      <c r="Z46" s="18">
        <f t="shared" si="23"/>
        <v>1.2713490319579</v>
      </c>
      <c r="AA46" t="str">
        <f t="shared" si="24"/>
        <v>偏难</v>
      </c>
      <c r="AB46" t="str">
        <f t="shared" si="25"/>
        <v>有效</v>
      </c>
      <c r="AC46" t="str">
        <f t="shared" si="26"/>
        <v>不降</v>
      </c>
      <c r="AD46" t="s">
        <v>5899</v>
      </c>
      <c r="AE46" s="4">
        <v>27800</v>
      </c>
      <c r="AF46" s="4">
        <f>INDEX(_统一战力!$B$2:$B$501,J46)</f>
        <v>32800</v>
      </c>
    </row>
    <row r="47" spans="1:32">
      <c r="A47" t="s">
        <v>5548</v>
      </c>
      <c r="B47" t="s">
        <v>5804</v>
      </c>
      <c r="C47" t="s">
        <v>5856</v>
      </c>
      <c r="D47" t="s">
        <v>5900</v>
      </c>
      <c r="E47">
        <v>150210</v>
      </c>
      <c r="F47" t="s">
        <v>154</v>
      </c>
      <c r="G47">
        <v>24</v>
      </c>
      <c r="I47">
        <f t="shared" si="18"/>
        <v>24</v>
      </c>
      <c r="J47">
        <v>44</v>
      </c>
      <c r="K47" s="23">
        <v>1.3</v>
      </c>
      <c r="L47" s="23">
        <v>1.3</v>
      </c>
      <c r="M47" s="23">
        <v>1</v>
      </c>
      <c r="N47">
        <v>1</v>
      </c>
      <c r="O47">
        <v>1</v>
      </c>
      <c r="P47" s="18">
        <v>0.432080722084332</v>
      </c>
      <c r="Q47" s="24">
        <f>IF($I47="","",IFERROR(INDEX(_玩家曲线!$H$2:$H$286,MATCH($I47,_玩家曲线!$A$2:$A$286,0)),""))</f>
        <v>26573.2561562461</v>
      </c>
      <c r="R47" s="24">
        <f>IF($I47="","",IFERROR(INDEX(_玩家曲线!$I$2:$I$286,MATCH($I47,_玩家曲线!$A$2:$A$286,0)),""))</f>
        <v>79813.0282432992</v>
      </c>
      <c r="S47" s="24">
        <f>IF(OR($J47="",$F47="不适用"),"",IFERROR(INDEX(_怪物模型!$D$2:$D$4501,(INT($J47)-1)*ROWS(_怪物类型!$A$2:$A$10)+MATCH($F47,_怪物类型!$A$2:$A$10,0))*IF($K47="",1,$K47),""))</f>
        <v>12139.4</v>
      </c>
      <c r="T47" s="24">
        <f>IF(OR($J47="",$F47="不适用"),"",IFERROR(INDEX(_怪物模型!$E$2:$E$4501,(INT($J47)-1)*ROWS(_怪物类型!$A$2:$A$10)+MATCH($F47,_怪物类型!$A$2:$A$10,0))*IF($L47="",1,$L47),""))</f>
        <v>3027.7</v>
      </c>
      <c r="U47" s="24">
        <f>IF(OR($J47="",$F47="不适用"),"",IFERROR(INDEX(_怪物模型!$F$2:$F$4501,(INT($J47)-1)*ROWS(_怪物类型!$A$2:$A$10)+MATCH($F47,_怪物类型!$A$2:$A$10,0))*IF($M47="",1,$M47),""))</f>
        <v>3468</v>
      </c>
      <c r="V47" s="6">
        <f t="shared" si="19"/>
        <v>0.126256006989952</v>
      </c>
      <c r="W47" s="24">
        <f t="shared" si="20"/>
        <v>13893.5433</v>
      </c>
      <c r="X47" s="18">
        <f t="shared" si="21"/>
        <v>0.522839324556554</v>
      </c>
      <c r="Y47" s="18">
        <f t="shared" si="22"/>
        <v>26.3609433706441</v>
      </c>
      <c r="Z47" s="18">
        <f t="shared" si="23"/>
        <v>1.21005010830941</v>
      </c>
      <c r="AA47" t="str">
        <f t="shared" si="24"/>
        <v>偏难</v>
      </c>
      <c r="AB47" t="str">
        <f t="shared" si="25"/>
        <v>有效</v>
      </c>
      <c r="AC47" t="str">
        <f t="shared" si="26"/>
        <v>不降</v>
      </c>
      <c r="AE47" s="4">
        <v>27800</v>
      </c>
      <c r="AF47" s="4">
        <f>INDEX(_统一战力!$B$2:$B$501,J47)</f>
        <v>32800</v>
      </c>
    </row>
    <row r="48" spans="1:32">
      <c r="A48" t="s">
        <v>5548</v>
      </c>
      <c r="B48" t="s">
        <v>5804</v>
      </c>
      <c r="C48" t="s">
        <v>5856</v>
      </c>
      <c r="D48" t="s">
        <v>5901</v>
      </c>
      <c r="E48">
        <v>150211</v>
      </c>
      <c r="F48" t="s">
        <v>154</v>
      </c>
      <c r="G48">
        <v>25</v>
      </c>
      <c r="I48">
        <f t="shared" si="18"/>
        <v>25</v>
      </c>
      <c r="J48">
        <v>45</v>
      </c>
      <c r="K48" s="23">
        <v>1.3</v>
      </c>
      <c r="L48" s="23">
        <v>1.3</v>
      </c>
      <c r="M48" s="23">
        <v>1</v>
      </c>
      <c r="N48">
        <v>1</v>
      </c>
      <c r="O48">
        <v>1</v>
      </c>
      <c r="P48" s="18">
        <v>0.432080722084332</v>
      </c>
      <c r="Q48" s="24">
        <f>IF($I48="","",IFERROR(INDEX(_玩家曲线!$H$2:$H$286,MATCH($I48,_玩家曲线!$A$2:$A$286,0)),""))</f>
        <v>28151.9107154301</v>
      </c>
      <c r="R48" s="24">
        <f>IF($I48="","",IFERROR(INDEX(_玩家曲线!$I$2:$I$286,MATCH($I48,_玩家曲线!$A$2:$A$286,0)),""))</f>
        <v>83890.0209961095</v>
      </c>
      <c r="S48" s="24">
        <f>IF(OR($J48="",$F48="不适用"),"",IFERROR(INDEX(_怪物模型!$D$2:$D$4501,(INT($J48)-1)*ROWS(_怪物类型!$A$2:$A$10)+MATCH($F48,_怪物类型!$A$2:$A$10,0))*IF($K48="",1,$K48),""))</f>
        <v>12565.8</v>
      </c>
      <c r="T48" s="24">
        <f>IF(OR($J48="",$F48="不适用"),"",IFERROR(INDEX(_怪物模型!$E$2:$E$4501,(INT($J48)-1)*ROWS(_怪物类型!$A$2:$A$10)+MATCH($F48,_怪物类型!$A$2:$A$10,0))*IF($L48="",1,$L48),""))</f>
        <v>3109.6</v>
      </c>
      <c r="U48" s="24">
        <f>IF(OR($J48="",$F48="不适用"),"",IFERROR(INDEX(_怪物模型!$F$2:$F$4501,(INT($J48)-1)*ROWS(_怪物类型!$A$2:$A$10)+MATCH($F48,_怪物类型!$A$2:$A$10,0))*IF($M48="",1,$M48),""))</f>
        <v>3552</v>
      </c>
      <c r="V48" s="6">
        <f t="shared" si="19"/>
        <v>0.128919860627178</v>
      </c>
      <c r="W48" s="24">
        <f t="shared" si="20"/>
        <v>14425.5384</v>
      </c>
      <c r="X48" s="18">
        <f t="shared" si="21"/>
        <v>0.51241773767396</v>
      </c>
      <c r="Y48" s="18">
        <f t="shared" si="22"/>
        <v>26.9777530859627</v>
      </c>
      <c r="Z48" s="18">
        <f t="shared" si="23"/>
        <v>1.18593057149619</v>
      </c>
      <c r="AA48" t="str">
        <f t="shared" si="24"/>
        <v>适中</v>
      </c>
      <c r="AB48" t="str">
        <f t="shared" si="25"/>
        <v>有效</v>
      </c>
      <c r="AC48" t="str">
        <f t="shared" si="26"/>
        <v>不降</v>
      </c>
      <c r="AE48" s="4">
        <v>27800</v>
      </c>
      <c r="AF48" s="4">
        <f>INDEX(_统一战力!$B$2:$B$501,J48)</f>
        <v>35500</v>
      </c>
    </row>
    <row r="49" spans="1:32">
      <c r="A49" t="s">
        <v>5548</v>
      </c>
      <c r="B49" t="s">
        <v>5804</v>
      </c>
      <c r="C49" t="s">
        <v>5856</v>
      </c>
      <c r="D49" t="s">
        <v>5902</v>
      </c>
      <c r="E49">
        <v>150212</v>
      </c>
      <c r="F49" t="s">
        <v>154</v>
      </c>
      <c r="G49">
        <v>26</v>
      </c>
      <c r="I49">
        <f t="shared" si="18"/>
        <v>26</v>
      </c>
      <c r="J49">
        <v>46</v>
      </c>
      <c r="K49" s="23">
        <v>1.3</v>
      </c>
      <c r="L49" s="23">
        <v>1.3</v>
      </c>
      <c r="M49" s="23">
        <v>1</v>
      </c>
      <c r="N49">
        <v>1</v>
      </c>
      <c r="O49">
        <v>1</v>
      </c>
      <c r="P49" s="18">
        <v>0.432080722084332</v>
      </c>
      <c r="Q49" s="24">
        <f>IF($I49="","",IFERROR(INDEX(_玩家曲线!$H$2:$H$286,MATCH($I49,_玩家曲线!$A$2:$A$286,0)),""))</f>
        <v>29761.1521947349</v>
      </c>
      <c r="R49" s="24">
        <f>IF($I49="","",IFERROR(INDEX(_玩家曲线!$I$2:$I$286,MATCH($I49,_玩家曲线!$A$2:$A$286,0)),""))</f>
        <v>88019.0522964827</v>
      </c>
      <c r="S49" s="24">
        <f>IF(OR($J49="",$F49="不适用"),"",IFERROR(INDEX(_怪物模型!$D$2:$D$4501,(INT($J49)-1)*ROWS(_怪物类型!$A$2:$A$10)+MATCH($F49,_怪物类型!$A$2:$A$10,0))*IF($K49="",1,$K49),""))</f>
        <v>12998.7</v>
      </c>
      <c r="T49" s="24">
        <f>IF(OR($J49="",$F49="不适用"),"",IFERROR(INDEX(_怪物模型!$E$2:$E$4501,(INT($J49)-1)*ROWS(_怪物类型!$A$2:$A$10)+MATCH($F49,_怪物类型!$A$2:$A$10,0))*IF($L49="",1,$L49),""))</f>
        <v>3191.5</v>
      </c>
      <c r="U49" s="24">
        <f>IF(OR($J49="",$F49="不适用"),"",IFERROR(INDEX(_怪物模型!$F$2:$F$4501,(INT($J49)-1)*ROWS(_怪物类型!$A$2:$A$10)+MATCH($F49,_怪物类型!$A$2:$A$10,0))*IF($M49="",1,$M49),""))</f>
        <v>3636</v>
      </c>
      <c r="V49" s="6">
        <f t="shared" si="19"/>
        <v>0.131567520625271</v>
      </c>
      <c r="W49" s="24">
        <f t="shared" si="20"/>
        <v>14968.00305</v>
      </c>
      <c r="X49" s="18">
        <f t="shared" si="21"/>
        <v>0.502937619889865</v>
      </c>
      <c r="Y49" s="18">
        <f t="shared" si="22"/>
        <v>27.5792111221942</v>
      </c>
      <c r="Z49" s="18">
        <f t="shared" si="23"/>
        <v>1.16398995415422</v>
      </c>
      <c r="AA49" t="str">
        <f t="shared" si="24"/>
        <v>适中</v>
      </c>
      <c r="AB49" t="str">
        <f t="shared" si="25"/>
        <v>有效</v>
      </c>
      <c r="AC49" t="str">
        <f t="shared" si="26"/>
        <v>不降</v>
      </c>
      <c r="AE49" s="4">
        <v>30200</v>
      </c>
      <c r="AF49" s="4">
        <f>INDEX(_统一战力!$B$2:$B$501,J49)</f>
        <v>35500</v>
      </c>
    </row>
    <row r="50" spans="1:32">
      <c r="A50" t="s">
        <v>5548</v>
      </c>
      <c r="B50" t="s">
        <v>5804</v>
      </c>
      <c r="C50" t="s">
        <v>5856</v>
      </c>
      <c r="D50" t="s">
        <v>5900</v>
      </c>
      <c r="E50">
        <v>150213</v>
      </c>
      <c r="F50" t="s">
        <v>154</v>
      </c>
      <c r="G50">
        <v>27</v>
      </c>
      <c r="I50">
        <f t="shared" si="18"/>
        <v>27</v>
      </c>
      <c r="J50">
        <v>47</v>
      </c>
      <c r="K50" s="23">
        <v>1.3</v>
      </c>
      <c r="L50" s="23">
        <v>1.3</v>
      </c>
      <c r="M50" s="23">
        <v>1</v>
      </c>
      <c r="N50">
        <v>1</v>
      </c>
      <c r="O50">
        <v>1</v>
      </c>
      <c r="P50" s="18">
        <v>0.432080722084332</v>
      </c>
      <c r="Q50" s="24">
        <f>IF($I50="","",IFERROR(INDEX(_玩家曲线!$H$2:$H$286,MATCH($I50,_玩家曲线!$A$2:$A$286,0)),""))</f>
        <v>31434.3368316531</v>
      </c>
      <c r="R50" s="24">
        <f>IF($I50="","",IFERROR(INDEX(_玩家曲线!$I$2:$I$286,MATCH($I50,_玩家曲线!$A$2:$A$286,0)),""))</f>
        <v>92272.4866090822</v>
      </c>
      <c r="S50" s="24">
        <f>IF(OR($J50="",$F50="不适用"),"",IFERROR(INDEX(_怪物模型!$D$2:$D$4501,(INT($J50)-1)*ROWS(_怪物类型!$A$2:$A$10)+MATCH($F50,_怪物类型!$A$2:$A$10,0))*IF($K50="",1,$K50),""))</f>
        <v>13439.4</v>
      </c>
      <c r="T50" s="24">
        <f>IF(OR($J50="",$F50="不适用"),"",IFERROR(INDEX(_怪物模型!$E$2:$E$4501,(INT($J50)-1)*ROWS(_怪物类型!$A$2:$A$10)+MATCH($F50,_怪物类型!$A$2:$A$10,0))*IF($L50="",1,$L50),""))</f>
        <v>3274.7</v>
      </c>
      <c r="U50" s="24">
        <f>IF(OR($J50="",$F50="不适用"),"",IFERROR(INDEX(_怪物模型!$F$2:$F$4501,(INT($J50)-1)*ROWS(_怪物类型!$A$2:$A$10)+MATCH($F50,_怪物类型!$A$2:$A$10,0))*IF($M50="",1,$M50),""))</f>
        <v>3721</v>
      </c>
      <c r="V50" s="6">
        <f t="shared" si="19"/>
        <v>0.134230366869882</v>
      </c>
      <c r="W50" s="24">
        <f t="shared" si="20"/>
        <v>15523.066975</v>
      </c>
      <c r="X50" s="18">
        <f t="shared" si="21"/>
        <v>0.493825177802666</v>
      </c>
      <c r="Y50" s="18">
        <f t="shared" si="22"/>
        <v>28.1773862060898</v>
      </c>
      <c r="Z50" s="18">
        <f t="shared" si="23"/>
        <v>1.14290027895825</v>
      </c>
      <c r="AA50" t="str">
        <f t="shared" si="24"/>
        <v>适中</v>
      </c>
      <c r="AB50" t="str">
        <f t="shared" si="25"/>
        <v>有效</v>
      </c>
      <c r="AC50" t="str">
        <f t="shared" si="26"/>
        <v>不降</v>
      </c>
      <c r="AE50" s="4">
        <v>30200</v>
      </c>
      <c r="AF50" s="4">
        <f>INDEX(_统一战力!$B$2:$B$501,J50)</f>
        <v>41300</v>
      </c>
    </row>
    <row r="51" spans="1:32">
      <c r="A51" t="s">
        <v>5548</v>
      </c>
      <c r="B51" t="s">
        <v>5804</v>
      </c>
      <c r="C51" t="s">
        <v>5856</v>
      </c>
      <c r="D51" t="s">
        <v>5901</v>
      </c>
      <c r="E51">
        <v>150214</v>
      </c>
      <c r="F51" t="s">
        <v>154</v>
      </c>
      <c r="G51">
        <v>28</v>
      </c>
      <c r="I51">
        <f t="shared" si="18"/>
        <v>28</v>
      </c>
      <c r="J51">
        <v>48</v>
      </c>
      <c r="K51" s="23">
        <v>1.3</v>
      </c>
      <c r="L51" s="23">
        <v>1.3</v>
      </c>
      <c r="M51" s="23">
        <v>1</v>
      </c>
      <c r="N51">
        <v>1</v>
      </c>
      <c r="O51">
        <v>1</v>
      </c>
      <c r="P51" s="18">
        <v>0.432080722084332</v>
      </c>
      <c r="Q51" s="24">
        <f>IF($I51="","",IFERROR(INDEX(_玩家曲线!$H$2:$H$286,MATCH($I51,_玩家曲线!$A$2:$A$286,0)),""))</f>
        <v>33173.1132173505</v>
      </c>
      <c r="R51" s="24">
        <f>IF($I51="","",IFERROR(INDEX(_玩家曲线!$I$2:$I$286,MATCH($I51,_玩家曲线!$A$2:$A$286,0)),""))</f>
        <v>96652.1731893591</v>
      </c>
      <c r="S51" s="24">
        <f>IF(OR($J51="",$F51="不适用"),"",IFERROR(INDEX(_怪物模型!$D$2:$D$4501,(INT($J51)-1)*ROWS(_怪物类型!$A$2:$A$10)+MATCH($F51,_怪物类型!$A$2:$A$10,0))*IF($K51="",1,$K51),""))</f>
        <v>13887.9</v>
      </c>
      <c r="T51" s="24">
        <f>IF(OR($J51="",$F51="不适用"),"",IFERROR(INDEX(_怪物模型!$E$2:$E$4501,(INT($J51)-1)*ROWS(_怪物类型!$A$2:$A$10)+MATCH($F51,_怪物类型!$A$2:$A$10,0))*IF($L51="",1,$L51),""))</f>
        <v>3356.6</v>
      </c>
      <c r="U51" s="24">
        <f>IF(OR($J51="",$F51="不适用"),"",IFERROR(INDEX(_怪物模型!$F$2:$F$4501,(INT($J51)-1)*ROWS(_怪物类型!$A$2:$A$10)+MATCH($F51,_怪物类型!$A$2:$A$10,0))*IF($M51="",1,$M51),""))</f>
        <v>3805</v>
      </c>
      <c r="V51" s="6">
        <f t="shared" si="19"/>
        <v>0.136845891026794</v>
      </c>
      <c r="W51" s="24">
        <f t="shared" si="20"/>
        <v>16089.7108125</v>
      </c>
      <c r="X51" s="18">
        <f t="shared" si="21"/>
        <v>0.485022635864174</v>
      </c>
      <c r="Y51" s="18">
        <f t="shared" si="22"/>
        <v>28.7946651937553</v>
      </c>
      <c r="Z51" s="18">
        <f t="shared" si="23"/>
        <v>1.12252783119889</v>
      </c>
      <c r="AA51" t="str">
        <f t="shared" si="24"/>
        <v>适中</v>
      </c>
      <c r="AB51" t="str">
        <f t="shared" si="25"/>
        <v>有效</v>
      </c>
      <c r="AC51" t="str">
        <f t="shared" si="26"/>
        <v>不降</v>
      </c>
      <c r="AE51" s="4">
        <v>30200</v>
      </c>
      <c r="AF51" s="4">
        <f>INDEX(_统一战力!$B$2:$B$501,J51)</f>
        <v>41300</v>
      </c>
    </row>
    <row r="52" spans="1:32">
      <c r="A52" t="s">
        <v>5548</v>
      </c>
      <c r="B52" t="s">
        <v>5804</v>
      </c>
      <c r="C52" t="s">
        <v>5856</v>
      </c>
      <c r="D52" t="s">
        <v>5902</v>
      </c>
      <c r="E52">
        <v>150215</v>
      </c>
      <c r="F52" t="s">
        <v>154</v>
      </c>
      <c r="G52">
        <v>29</v>
      </c>
      <c r="I52">
        <f t="shared" si="18"/>
        <v>29</v>
      </c>
      <c r="J52">
        <v>49</v>
      </c>
      <c r="K52" s="23">
        <v>1.3</v>
      </c>
      <c r="L52" s="23">
        <v>1.3</v>
      </c>
      <c r="M52" s="23">
        <v>1</v>
      </c>
      <c r="N52">
        <v>1</v>
      </c>
      <c r="O52">
        <v>1</v>
      </c>
      <c r="P52" s="18">
        <v>0.432080722084332</v>
      </c>
      <c r="Q52" s="24">
        <f>IF($I52="","",IFERROR(INDEX(_玩家曲线!$H$2:$H$286,MATCH($I52,_玩家曲线!$A$2:$A$286,0)),""))</f>
        <v>34979.1578961386</v>
      </c>
      <c r="R52" s="24">
        <f>IF($I52="","",IFERROR(INDEX(_玩家曲线!$I$2:$I$286,MATCH($I52,_玩家曲线!$A$2:$A$286,0)),""))</f>
        <v>101159.979251687</v>
      </c>
      <c r="S52" s="24">
        <f>IF(OR($J52="",$F52="不适用"),"",IFERROR(INDEX(_怪物模型!$D$2:$D$4501,(INT($J52)-1)*ROWS(_怪物类型!$A$2:$A$10)+MATCH($F52,_怪物类型!$A$2:$A$10,0))*IF($K52="",1,$K52),""))</f>
        <v>14342.9</v>
      </c>
      <c r="T52" s="24">
        <f>IF(OR($J52="",$F52="不适用"),"",IFERROR(INDEX(_怪物模型!$E$2:$E$4501,(INT($J52)-1)*ROWS(_怪物类型!$A$2:$A$10)+MATCH($F52,_怪物类型!$A$2:$A$10,0))*IF($L52="",1,$L52),""))</f>
        <v>3441.1</v>
      </c>
      <c r="U52" s="24">
        <f>IF(OR($J52="",$F52="不适用"),"",IFERROR(INDEX(_怪物模型!$F$2:$F$4501,(INT($J52)-1)*ROWS(_怪物类型!$A$2:$A$10)+MATCH($F52,_怪物类型!$A$2:$A$10,0))*IF($M52="",1,$M52),""))</f>
        <v>3890</v>
      </c>
      <c r="V52" s="6">
        <f t="shared" si="19"/>
        <v>0.139476514879885</v>
      </c>
      <c r="W52" s="24">
        <f t="shared" si="20"/>
        <v>16667.6450416667</v>
      </c>
      <c r="X52" s="18">
        <f t="shared" si="21"/>
        <v>0.47650218141777</v>
      </c>
      <c r="Y52" s="18">
        <f t="shared" si="22"/>
        <v>29.3975703268394</v>
      </c>
      <c r="Z52" s="18">
        <f t="shared" si="23"/>
        <v>1.10280824175435</v>
      </c>
      <c r="AA52" t="str">
        <f t="shared" si="24"/>
        <v>适中</v>
      </c>
      <c r="AB52" t="str">
        <f t="shared" si="25"/>
        <v>有效</v>
      </c>
      <c r="AC52" t="str">
        <f t="shared" si="26"/>
        <v>不降</v>
      </c>
      <c r="AE52" s="4">
        <v>32800</v>
      </c>
      <c r="AF52" s="4">
        <f>INDEX(_统一战力!$B$2:$B$501,J52)</f>
        <v>43300</v>
      </c>
    </row>
    <row r="53" spans="1:32">
      <c r="A53" t="s">
        <v>5548</v>
      </c>
      <c r="B53" t="s">
        <v>5804</v>
      </c>
      <c r="C53" t="s">
        <v>5856</v>
      </c>
      <c r="D53" t="s">
        <v>5903</v>
      </c>
      <c r="E53" t="s">
        <v>5904</v>
      </c>
      <c r="F53" t="s">
        <v>154</v>
      </c>
      <c r="G53">
        <v>33</v>
      </c>
      <c r="I53">
        <f t="shared" si="18"/>
        <v>33</v>
      </c>
      <c r="J53">
        <v>58</v>
      </c>
      <c r="K53" s="23">
        <v>1.3</v>
      </c>
      <c r="L53" s="23">
        <v>1.3</v>
      </c>
      <c r="M53" s="23">
        <v>1</v>
      </c>
      <c r="N53">
        <v>1</v>
      </c>
      <c r="O53">
        <v>1</v>
      </c>
      <c r="P53" s="18">
        <v>0.416499247312832</v>
      </c>
      <c r="Q53" s="24">
        <f>IF($I53="","",IFERROR(INDEX(_玩家曲线!$H$2:$H$286,MATCH($I53,_玩家曲线!$A$2:$A$286,0)),""))</f>
        <v>42332.3252975087</v>
      </c>
      <c r="R53" s="24">
        <f>IF($I53="","",IFERROR(INDEX(_玩家曲线!$I$2:$I$286,MATCH($I53,_玩家曲线!$A$2:$A$286,0)),""))</f>
        <v>117656.323591464</v>
      </c>
      <c r="S53" s="24">
        <f>IF(OR($J53="",$F53="不适用"),"",IFERROR(INDEX(_怪物模型!$D$2:$D$4501,(INT($J53)-1)*ROWS(_怪物类型!$A$2:$A$10)+MATCH($F53,_怪物类型!$A$2:$A$10,0))*IF($K53="",1,$K53),""))</f>
        <v>18773.3</v>
      </c>
      <c r="T53" s="24">
        <f>IF(OR($J53="",$F53="不适用"),"",IFERROR(INDEX(_怪物模型!$E$2:$E$4501,(INT($J53)-1)*ROWS(_怪物类型!$A$2:$A$10)+MATCH($F53,_怪物类型!$A$2:$A$10,0))*IF($L53="",1,$L53),""))</f>
        <v>4223.7</v>
      </c>
      <c r="U53" s="24">
        <f>IF(OR($J53="",$F53="不适用"),"",IFERROR(INDEX(_怪物模型!$F$2:$F$4501,(INT($J53)-1)*ROWS(_怪物类型!$A$2:$A$10)+MATCH($F53,_怪物类型!$A$2:$A$10,0))*IF($M53="",1,$M53),""))</f>
        <v>4664</v>
      </c>
      <c r="V53" s="6">
        <f t="shared" si="19"/>
        <v>0.162712810493999</v>
      </c>
      <c r="W53" s="24">
        <f t="shared" si="20"/>
        <v>22421.5779666667</v>
      </c>
      <c r="X53" s="18">
        <f t="shared" si="21"/>
        <v>0.529656186119929</v>
      </c>
      <c r="Y53" s="18">
        <f t="shared" si="22"/>
        <v>27.8562216993309</v>
      </c>
      <c r="Z53" s="18">
        <f t="shared" si="23"/>
        <v>1.27168581825096</v>
      </c>
      <c r="AA53" t="str">
        <f t="shared" si="24"/>
        <v>偏难</v>
      </c>
      <c r="AB53" t="str">
        <f t="shared" si="25"/>
        <v>有效</v>
      </c>
      <c r="AC53" t="str">
        <f>IF(C53&lt;&gt;C46,"新玩法组",IF(J53&gt;=J46,"不降","回退"))</f>
        <v>不降</v>
      </c>
      <c r="AD53" t="s">
        <v>5905</v>
      </c>
      <c r="AE53" s="4">
        <v>39300</v>
      </c>
      <c r="AF53" s="4">
        <f>INDEX(_统一战力!$B$2:$B$501,J53)</f>
        <v>56700</v>
      </c>
    </row>
    <row r="54" spans="1:32">
      <c r="A54" t="s">
        <v>5548</v>
      </c>
      <c r="B54" t="s">
        <v>5804</v>
      </c>
      <c r="C54" t="s">
        <v>5856</v>
      </c>
      <c r="D54" t="s">
        <v>5906</v>
      </c>
      <c r="E54" t="s">
        <v>5907</v>
      </c>
      <c r="F54" t="s">
        <v>154</v>
      </c>
      <c r="G54">
        <v>33</v>
      </c>
      <c r="I54">
        <f t="shared" si="18"/>
        <v>33</v>
      </c>
      <c r="J54">
        <v>60</v>
      </c>
      <c r="K54" s="23">
        <v>1.3</v>
      </c>
      <c r="L54" s="23">
        <v>1.3</v>
      </c>
      <c r="M54" s="23">
        <v>1</v>
      </c>
      <c r="N54">
        <v>1</v>
      </c>
      <c r="O54">
        <v>1</v>
      </c>
      <c r="P54" s="18">
        <v>0.439577034131632</v>
      </c>
      <c r="Q54" s="24">
        <f>IF($I54="","",IFERROR(INDEX(_玩家曲线!$H$2:$H$286,MATCH($I54,_玩家曲线!$A$2:$A$286,0)),""))</f>
        <v>42332.3252975087</v>
      </c>
      <c r="R54" s="24">
        <f>IF($I54="","",IFERROR(INDEX(_玩家曲线!$I$2:$I$286,MATCH($I54,_玩家曲线!$A$2:$A$286,0)),""))</f>
        <v>117656.323591464</v>
      </c>
      <c r="S54" s="24">
        <f>IF(OR($J54="",$F54="不适用"),"",IFERROR(INDEX(_怪物模型!$D$2:$D$4501,(INT($J54)-1)*ROWS(_怪物类型!$A$2:$A$10)+MATCH($F54,_怪物类型!$A$2:$A$10,0))*IF($K54="",1,$K54),""))</f>
        <v>19841.9</v>
      </c>
      <c r="T54" s="24">
        <f>IF(OR($J54="",$F54="不适用"),"",IFERROR(INDEX(_怪物模型!$E$2:$E$4501,(INT($J54)-1)*ROWS(_怪物类型!$A$2:$A$10)+MATCH($F54,_怪物类型!$A$2:$A$10,0))*IF($L54="",1,$L54),""))</f>
        <v>4404.4</v>
      </c>
      <c r="U54" s="24">
        <f>IF(OR($J54="",$F54="不适用"),"",IFERROR(INDEX(_怪物模型!$F$2:$F$4501,(INT($J54)-1)*ROWS(_怪物类型!$A$2:$A$10)+MATCH($F54,_怪物类型!$A$2:$A$10,0))*IF($M54="",1,$M54),""))</f>
        <v>4839</v>
      </c>
      <c r="V54" s="6">
        <f t="shared" si="19"/>
        <v>0.167793612815978</v>
      </c>
      <c r="W54" s="24">
        <f t="shared" si="20"/>
        <v>23842.5230875</v>
      </c>
      <c r="X54" s="18">
        <f t="shared" si="21"/>
        <v>0.563222618175032</v>
      </c>
      <c r="Y54" s="18">
        <f t="shared" si="22"/>
        <v>26.7133601833312</v>
      </c>
      <c r="Z54" s="18">
        <f t="shared" si="23"/>
        <v>1.28128308451705</v>
      </c>
      <c r="AA54" t="str">
        <f t="shared" si="24"/>
        <v>偏难</v>
      </c>
      <c r="AB54" t="str">
        <f t="shared" si="25"/>
        <v>有效</v>
      </c>
      <c r="AC54" t="str">
        <f t="shared" ref="AC54:AC64" si="27">IF(C54&lt;&gt;C53,"新玩法组",IF(J54&gt;=J53,"不降","回退"))</f>
        <v>不降</v>
      </c>
      <c r="AD54" t="s">
        <v>5908</v>
      </c>
      <c r="AE54" s="4">
        <v>41300</v>
      </c>
      <c r="AF54" s="4">
        <f>INDEX(_统一战力!$B$2:$B$501,J54)</f>
        <v>65300</v>
      </c>
    </row>
    <row r="55" spans="1:32">
      <c r="A55" t="s">
        <v>5548</v>
      </c>
      <c r="B55" t="s">
        <v>5804</v>
      </c>
      <c r="C55" t="s">
        <v>5856</v>
      </c>
      <c r="D55" t="s">
        <v>5909</v>
      </c>
      <c r="E55" t="s">
        <v>5910</v>
      </c>
      <c r="F55" t="s">
        <v>154</v>
      </c>
      <c r="G55">
        <v>34</v>
      </c>
      <c r="I55">
        <f t="shared" si="18"/>
        <v>34</v>
      </c>
      <c r="J55">
        <v>60</v>
      </c>
      <c r="K55" s="23">
        <v>1.3</v>
      </c>
      <c r="L55" s="23">
        <v>1.3</v>
      </c>
      <c r="M55" s="23">
        <v>1</v>
      </c>
      <c r="N55">
        <v>1</v>
      </c>
      <c r="O55">
        <v>1</v>
      </c>
      <c r="P55" s="18">
        <v>0.4236467076854</v>
      </c>
      <c r="Q55" s="24">
        <f>IF($I55="","",IFERROR(INDEX(_玩家曲线!$H$2:$H$286,MATCH($I55,_玩家曲线!$A$2:$A$286,0)),""))</f>
        <v>44544.2269978621</v>
      </c>
      <c r="R55" s="24">
        <f>IF($I55="","",IFERROR(INDEX(_玩家曲线!$I$2:$I$286,MATCH($I55,_玩家曲线!$A$2:$A$286,0)),""))</f>
        <v>122519.471284752</v>
      </c>
      <c r="S55" s="24">
        <f>IF(OR($J55="",$F55="不适用"),"",IFERROR(INDEX(_怪物模型!$D$2:$D$4501,(INT($J55)-1)*ROWS(_怪物类型!$A$2:$A$10)+MATCH($F55,_怪物类型!$A$2:$A$10,0))*IF($K55="",1,$K55),""))</f>
        <v>19841.9</v>
      </c>
      <c r="T55" s="24">
        <f>IF(OR($J55="",$F55="不适用"),"",IFERROR(INDEX(_怪物模型!$E$2:$E$4501,(INT($J55)-1)*ROWS(_怪物类型!$A$2:$A$10)+MATCH($F55,_怪物类型!$A$2:$A$10,0))*IF($L55="",1,$L55),""))</f>
        <v>4404.4</v>
      </c>
      <c r="U55" s="24">
        <f>IF(OR($J55="",$F55="不适用"),"",IFERROR(INDEX(_怪物模型!$F$2:$F$4501,(INT($J55)-1)*ROWS(_怪物类型!$A$2:$A$10)+MATCH($F55,_怪物类型!$A$2:$A$10,0))*IF($M55="",1,$M55),""))</f>
        <v>4839</v>
      </c>
      <c r="V55" s="6">
        <f t="shared" si="19"/>
        <v>0.167793612815978</v>
      </c>
      <c r="W55" s="24">
        <f t="shared" si="20"/>
        <v>23842.5230875</v>
      </c>
      <c r="X55" s="18">
        <f t="shared" si="21"/>
        <v>0.535255064335145</v>
      </c>
      <c r="Y55" s="18">
        <f t="shared" si="22"/>
        <v>27.8175168660321</v>
      </c>
      <c r="Z55" s="18">
        <f t="shared" si="23"/>
        <v>1.26344676973774</v>
      </c>
      <c r="AA55" t="str">
        <f t="shared" si="24"/>
        <v>偏难</v>
      </c>
      <c r="AB55" t="str">
        <f t="shared" si="25"/>
        <v>有效</v>
      </c>
      <c r="AC55" t="str">
        <f t="shared" si="27"/>
        <v>不降</v>
      </c>
      <c r="AD55" t="s">
        <v>5911</v>
      </c>
      <c r="AE55" s="4">
        <v>41300</v>
      </c>
      <c r="AF55" s="4">
        <f>INDEX(_统一战力!$B$2:$B$501,J55)</f>
        <v>65300</v>
      </c>
    </row>
    <row r="56" spans="1:32">
      <c r="A56" t="s">
        <v>5548</v>
      </c>
      <c r="B56" t="s">
        <v>5804</v>
      </c>
      <c r="C56" t="s">
        <v>5856</v>
      </c>
      <c r="D56" t="s">
        <v>5912</v>
      </c>
      <c r="E56" t="s">
        <v>5913</v>
      </c>
      <c r="F56" t="s">
        <v>154</v>
      </c>
      <c r="G56">
        <v>35</v>
      </c>
      <c r="I56">
        <f t="shared" si="18"/>
        <v>35</v>
      </c>
      <c r="J56">
        <v>61</v>
      </c>
      <c r="K56" s="23">
        <v>1.3</v>
      </c>
      <c r="L56" s="23">
        <v>1.3</v>
      </c>
      <c r="M56" s="23">
        <v>1</v>
      </c>
      <c r="N56">
        <v>1</v>
      </c>
      <c r="O56">
        <v>1</v>
      </c>
      <c r="P56" s="18">
        <v>0.409835024827256</v>
      </c>
      <c r="Q56" s="24">
        <f>IF($I56="","",IFERROR(INDEX(_玩家曲线!$H$2:$H$286,MATCH($I56,_玩家曲线!$A$2:$A$286,0)),""))</f>
        <v>46881.9910589673</v>
      </c>
      <c r="R56" s="24">
        <f>IF($I56="","",IFERROR(INDEX(_玩家曲线!$I$2:$I$286,MATCH($I56,_玩家曲线!$A$2:$A$286,0)),""))</f>
        <v>127632.800244011</v>
      </c>
      <c r="S56" s="24">
        <f>IF(OR($J56="",$F56="不适用"),"",IFERROR(INDEX(_怪物模型!$D$2:$D$4501,(INT($J56)-1)*ROWS(_怪物类型!$A$2:$A$10)+MATCH($F56,_怪物类型!$A$2:$A$10,0))*IF($K56="",1,$K56),""))</f>
        <v>20387.9</v>
      </c>
      <c r="T56" s="24">
        <f>IF(OR($J56="",$F56="不适用"),"",IFERROR(INDEX(_怪物模型!$E$2:$E$4501,(INT($J56)-1)*ROWS(_怪物类型!$A$2:$A$10)+MATCH($F56,_怪物类型!$A$2:$A$10,0))*IF($L56="",1,$L56),""))</f>
        <v>4495.4</v>
      </c>
      <c r="U56" s="24">
        <f>IF(OR($J56="",$F56="不适用"),"",IFERROR(INDEX(_怪物模型!$F$2:$F$4501,(INT($J56)-1)*ROWS(_怪物类型!$A$2:$A$10)+MATCH($F56,_怪物类型!$A$2:$A$10,0))*IF($M56="",1,$M56),""))</f>
        <v>4926</v>
      </c>
      <c r="V56" s="6">
        <f t="shared" si="19"/>
        <v>0.170296618958722</v>
      </c>
      <c r="W56" s="24">
        <f t="shared" si="20"/>
        <v>24572.516475</v>
      </c>
      <c r="X56" s="18">
        <f t="shared" si="21"/>
        <v>0.524135513871268</v>
      </c>
      <c r="Y56" s="18">
        <f t="shared" si="22"/>
        <v>28.3918672963498</v>
      </c>
      <c r="Z56" s="18">
        <f t="shared" si="23"/>
        <v>1.27889390149656</v>
      </c>
      <c r="AA56" t="str">
        <f t="shared" si="24"/>
        <v>偏难</v>
      </c>
      <c r="AB56" t="str">
        <f t="shared" si="25"/>
        <v>有效</v>
      </c>
      <c r="AC56" t="str">
        <f t="shared" si="27"/>
        <v>不降</v>
      </c>
      <c r="AD56" t="s">
        <v>5914</v>
      </c>
      <c r="AE56" s="4">
        <v>41300</v>
      </c>
      <c r="AF56" s="4">
        <f>INDEX(_统一战力!$B$2:$B$501,J56)</f>
        <v>65300</v>
      </c>
    </row>
    <row r="57" spans="1:32">
      <c r="A57" t="s">
        <v>5548</v>
      </c>
      <c r="B57" t="s">
        <v>5804</v>
      </c>
      <c r="C57" t="s">
        <v>5856</v>
      </c>
      <c r="D57" t="s">
        <v>5915</v>
      </c>
      <c r="E57" t="s">
        <v>5916</v>
      </c>
      <c r="F57" t="s">
        <v>154</v>
      </c>
      <c r="G57">
        <v>36</v>
      </c>
      <c r="I57">
        <f t="shared" si="18"/>
        <v>36</v>
      </c>
      <c r="J57">
        <v>62</v>
      </c>
      <c r="K57" s="23">
        <v>1.3</v>
      </c>
      <c r="L57" s="23">
        <v>1.3</v>
      </c>
      <c r="M57" s="23">
        <v>1</v>
      </c>
      <c r="N57">
        <v>1</v>
      </c>
      <c r="O57">
        <v>1</v>
      </c>
      <c r="P57" s="18">
        <v>0.407962903898219</v>
      </c>
      <c r="Q57" s="24">
        <f>IF($I57="","",IFERROR(INDEX(_玩家曲线!$H$2:$H$286,MATCH($I57,_玩家曲线!$A$2:$A$286,0)),""))</f>
        <v>49292.692507259</v>
      </c>
      <c r="R57" s="24">
        <f>IF($I57="","",IFERROR(INDEX(_玩家曲线!$I$2:$I$286,MATCH($I57,_玩家曲线!$A$2:$A$286,0)),""))</f>
        <v>132853.171023986</v>
      </c>
      <c r="S57" s="24">
        <f>IF(OR($J57="",$F57="不适用"),"",IFERROR(INDEX(_怪物模型!$D$2:$D$4501,(INT($J57)-1)*ROWS(_怪物类型!$A$2:$A$10)+MATCH($F57,_怪物类型!$A$2:$A$10,0))*IF($K57="",1,$K57),""))</f>
        <v>20943</v>
      </c>
      <c r="T57" s="24">
        <f>IF(OR($J57="",$F57="不适用"),"",IFERROR(INDEX(_怪物模型!$E$2:$E$4501,(INT($J57)-1)*ROWS(_怪物类型!$A$2:$A$10)+MATCH($F57,_怪物类型!$A$2:$A$10,0))*IF($L57="",1,$L57),""))</f>
        <v>4587.7</v>
      </c>
      <c r="U57" s="24">
        <f>IF(OR($J57="",$F57="不适用"),"",IFERROR(INDEX(_怪物模型!$F$2:$F$4501,(INT($J57)-1)*ROWS(_怪物类型!$A$2:$A$10)+MATCH($F57,_怪物类型!$A$2:$A$10,0))*IF($M57="",1,$M57),""))</f>
        <v>5014</v>
      </c>
      <c r="V57" s="6">
        <f t="shared" si="19"/>
        <v>0.172813124698421</v>
      </c>
      <c r="W57" s="24">
        <f t="shared" si="20"/>
        <v>25318.34175</v>
      </c>
      <c r="X57" s="18">
        <f t="shared" si="21"/>
        <v>0.513632761007558</v>
      </c>
      <c r="Y57" s="18">
        <f t="shared" si="22"/>
        <v>28.9585567983927</v>
      </c>
      <c r="Z57" s="18">
        <f t="shared" si="23"/>
        <v>1.2590182982316</v>
      </c>
      <c r="AA57" t="str">
        <f t="shared" si="24"/>
        <v>偏难</v>
      </c>
      <c r="AB57" t="str">
        <f t="shared" si="25"/>
        <v>有效</v>
      </c>
      <c r="AC57" t="str">
        <f t="shared" si="27"/>
        <v>不降</v>
      </c>
      <c r="AD57" t="s">
        <v>5917</v>
      </c>
      <c r="AE57" s="4">
        <v>41300</v>
      </c>
      <c r="AF57" s="4">
        <f>INDEX(_统一战力!$B$2:$B$501,J57)</f>
        <v>71400</v>
      </c>
    </row>
    <row r="58" spans="1:32">
      <c r="A58" t="s">
        <v>5548</v>
      </c>
      <c r="B58" t="s">
        <v>5804</v>
      </c>
      <c r="C58" t="s">
        <v>5856</v>
      </c>
      <c r="D58" t="s">
        <v>5918</v>
      </c>
      <c r="E58" t="s">
        <v>5919</v>
      </c>
      <c r="F58" t="s">
        <v>154</v>
      </c>
      <c r="G58">
        <v>36</v>
      </c>
      <c r="I58">
        <f t="shared" si="18"/>
        <v>36</v>
      </c>
      <c r="J58">
        <v>64</v>
      </c>
      <c r="K58" s="23">
        <v>1.3</v>
      </c>
      <c r="L58" s="23">
        <v>1.3</v>
      </c>
      <c r="M58" s="23">
        <v>1</v>
      </c>
      <c r="N58">
        <v>1</v>
      </c>
      <c r="O58">
        <v>1</v>
      </c>
      <c r="P58" s="18">
        <v>0.428831057914551</v>
      </c>
      <c r="Q58" s="24">
        <f>IF($I58="","",IFERROR(INDEX(_玩家曲线!$H$2:$H$286,MATCH($I58,_玩家曲线!$A$2:$A$286,0)),""))</f>
        <v>49292.692507259</v>
      </c>
      <c r="R58" s="24">
        <f>IF($I58="","",IFERROR(INDEX(_玩家曲线!$I$2:$I$286,MATCH($I58,_玩家曲线!$A$2:$A$286,0)),""))</f>
        <v>132853.171023986</v>
      </c>
      <c r="S58" s="24">
        <f>IF(OR($J58="",$F58="不适用"),"",IFERROR(INDEX(_怪物模型!$D$2:$D$4501,(INT($J58)-1)*ROWS(_怪物类型!$A$2:$A$10)+MATCH($F58,_怪物类型!$A$2:$A$10,0))*IF($K58="",1,$K58),""))</f>
        <v>22075.3</v>
      </c>
      <c r="T58" s="24">
        <f>IF(OR($J58="",$F58="不适用"),"",IFERROR(INDEX(_怪物模型!$E$2:$E$4501,(INT($J58)-1)*ROWS(_怪物类型!$A$2:$A$10)+MATCH($F58,_怪物类型!$A$2:$A$10,0))*IF($L58="",1,$L58),""))</f>
        <v>4773.6</v>
      </c>
      <c r="U58" s="24">
        <f>IF(OR($J58="",$F58="不适用"),"",IFERROR(INDEX(_怪物模型!$F$2:$F$4501,(INT($J58)-1)*ROWS(_怪物类型!$A$2:$A$10)+MATCH($F58,_怪物类型!$A$2:$A$10,0))*IF($M58="",1,$M58),""))</f>
        <v>5190</v>
      </c>
      <c r="V58" s="6">
        <f t="shared" si="19"/>
        <v>0.177800616649538</v>
      </c>
      <c r="W58" s="24">
        <f t="shared" si="20"/>
        <v>26849.083625</v>
      </c>
      <c r="X58" s="18">
        <f t="shared" si="21"/>
        <v>0.544686894939775</v>
      </c>
      <c r="Y58" s="18">
        <f t="shared" si="22"/>
        <v>27.8308134372352</v>
      </c>
      <c r="Z58" s="18">
        <f t="shared" si="23"/>
        <v>1.27016661896795</v>
      </c>
      <c r="AA58" t="str">
        <f t="shared" si="24"/>
        <v>偏难</v>
      </c>
      <c r="AB58" t="str">
        <f t="shared" si="25"/>
        <v>有效</v>
      </c>
      <c r="AC58" t="str">
        <f t="shared" si="27"/>
        <v>不降</v>
      </c>
      <c r="AD58" t="s">
        <v>5920</v>
      </c>
      <c r="AE58" s="4">
        <v>43300</v>
      </c>
      <c r="AF58" s="4">
        <f>INDEX(_统一战力!$B$2:$B$501,J58)</f>
        <v>71400</v>
      </c>
    </row>
    <row r="59" spans="1:32">
      <c r="A59" t="s">
        <v>5548</v>
      </c>
      <c r="B59" t="s">
        <v>5804</v>
      </c>
      <c r="C59" t="s">
        <v>5856</v>
      </c>
      <c r="D59" t="s">
        <v>5921</v>
      </c>
      <c r="E59">
        <v>150310</v>
      </c>
      <c r="F59" t="s">
        <v>154</v>
      </c>
      <c r="G59">
        <v>37</v>
      </c>
      <c r="I59">
        <f t="shared" si="18"/>
        <v>37</v>
      </c>
      <c r="J59">
        <v>65</v>
      </c>
      <c r="K59" s="23">
        <v>1.3</v>
      </c>
      <c r="L59" s="23">
        <v>1.3</v>
      </c>
      <c r="M59" s="23">
        <v>1</v>
      </c>
      <c r="N59">
        <v>1</v>
      </c>
      <c r="O59">
        <v>1</v>
      </c>
      <c r="P59" s="18">
        <v>0.428831057914551</v>
      </c>
      <c r="Q59" s="24">
        <f>IF($I59="","",IFERROR(INDEX(_玩家曲线!$H$2:$H$286,MATCH($I59,_玩家曲线!$A$2:$A$286,0)),""))</f>
        <v>51778.075027361</v>
      </c>
      <c r="R59" s="24">
        <f>IF($I59="","",IFERROR(INDEX(_玩家曲线!$I$2:$I$286,MATCH($I59,_玩家曲线!$A$2:$A$286,0)),""))</f>
        <v>138182.080970152</v>
      </c>
      <c r="S59" s="24">
        <f>IF(OR($J59="",$F59="不适用"),"",IFERROR(INDEX(_怪物模型!$D$2:$D$4501,(INT($J59)-1)*ROWS(_怪物类型!$A$2:$A$10)+MATCH($F59,_怪物类型!$A$2:$A$10,0))*IF($K59="",1,$K59),""))</f>
        <v>22655.1</v>
      </c>
      <c r="T59" s="24">
        <f>IF(OR($J59="",$F59="不适用"),"",IFERROR(INDEX(_怪物模型!$E$2:$E$4501,(INT($J59)-1)*ROWS(_怪物类型!$A$2:$A$10)+MATCH($F59,_怪物类型!$A$2:$A$10,0))*IF($L59="",1,$L59),""))</f>
        <v>4868.5</v>
      </c>
      <c r="U59" s="24">
        <f>IF(OR($J59="",$F59="不适用"),"",IFERROR(INDEX(_怪物模型!$F$2:$F$4501,(INT($J59)-1)*ROWS(_怪物类型!$A$2:$A$10)+MATCH($F59,_怪物类型!$A$2:$A$10,0))*IF($M59="",1,$M59),""))</f>
        <v>5279</v>
      </c>
      <c r="V59" s="6">
        <f t="shared" si="19"/>
        <v>0.180299873629564</v>
      </c>
      <c r="W59" s="24">
        <f t="shared" si="20"/>
        <v>27638.2780375</v>
      </c>
      <c r="X59" s="18">
        <f t="shared" si="21"/>
        <v>0.53378342132061</v>
      </c>
      <c r="Y59" s="18">
        <f t="shared" si="22"/>
        <v>28.3828860984188</v>
      </c>
      <c r="Z59" s="18">
        <f t="shared" si="23"/>
        <v>1.2447405836612</v>
      </c>
      <c r="AA59" t="str">
        <f t="shared" si="24"/>
        <v>偏难</v>
      </c>
      <c r="AB59" t="str">
        <f t="shared" si="25"/>
        <v>有效</v>
      </c>
      <c r="AC59" t="str">
        <f t="shared" si="27"/>
        <v>不降</v>
      </c>
      <c r="AE59" s="4">
        <v>45400</v>
      </c>
      <c r="AF59" s="4">
        <f>INDEX(_统一战力!$B$2:$B$501,J59)</f>
        <v>71400</v>
      </c>
    </row>
    <row r="60" spans="1:32">
      <c r="A60" t="s">
        <v>5548</v>
      </c>
      <c r="B60" t="s">
        <v>5804</v>
      </c>
      <c r="C60" t="s">
        <v>5856</v>
      </c>
      <c r="D60" t="s">
        <v>5922</v>
      </c>
      <c r="E60">
        <v>150311</v>
      </c>
      <c r="F60" t="s">
        <v>154</v>
      </c>
      <c r="G60">
        <v>38</v>
      </c>
      <c r="I60">
        <f t="shared" si="18"/>
        <v>38</v>
      </c>
      <c r="J60">
        <v>66</v>
      </c>
      <c r="K60" s="23">
        <v>1.3</v>
      </c>
      <c r="L60" s="23">
        <v>1.3</v>
      </c>
      <c r="M60" s="23">
        <v>1</v>
      </c>
      <c r="N60">
        <v>1</v>
      </c>
      <c r="O60">
        <v>1</v>
      </c>
      <c r="P60" s="18">
        <v>0.428831057914551</v>
      </c>
      <c r="Q60" s="24">
        <f>IF($I60="","",IFERROR(INDEX(_玩家曲线!$H$2:$H$286,MATCH($I60,_玩家曲线!$A$2:$A$286,0)),""))</f>
        <v>54339.9167049591</v>
      </c>
      <c r="R60" s="24">
        <f>IF($I60="","",IFERROR(INDEX(_玩家曲线!$I$2:$I$286,MATCH($I60,_玩家曲线!$A$2:$A$286,0)),""))</f>
        <v>143621.04196543</v>
      </c>
      <c r="S60" s="24">
        <f>IF(OR($J60="",$F60="不适用"),"",IFERROR(INDEX(_怪物模型!$D$2:$D$4501,(INT($J60)-1)*ROWS(_怪物类型!$A$2:$A$10)+MATCH($F60,_怪物类型!$A$2:$A$10,0))*IF($K60="",1,$K60),""))</f>
        <v>23242.7</v>
      </c>
      <c r="T60" s="24">
        <f>IF(OR($J60="",$F60="不适用"),"",IFERROR(INDEX(_怪物模型!$E$2:$E$4501,(INT($J60)-1)*ROWS(_怪物类型!$A$2:$A$10)+MATCH($F60,_怪物类型!$A$2:$A$10,0))*IF($L60="",1,$L60),""))</f>
        <v>4963.4</v>
      </c>
      <c r="U60" s="24">
        <f>IF(OR($J60="",$F60="不适用"),"",IFERROR(INDEX(_怪物模型!$F$2:$F$4501,(INT($J60)-1)*ROWS(_怪物类型!$A$2:$A$10)+MATCH($F60,_怪物类型!$A$2:$A$10,0))*IF($M60="",1,$M60),""))</f>
        <v>5367</v>
      </c>
      <c r="V60" s="6">
        <f t="shared" si="19"/>
        <v>0.182756154867709</v>
      </c>
      <c r="W60" s="24">
        <f t="shared" si="20"/>
        <v>28440.3487875</v>
      </c>
      <c r="X60" s="18">
        <f t="shared" si="21"/>
        <v>0.523378586351505</v>
      </c>
      <c r="Y60" s="18">
        <f t="shared" si="22"/>
        <v>28.9360200599246</v>
      </c>
      <c r="Z60" s="18">
        <f t="shared" si="23"/>
        <v>1.22047733412022</v>
      </c>
      <c r="AA60" t="str">
        <f t="shared" si="24"/>
        <v>偏难</v>
      </c>
      <c r="AB60" t="str">
        <f t="shared" si="25"/>
        <v>有效</v>
      </c>
      <c r="AC60" t="str">
        <f t="shared" si="27"/>
        <v>不降</v>
      </c>
      <c r="AE60" s="4">
        <v>45400</v>
      </c>
      <c r="AF60" s="4">
        <f>INDEX(_统一战力!$B$2:$B$501,J60)</f>
        <v>71400</v>
      </c>
    </row>
    <row r="61" spans="1:32">
      <c r="A61" t="s">
        <v>5548</v>
      </c>
      <c r="B61" t="s">
        <v>5804</v>
      </c>
      <c r="C61" t="s">
        <v>5856</v>
      </c>
      <c r="D61" t="s">
        <v>5923</v>
      </c>
      <c r="E61">
        <v>150312</v>
      </c>
      <c r="F61" t="s">
        <v>154</v>
      </c>
      <c r="G61">
        <v>39</v>
      </c>
      <c r="I61">
        <f t="shared" si="18"/>
        <v>39</v>
      </c>
      <c r="J61">
        <v>67</v>
      </c>
      <c r="K61" s="23">
        <v>1.3</v>
      </c>
      <c r="L61" s="23">
        <v>1.3</v>
      </c>
      <c r="M61" s="23">
        <v>1</v>
      </c>
      <c r="N61">
        <v>1</v>
      </c>
      <c r="O61">
        <v>1</v>
      </c>
      <c r="P61" s="18">
        <v>0.428831057914551</v>
      </c>
      <c r="Q61" s="24">
        <f>IF($I61="","",IFERROR(INDEX(_玩家曲线!$H$2:$H$286,MATCH($I61,_玩家曲线!$A$2:$A$286,0)),""))</f>
        <v>56980.0305564188</v>
      </c>
      <c r="R61" s="24">
        <f>IF($I61="","",IFERROR(INDEX(_玩家曲线!$I$2:$I$286,MATCH($I61,_玩家曲线!$A$2:$A$286,0)),""))</f>
        <v>149171.580490756</v>
      </c>
      <c r="S61" s="24">
        <f>IF(OR($J61="",$F61="不适用"),"",IFERROR(INDEX(_怪物模型!$D$2:$D$4501,(INT($J61)-1)*ROWS(_怪物类型!$A$2:$A$10)+MATCH($F61,_怪物类型!$A$2:$A$10,0))*IF($K61="",1,$K61),""))</f>
        <v>23838.1</v>
      </c>
      <c r="T61" s="24">
        <f>IF(OR($J61="",$F61="不适用"),"",IFERROR(INDEX(_怪物模型!$E$2:$E$4501,(INT($J61)-1)*ROWS(_怪物类型!$A$2:$A$10)+MATCH($F61,_怪物类型!$A$2:$A$10,0))*IF($L61="",1,$L61),""))</f>
        <v>5058.3</v>
      </c>
      <c r="U61" s="24">
        <f>IF(OR($J61="",$F61="不适用"),"",IFERROR(INDEX(_怪物模型!$F$2:$F$4501,(INT($J61)-1)*ROWS(_怪物类型!$A$2:$A$10)+MATCH($F61,_怪物类型!$A$2:$A$10,0))*IF($M61="",1,$M61),""))</f>
        <v>5456</v>
      </c>
      <c r="V61" s="6">
        <f t="shared" si="19"/>
        <v>0.185225420966866</v>
      </c>
      <c r="W61" s="24">
        <f t="shared" si="20"/>
        <v>29257.2947333333</v>
      </c>
      <c r="X61" s="18">
        <f t="shared" si="21"/>
        <v>0.513465760681968</v>
      </c>
      <c r="Y61" s="18">
        <f t="shared" si="22"/>
        <v>29.4904573652721</v>
      </c>
      <c r="Z61" s="18">
        <f t="shared" si="23"/>
        <v>1.19736141122568</v>
      </c>
      <c r="AA61" t="str">
        <f t="shared" si="24"/>
        <v>适中</v>
      </c>
      <c r="AB61" t="str">
        <f t="shared" si="25"/>
        <v>有效</v>
      </c>
      <c r="AC61" t="str">
        <f t="shared" si="27"/>
        <v>不降</v>
      </c>
      <c r="AE61" s="4">
        <v>46600</v>
      </c>
      <c r="AF61" s="4">
        <f>INDEX(_统一战力!$B$2:$B$501,J61)</f>
        <v>82700</v>
      </c>
    </row>
    <row r="62" spans="1:32">
      <c r="A62" t="s">
        <v>5548</v>
      </c>
      <c r="B62" t="s">
        <v>5804</v>
      </c>
      <c r="C62" t="s">
        <v>5856</v>
      </c>
      <c r="D62" t="s">
        <v>5924</v>
      </c>
      <c r="E62">
        <v>150313</v>
      </c>
      <c r="F62" t="s">
        <v>154</v>
      </c>
      <c r="G62">
        <v>40</v>
      </c>
      <c r="I62">
        <f t="shared" si="18"/>
        <v>40</v>
      </c>
      <c r="J62">
        <v>68</v>
      </c>
      <c r="K62" s="23">
        <v>1.3</v>
      </c>
      <c r="L62" s="23">
        <v>1.3</v>
      </c>
      <c r="M62" s="23">
        <v>1</v>
      </c>
      <c r="N62">
        <v>1</v>
      </c>
      <c r="O62">
        <v>1</v>
      </c>
      <c r="P62" s="18">
        <v>0.428831057914551</v>
      </c>
      <c r="Q62" s="24">
        <f>IF($I62="","",IFERROR(INDEX(_玩家曲线!$H$2:$H$286,MATCH($I62,_玩家曲线!$A$2:$A$286,0)),""))</f>
        <v>59707.7034555283</v>
      </c>
      <c r="R62" s="24">
        <f>IF($I62="","",IFERROR(INDEX(_玩家曲线!$I$2:$I$286,MATCH($I62,_玩家曲线!$A$2:$A$286,0)),""))</f>
        <v>154857.631643349</v>
      </c>
      <c r="S62" s="24">
        <f>IF(OR($J62="",$F62="不适用"),"",IFERROR(INDEX(_怪物模型!$D$2:$D$4501,(INT($J62)-1)*ROWS(_怪物类型!$A$2:$A$10)+MATCH($F62,_怪物类型!$A$2:$A$10,0))*IF($K62="",1,$K62),""))</f>
        <v>24442.6</v>
      </c>
      <c r="T62" s="24">
        <f>IF(OR($J62="",$F62="不适用"),"",IFERROR(INDEX(_怪物模型!$E$2:$E$4501,(INT($J62)-1)*ROWS(_怪物类型!$A$2:$A$10)+MATCH($F62,_怪物类型!$A$2:$A$10,0))*IF($L62="",1,$L62),""))</f>
        <v>5154.5</v>
      </c>
      <c r="U62" s="24">
        <f>IF(OR($J62="",$F62="不适用"),"",IFERROR(INDEX(_怪物模型!$F$2:$F$4501,(INT($J62)-1)*ROWS(_怪物类型!$A$2:$A$10)+MATCH($F62,_怪物类型!$A$2:$A$10,0))*IF($M62="",1,$M62),""))</f>
        <v>5546</v>
      </c>
      <c r="V62" s="6">
        <f t="shared" si="19"/>
        <v>0.187707303865159</v>
      </c>
      <c r="W62" s="24">
        <f t="shared" si="20"/>
        <v>30090.8774833333</v>
      </c>
      <c r="X62" s="18">
        <f t="shared" si="21"/>
        <v>0.503969768419342</v>
      </c>
      <c r="Y62" s="18">
        <f t="shared" si="22"/>
        <v>30.0431917049857</v>
      </c>
      <c r="Z62" s="18">
        <f t="shared" si="23"/>
        <v>1.17521751076099</v>
      </c>
      <c r="AA62" t="str">
        <f t="shared" si="24"/>
        <v>适中</v>
      </c>
      <c r="AB62" t="str">
        <f t="shared" si="25"/>
        <v>有效</v>
      </c>
      <c r="AC62" t="str">
        <f t="shared" si="27"/>
        <v>不降</v>
      </c>
      <c r="AE62" s="4">
        <v>46600</v>
      </c>
      <c r="AF62" s="4">
        <f>INDEX(_统一战力!$B$2:$B$501,J62)</f>
        <v>82700</v>
      </c>
    </row>
    <row r="63" spans="1:32">
      <c r="A63" t="s">
        <v>5548</v>
      </c>
      <c r="B63" t="s">
        <v>5804</v>
      </c>
      <c r="C63" t="s">
        <v>5856</v>
      </c>
      <c r="D63" t="s">
        <v>5925</v>
      </c>
      <c r="E63">
        <v>150314</v>
      </c>
      <c r="F63" t="s">
        <v>154</v>
      </c>
      <c r="G63">
        <v>41</v>
      </c>
      <c r="I63">
        <f t="shared" si="18"/>
        <v>41</v>
      </c>
      <c r="J63">
        <v>69</v>
      </c>
      <c r="K63" s="23">
        <v>1.3</v>
      </c>
      <c r="L63" s="23">
        <v>1.3</v>
      </c>
      <c r="M63" s="23">
        <v>1</v>
      </c>
      <c r="N63">
        <v>1</v>
      </c>
      <c r="O63">
        <v>1</v>
      </c>
      <c r="P63" s="18">
        <v>0.428831057914551</v>
      </c>
      <c r="Q63" s="24">
        <f>IF($I63="","",IFERROR(INDEX(_玩家曲线!$H$2:$H$286,MATCH($I63,_玩家曲线!$A$2:$A$286,0)),""))</f>
        <v>63108.2459551658</v>
      </c>
      <c r="R63" s="24">
        <f>IF($I63="","",IFERROR(INDEX(_玩家曲线!$I$2:$I$286,MATCH($I63,_玩家曲线!$A$2:$A$286,0)),""))</f>
        <v>161940.831805921</v>
      </c>
      <c r="S63" s="24">
        <f>IF(OR($J63="",$F63="不适用"),"",IFERROR(INDEX(_怪物模型!$D$2:$D$4501,(INT($J63)-1)*ROWS(_怪物类型!$A$2:$A$10)+MATCH($F63,_怪物类型!$A$2:$A$10,0))*IF($K63="",1,$K63),""))</f>
        <v>25054.9</v>
      </c>
      <c r="T63" s="24">
        <f>IF(OR($J63="",$F63="不适用"),"",IFERROR(INDEX(_怪物模型!$E$2:$E$4501,(INT($J63)-1)*ROWS(_怪物类型!$A$2:$A$10)+MATCH($F63,_怪物类型!$A$2:$A$10,0))*IF($L63="",1,$L63),""))</f>
        <v>5252</v>
      </c>
      <c r="U63" s="24">
        <f>IF(OR($J63="",$F63="不适用"),"",IFERROR(INDEX(_怪物模型!$F$2:$F$4501,(INT($J63)-1)*ROWS(_怪物类型!$A$2:$A$10)+MATCH($F63,_怪物类型!$A$2:$A$10,0))*IF($M63="",1,$M63),""))</f>
        <v>5635</v>
      </c>
      <c r="V63" s="6">
        <f t="shared" si="19"/>
        <v>0.190146785895057</v>
      </c>
      <c r="W63" s="24">
        <f t="shared" si="20"/>
        <v>30937.5817291667</v>
      </c>
      <c r="X63" s="18">
        <f t="shared" si="21"/>
        <v>0.490230416975077</v>
      </c>
      <c r="Y63" s="18">
        <f t="shared" si="22"/>
        <v>30.8341263910741</v>
      </c>
      <c r="Z63" s="18">
        <f t="shared" si="23"/>
        <v>1.14317843338847</v>
      </c>
      <c r="AA63" t="str">
        <f t="shared" si="24"/>
        <v>适中</v>
      </c>
      <c r="AB63" t="str">
        <f t="shared" si="25"/>
        <v>有效</v>
      </c>
      <c r="AC63" t="str">
        <f t="shared" si="27"/>
        <v>不降</v>
      </c>
      <c r="AE63" s="4">
        <v>49100</v>
      </c>
      <c r="AF63" s="4">
        <f>INDEX(_统一战力!$B$2:$B$501,J63)</f>
        <v>87000</v>
      </c>
    </row>
    <row r="64" spans="1:32">
      <c r="A64" t="s">
        <v>5548</v>
      </c>
      <c r="B64" t="s">
        <v>5804</v>
      </c>
      <c r="C64" t="s">
        <v>5856</v>
      </c>
      <c r="D64" t="s">
        <v>5926</v>
      </c>
      <c r="E64">
        <v>150315</v>
      </c>
      <c r="F64" t="s">
        <v>154</v>
      </c>
      <c r="G64">
        <v>42</v>
      </c>
      <c r="I64">
        <f t="shared" si="18"/>
        <v>42</v>
      </c>
      <c r="J64">
        <v>70</v>
      </c>
      <c r="K64" s="23">
        <v>1.3</v>
      </c>
      <c r="L64" s="23">
        <v>1.3</v>
      </c>
      <c r="M64" s="23">
        <v>1</v>
      </c>
      <c r="N64">
        <v>1</v>
      </c>
      <c r="O64">
        <v>1</v>
      </c>
      <c r="P64" s="18">
        <v>0.428831057914551</v>
      </c>
      <c r="Q64" s="24">
        <f>IF($I64="","",IFERROR(INDEX(_玩家曲线!$H$2:$H$286,MATCH($I64,_玩家曲线!$A$2:$A$286,0)),""))</f>
        <v>66623.8615756816</v>
      </c>
      <c r="R64" s="24">
        <f>IF($I64="","",IFERROR(INDEX(_玩家曲线!$I$2:$I$286,MATCH($I64,_玩家曲线!$A$2:$A$286,0)),""))</f>
        <v>169193.906792731</v>
      </c>
      <c r="S64" s="24">
        <f>IF(OR($J64="",$F64="不适用"),"",IFERROR(INDEX(_怪物模型!$D$2:$D$4501,(INT($J64)-1)*ROWS(_怪物类型!$A$2:$A$10)+MATCH($F64,_怪物类型!$A$2:$A$10,0))*IF($K64="",1,$K64),""))</f>
        <v>25676.3</v>
      </c>
      <c r="T64" s="24">
        <f>IF(OR($J64="",$F64="不适用"),"",IFERROR(INDEX(_怪物模型!$E$2:$E$4501,(INT($J64)-1)*ROWS(_怪物类型!$A$2:$A$10)+MATCH($F64,_怪物类型!$A$2:$A$10,0))*IF($L64="",1,$L64),""))</f>
        <v>5349.5</v>
      </c>
      <c r="U64" s="24">
        <f>IF(OR($J64="",$F64="不适用"),"",IFERROR(INDEX(_怪物模型!$F$2:$F$4501,(INT($J64)-1)*ROWS(_怪物类型!$A$2:$A$10)+MATCH($F64,_怪物类型!$A$2:$A$10,0))*IF($M64="",1,$M64),""))</f>
        <v>5725</v>
      </c>
      <c r="V64" s="6">
        <f t="shared" si="19"/>
        <v>0.19259882253995</v>
      </c>
      <c r="W64" s="24">
        <f t="shared" si="20"/>
        <v>31801.1673958333</v>
      </c>
      <c r="X64" s="18">
        <f t="shared" si="21"/>
        <v>0.477323989389428</v>
      </c>
      <c r="Y64" s="18">
        <f t="shared" si="22"/>
        <v>31.6279851935192</v>
      </c>
      <c r="Z64" s="18">
        <f t="shared" si="23"/>
        <v>1.11308166836307</v>
      </c>
      <c r="AA64" t="str">
        <f t="shared" si="24"/>
        <v>适中</v>
      </c>
      <c r="AB64" t="str">
        <f t="shared" si="25"/>
        <v>有效</v>
      </c>
      <c r="AC64" t="str">
        <f t="shared" si="27"/>
        <v>不降</v>
      </c>
      <c r="AE64" s="4">
        <v>49100</v>
      </c>
      <c r="AF64" s="4">
        <f>INDEX(_统一战力!$B$2:$B$501,J64)</f>
        <v>87000</v>
      </c>
    </row>
    <row r="65" spans="1:32">
      <c r="A65" t="s">
        <v>5548</v>
      </c>
      <c r="B65" t="s">
        <v>5804</v>
      </c>
      <c r="C65" t="s">
        <v>5856</v>
      </c>
      <c r="D65" t="s">
        <v>5903</v>
      </c>
      <c r="E65" t="s">
        <v>5927</v>
      </c>
      <c r="F65" t="s">
        <v>154</v>
      </c>
      <c r="G65">
        <v>52</v>
      </c>
      <c r="I65">
        <f t="shared" si="18"/>
        <v>52</v>
      </c>
      <c r="J65">
        <v>91</v>
      </c>
      <c r="K65" s="23">
        <v>1.3</v>
      </c>
      <c r="L65" s="23">
        <v>1.3</v>
      </c>
      <c r="M65" s="23">
        <v>1</v>
      </c>
      <c r="N65">
        <v>1</v>
      </c>
      <c r="O65">
        <v>1</v>
      </c>
      <c r="P65" s="18">
        <v>0.380676296307494</v>
      </c>
      <c r="Q65" s="24">
        <f>IF($I65="","",IFERROR(INDEX(_玩家曲线!$H$2:$H$286,MATCH($I65,_玩家曲线!$A$2:$A$286,0)),""))</f>
        <v>108821.889866361</v>
      </c>
      <c r="R65" s="24">
        <f>IF($I65="","",IFERROR(INDEX(_玩家曲线!$I$2:$I$286,MATCH($I65,_玩家曲线!$A$2:$A$286,0)),""))</f>
        <v>251620.793711101</v>
      </c>
      <c r="S65" s="24">
        <f>IF(OR($J65="",$F65="不适用"),"",IFERROR(INDEX(_怪物模型!$D$2:$D$4501,(INT($J65)-1)*ROWS(_怪物类型!$A$2:$A$10)+MATCH($F65,_怪物类型!$A$2:$A$10,0))*IF($K65="",1,$K65),""))</f>
        <v>40866.8</v>
      </c>
      <c r="T65" s="24">
        <f>IF(OR($J65="",$F65="不适用"),"",IFERROR(INDEX(_怪物模型!$E$2:$E$4501,(INT($J65)-1)*ROWS(_怪物类型!$A$2:$A$10)+MATCH($F65,_怪物类型!$A$2:$A$10,0))*IF($L65="",1,$L65),""))</f>
        <v>7559.5</v>
      </c>
      <c r="U65" s="24">
        <f>IF(OR($J65="",$F65="不适用"),"",IFERROR(INDEX(_怪物模型!$F$2:$F$4501,(INT($J65)-1)*ROWS(_怪物类型!$A$2:$A$10)+MATCH($F65,_怪物类型!$A$2:$A$10,0))*IF($M65="",1,$M65),""))</f>
        <v>7659</v>
      </c>
      <c r="V65" s="6">
        <f t="shared" si="19"/>
        <v>0.241921728418459</v>
      </c>
      <c r="W65" s="24">
        <f t="shared" si="20"/>
        <v>53908.41755</v>
      </c>
      <c r="X65" s="18">
        <f t="shared" si="21"/>
        <v>0.495382111229665</v>
      </c>
      <c r="Y65" s="18">
        <f t="shared" si="22"/>
        <v>33.2853751850124</v>
      </c>
      <c r="Z65" s="18">
        <f t="shared" si="23"/>
        <v>1.30132113828678</v>
      </c>
      <c r="AA65" t="str">
        <f t="shared" si="24"/>
        <v>偏难</v>
      </c>
      <c r="AB65" t="str">
        <f t="shared" si="25"/>
        <v>有效</v>
      </c>
      <c r="AC65" t="str">
        <f>IF(C65&lt;&gt;C58,"新玩法组",IF(J65&gt;=J58,"不降","回退"))</f>
        <v>不降</v>
      </c>
      <c r="AD65" t="s">
        <v>5928</v>
      </c>
      <c r="AE65" s="4">
        <v>74500</v>
      </c>
      <c r="AF65" s="4">
        <f>INDEX(_统一战力!$B$2:$B$501,J65)</f>
        <v>142000</v>
      </c>
    </row>
    <row r="66" spans="1:32">
      <c r="A66" t="s">
        <v>5548</v>
      </c>
      <c r="B66" t="s">
        <v>5804</v>
      </c>
      <c r="C66" t="s">
        <v>5856</v>
      </c>
      <c r="D66" t="s">
        <v>5906</v>
      </c>
      <c r="E66" t="s">
        <v>5929</v>
      </c>
      <c r="F66" t="s">
        <v>154</v>
      </c>
      <c r="G66">
        <v>53</v>
      </c>
      <c r="I66">
        <f t="shared" si="18"/>
        <v>53</v>
      </c>
      <c r="J66">
        <v>94</v>
      </c>
      <c r="K66" s="23">
        <v>1.3</v>
      </c>
      <c r="L66" s="23">
        <v>1.3</v>
      </c>
      <c r="M66" s="23">
        <v>1</v>
      </c>
      <c r="N66">
        <v>1</v>
      </c>
      <c r="O66">
        <v>1</v>
      </c>
      <c r="P66" s="18">
        <v>0.386811228871293</v>
      </c>
      <c r="Q66" s="24">
        <f>IF($I66="","",IFERROR(INDEX(_玩家曲线!$H$2:$H$286,MATCH($I66,_玩家曲线!$A$2:$A$286,0)),""))</f>
        <v>113822.405455727</v>
      </c>
      <c r="R66" s="24">
        <f>IF($I66="","",IFERROR(INDEX(_玩家曲线!$I$2:$I$286,MATCH($I66,_玩家曲线!$A$2:$A$286,0)),""))</f>
        <v>260909.970617466</v>
      </c>
      <c r="S66" s="24">
        <f>IF(OR($J66="",$F66="不适用"),"",IFERROR(INDEX(_怪物模型!$D$2:$D$4501,(INT($J66)-1)*ROWS(_怪物类型!$A$2:$A$10)+MATCH($F66,_怪物类型!$A$2:$A$10,0))*IF($K66="",1,$K66),""))</f>
        <v>43397.9</v>
      </c>
      <c r="T66" s="24">
        <f>IF(OR($J66="",$F66="不适用"),"",IFERROR(INDEX(_怪物模型!$E$2:$E$4501,(INT($J66)-1)*ROWS(_怪物类型!$A$2:$A$10)+MATCH($F66,_怪物类型!$A$2:$A$10,0))*IF($L66="",1,$L66),""))</f>
        <v>7902.7</v>
      </c>
      <c r="U66" s="24">
        <f>IF(OR($J66="",$F66="不适用"),"",IFERROR(INDEX(_怪物模型!$F$2:$F$4501,(INT($J66)-1)*ROWS(_怪物类型!$A$2:$A$10)+MATCH($F66,_怪物类型!$A$2:$A$10,0))*IF($M66="",1,$M66),""))</f>
        <v>7944</v>
      </c>
      <c r="V66" s="6">
        <f t="shared" si="19"/>
        <v>0.248685199098422</v>
      </c>
      <c r="W66" s="24">
        <f t="shared" si="20"/>
        <v>57762.6049</v>
      </c>
      <c r="X66" s="18">
        <f t="shared" si="21"/>
        <v>0.507480092945915</v>
      </c>
      <c r="Y66" s="18">
        <f t="shared" si="22"/>
        <v>33.0152948508062</v>
      </c>
      <c r="Z66" s="18">
        <f t="shared" si="23"/>
        <v>1.31195801742036</v>
      </c>
      <c r="AA66" t="str">
        <f t="shared" si="24"/>
        <v>偏难</v>
      </c>
      <c r="AB66" t="str">
        <f t="shared" si="25"/>
        <v>有效</v>
      </c>
      <c r="AC66" t="str">
        <f t="shared" ref="AC66:AC76" si="28">IF(C66&lt;&gt;C65,"新玩法组",IF(J66&gt;=J65,"不降","回退"))</f>
        <v>不降</v>
      </c>
      <c r="AD66" t="s">
        <v>5930</v>
      </c>
      <c r="AE66" s="4">
        <v>78600</v>
      </c>
      <c r="AF66" s="4">
        <f>INDEX(_统一战力!$B$2:$B$501,J66)</f>
        <v>161000</v>
      </c>
    </row>
    <row r="67" spans="1:32">
      <c r="A67" t="s">
        <v>5548</v>
      </c>
      <c r="B67" t="s">
        <v>5804</v>
      </c>
      <c r="C67" t="s">
        <v>5856</v>
      </c>
      <c r="D67" t="s">
        <v>5909</v>
      </c>
      <c r="E67" t="s">
        <v>5931</v>
      </c>
      <c r="F67" t="s">
        <v>154</v>
      </c>
      <c r="G67">
        <v>55</v>
      </c>
      <c r="I67">
        <f t="shared" si="18"/>
        <v>55</v>
      </c>
      <c r="J67">
        <v>97</v>
      </c>
      <c r="K67" s="23">
        <v>1.3</v>
      </c>
      <c r="L67" s="23">
        <v>1.3</v>
      </c>
      <c r="M67" s="23">
        <v>1</v>
      </c>
      <c r="N67">
        <v>1</v>
      </c>
      <c r="O67">
        <v>1</v>
      </c>
      <c r="P67" s="18">
        <v>0.384910163479594</v>
      </c>
      <c r="Q67" s="24">
        <f>IF($I67="","",IFERROR(INDEX(_玩家曲线!$H$2:$H$286,MATCH($I67,_玩家曲线!$A$2:$A$286,0)),""))</f>
        <v>123546.244245202</v>
      </c>
      <c r="R67" s="24">
        <f>IF($I67="","",IFERROR(INDEX(_玩家曲线!$I$2:$I$286,MATCH($I67,_玩家曲线!$A$2:$A$286,0)),""))</f>
        <v>278746.593810699</v>
      </c>
      <c r="S67" s="24">
        <f>IF(OR($J67="",$F67="不适用"),"",IFERROR(INDEX(_怪物模型!$D$2:$D$4501,(INT($J67)-1)*ROWS(_怪物类型!$A$2:$A$10)+MATCH($F67,_怪物类型!$A$2:$A$10,0))*IF($K67="",1,$K67),""))</f>
        <v>46025.2</v>
      </c>
      <c r="T67" s="24">
        <f>IF(OR($J67="",$F67="不适用"),"",IFERROR(INDEX(_怪物模型!$E$2:$E$4501,(INT($J67)-1)*ROWS(_怪物类型!$A$2:$A$10)+MATCH($F67,_怪物类型!$A$2:$A$10,0))*IF($L67="",1,$L67),""))</f>
        <v>8251.1</v>
      </c>
      <c r="U67" s="24">
        <f>IF(OR($J67="",$F67="不适用"),"",IFERROR(INDEX(_怪物模型!$F$2:$F$4501,(INT($J67)-1)*ROWS(_怪物类型!$A$2:$A$10)+MATCH($F67,_怪物类型!$A$2:$A$10,0))*IF($M67="",1,$M67),""))</f>
        <v>8231</v>
      </c>
      <c r="V67" s="6">
        <f t="shared" si="19"/>
        <v>0.255375259843008</v>
      </c>
      <c r="W67" s="24">
        <f t="shared" si="20"/>
        <v>61809.9258833333</v>
      </c>
      <c r="X67" s="18">
        <f t="shared" si="21"/>
        <v>0.500297894613933</v>
      </c>
      <c r="Y67" s="18">
        <f t="shared" si="22"/>
        <v>33.7829615215788</v>
      </c>
      <c r="Z67" s="18">
        <f t="shared" si="23"/>
        <v>1.29977834331843</v>
      </c>
      <c r="AA67" t="str">
        <f t="shared" si="24"/>
        <v>偏难</v>
      </c>
      <c r="AB67" t="str">
        <f t="shared" si="25"/>
        <v>有效</v>
      </c>
      <c r="AC67" t="str">
        <f t="shared" si="28"/>
        <v>不降</v>
      </c>
      <c r="AD67" t="s">
        <v>5932</v>
      </c>
      <c r="AE67" s="4">
        <v>82700</v>
      </c>
      <c r="AF67" s="4">
        <f>INDEX(_统一战力!$B$2:$B$501,J67)</f>
        <v>170000</v>
      </c>
    </row>
    <row r="68" spans="1:32">
      <c r="A68" t="s">
        <v>5548</v>
      </c>
      <c r="B68" t="s">
        <v>5804</v>
      </c>
      <c r="C68" t="s">
        <v>5856</v>
      </c>
      <c r="D68" t="s">
        <v>5912</v>
      </c>
      <c r="E68" t="s">
        <v>5933</v>
      </c>
      <c r="F68" t="s">
        <v>154</v>
      </c>
      <c r="G68">
        <v>57</v>
      </c>
      <c r="I68">
        <f t="shared" si="18"/>
        <v>57</v>
      </c>
      <c r="J68">
        <v>99</v>
      </c>
      <c r="K68" s="23">
        <v>1.3</v>
      </c>
      <c r="L68" s="23">
        <v>1.3</v>
      </c>
      <c r="M68" s="23">
        <v>1</v>
      </c>
      <c r="N68">
        <v>1</v>
      </c>
      <c r="O68">
        <v>1</v>
      </c>
      <c r="P68" s="18">
        <v>0.37708702952377</v>
      </c>
      <c r="Q68" s="24">
        <f>IF($I68="","",IFERROR(INDEX(_玩家曲线!$H$2:$H$286,MATCH($I68,_玩家曲线!$A$2:$A$286,0)),""))</f>
        <v>132150.182793862</v>
      </c>
      <c r="R68" s="24">
        <f>IF($I68="","",IFERROR(INDEX(_玩家曲线!$I$2:$I$286,MATCH($I68,_玩家曲线!$A$2:$A$286,0)),""))</f>
        <v>294315.434812568</v>
      </c>
      <c r="S68" s="24">
        <f>IF(OR($J68="",$F68="不适用"),"",IFERROR(INDEX(_怪物模型!$D$2:$D$4501,(INT($J68)-1)*ROWS(_怪物类型!$A$2:$A$10)+MATCH($F68,_怪物类型!$A$2:$A$10,0))*IF($K68="",1,$K68),""))</f>
        <v>47832.2</v>
      </c>
      <c r="T68" s="24">
        <f>IF(OR($J68="",$F68="不适用"),"",IFERROR(INDEX(_怪物模型!$E$2:$E$4501,(INT($J68)-1)*ROWS(_怪物类型!$A$2:$A$10)+MATCH($F68,_怪物类型!$A$2:$A$10,0))*IF($L68="",1,$L68),""))</f>
        <v>8487.7</v>
      </c>
      <c r="U68" s="24">
        <f>IF(OR($J68="",$F68="不适用"),"",IFERROR(INDEX(_怪物模型!$F$2:$F$4501,(INT($J68)-1)*ROWS(_怪物类型!$A$2:$A$10)+MATCH($F68,_怪物类型!$A$2:$A$10,0))*IF($M68="",1,$M68),""))</f>
        <v>8423</v>
      </c>
      <c r="V68" s="6">
        <f t="shared" si="19"/>
        <v>0.259784720722944</v>
      </c>
      <c r="W68" s="24">
        <f t="shared" si="20"/>
        <v>64619.3091916667</v>
      </c>
      <c r="X68" s="18">
        <f t="shared" si="21"/>
        <v>0.48898388050257</v>
      </c>
      <c r="Y68" s="18">
        <f t="shared" si="22"/>
        <v>34.6755227932853</v>
      </c>
      <c r="Z68" s="18">
        <f t="shared" si="23"/>
        <v>1.29674012155793</v>
      </c>
      <c r="AA68" t="str">
        <f t="shared" si="24"/>
        <v>偏难</v>
      </c>
      <c r="AB68" t="str">
        <f t="shared" si="25"/>
        <v>有效</v>
      </c>
      <c r="AC68" t="str">
        <f t="shared" si="28"/>
        <v>不降</v>
      </c>
      <c r="AD68" t="s">
        <v>5934</v>
      </c>
      <c r="AE68" s="4">
        <v>87000</v>
      </c>
      <c r="AF68" s="4">
        <f>INDEX(_统一战力!$B$2:$B$501,J68)</f>
        <v>175000</v>
      </c>
    </row>
    <row r="69" spans="1:32">
      <c r="A69" t="s">
        <v>5548</v>
      </c>
      <c r="B69" t="s">
        <v>5804</v>
      </c>
      <c r="C69" t="s">
        <v>5856</v>
      </c>
      <c r="D69" t="s">
        <v>5915</v>
      </c>
      <c r="E69" t="s">
        <v>5935</v>
      </c>
      <c r="F69" t="s">
        <v>154</v>
      </c>
      <c r="G69">
        <v>58</v>
      </c>
      <c r="I69">
        <f t="shared" si="18"/>
        <v>58</v>
      </c>
      <c r="J69">
        <v>102</v>
      </c>
      <c r="K69" s="23">
        <v>1.3</v>
      </c>
      <c r="L69" s="23">
        <v>1.3</v>
      </c>
      <c r="M69" s="23">
        <v>1</v>
      </c>
      <c r="N69">
        <v>1</v>
      </c>
      <c r="O69">
        <v>1</v>
      </c>
      <c r="P69" s="18">
        <v>0.384387748628141</v>
      </c>
      <c r="Q69" s="24">
        <f>IF($I69="","",IFERROR(INDEX(_玩家曲线!$H$2:$H$286,MATCH($I69,_玩家曲线!$A$2:$A$286,0)),""))</f>
        <v>136607.494103308</v>
      </c>
      <c r="R69" s="24">
        <f>IF($I69="","",IFERROR(INDEX(_玩家曲线!$I$2:$I$286,MATCH($I69,_玩家曲线!$A$2:$A$286,0)),""))</f>
        <v>302293.344300543</v>
      </c>
      <c r="S69" s="24">
        <f>IF(OR($J69="",$F69="不适用"),"",IFERROR(INDEX(_怪物模型!$D$2:$D$4501,(INT($J69)-1)*ROWS(_怪物类型!$A$2:$A$10)+MATCH($F69,_怪物类型!$A$2:$A$10,0))*IF($K69="",1,$K69),""))</f>
        <v>50628.5</v>
      </c>
      <c r="T69" s="24">
        <f>IF(OR($J69="",$F69="不适用"),"",IFERROR(INDEX(_怪物模型!$E$2:$E$4501,(INT($J69)-1)*ROWS(_怪物类型!$A$2:$A$10)+MATCH($F69,_怪物类型!$A$2:$A$10,0))*IF($L69="",1,$L69),""))</f>
        <v>8849.1</v>
      </c>
      <c r="U69" s="24">
        <f>IF(OR($J69="",$F69="不适用"),"",IFERROR(INDEX(_怪物模型!$F$2:$F$4501,(INT($J69)-1)*ROWS(_怪物类型!$A$2:$A$10)+MATCH($F69,_怪物类型!$A$2:$A$10,0))*IF($M69="",1,$M69),""))</f>
        <v>8713</v>
      </c>
      <c r="V69" s="6">
        <f t="shared" si="19"/>
        <v>0.266346712316205</v>
      </c>
      <c r="W69" s="24">
        <f t="shared" si="20"/>
        <v>69008.7550208333</v>
      </c>
      <c r="X69" s="18">
        <f t="shared" si="21"/>
        <v>0.505160829380606</v>
      </c>
      <c r="Y69" s="18">
        <f t="shared" si="22"/>
        <v>34.1609140252165</v>
      </c>
      <c r="Z69" s="18">
        <f t="shared" si="23"/>
        <v>1.31419596796073</v>
      </c>
      <c r="AA69" t="str">
        <f t="shared" si="24"/>
        <v>偏难</v>
      </c>
      <c r="AB69" t="str">
        <f t="shared" si="25"/>
        <v>有效</v>
      </c>
      <c r="AC69" t="str">
        <f t="shared" si="28"/>
        <v>不降</v>
      </c>
      <c r="AD69" t="s">
        <v>5936</v>
      </c>
      <c r="AE69" s="4">
        <v>91400</v>
      </c>
      <c r="AF69" s="4">
        <f>INDEX(_统一战力!$B$2:$B$501,J69)</f>
        <v>191000</v>
      </c>
    </row>
    <row r="70" spans="1:32">
      <c r="A70" t="s">
        <v>5548</v>
      </c>
      <c r="B70" t="s">
        <v>5804</v>
      </c>
      <c r="C70" t="s">
        <v>5856</v>
      </c>
      <c r="D70" t="s">
        <v>5918</v>
      </c>
      <c r="E70" t="s">
        <v>5937</v>
      </c>
      <c r="F70" t="s">
        <v>154</v>
      </c>
      <c r="G70">
        <v>60</v>
      </c>
      <c r="I70">
        <f t="shared" si="18"/>
        <v>60</v>
      </c>
      <c r="J70">
        <v>104</v>
      </c>
      <c r="K70" s="23">
        <v>1.3</v>
      </c>
      <c r="L70" s="23">
        <v>1.3</v>
      </c>
      <c r="M70" s="23">
        <v>1</v>
      </c>
      <c r="N70">
        <v>1</v>
      </c>
      <c r="O70">
        <v>1</v>
      </c>
      <c r="P70" s="18">
        <v>0.378407082586889</v>
      </c>
      <c r="Q70" s="24">
        <f>IF($I70="","",IFERROR(INDEX(_玩家曲线!$H$2:$H$286,MATCH($I70,_玩家曲线!$A$2:$A$286,0)),""))</f>
        <v>145842.967208347</v>
      </c>
      <c r="R70" s="24">
        <f>IF($I70="","",IFERROR(INDEX(_玩家曲线!$I$2:$I$286,MATCH($I70,_玩家曲线!$A$2:$A$286,0)),""))</f>
        <v>318642.987455275</v>
      </c>
      <c r="S70" s="24">
        <f>IF(OR($J70="",$F70="不适用"),"",IFERROR(INDEX(_怪物模型!$D$2:$D$4501,(INT($J70)-1)*ROWS(_怪物类型!$A$2:$A$10)+MATCH($F70,_怪物类型!$A$2:$A$10,0))*IF($K70="",1,$K70),""))</f>
        <v>52551.2</v>
      </c>
      <c r="T70" s="24">
        <f>IF(OR($J70="",$F70="不适用"),"",IFERROR(INDEX(_怪物模型!$E$2:$E$4501,(INT($J70)-1)*ROWS(_怪物类型!$A$2:$A$10)+MATCH($F70,_怪物类型!$A$2:$A$10,0))*IF($L70="",1,$L70),""))</f>
        <v>9094.8</v>
      </c>
      <c r="U70" s="24">
        <f>IF(OR($J70="",$F70="不适用"),"",IFERROR(INDEX(_怪物模型!$F$2:$F$4501,(INT($J70)-1)*ROWS(_怪物类型!$A$2:$A$10)+MATCH($F70,_怪物类型!$A$2:$A$10,0))*IF($M70="",1,$M70),""))</f>
        <v>8907</v>
      </c>
      <c r="V70" s="6">
        <f t="shared" si="19"/>
        <v>0.270671893518096</v>
      </c>
      <c r="W70" s="24">
        <f t="shared" si="20"/>
        <v>72054.2641</v>
      </c>
      <c r="X70" s="18">
        <f t="shared" si="21"/>
        <v>0.494053744786099</v>
      </c>
      <c r="Y70" s="18">
        <f t="shared" si="22"/>
        <v>35.0357333262166</v>
      </c>
      <c r="Z70" s="18">
        <f t="shared" si="23"/>
        <v>1.30561442298759</v>
      </c>
      <c r="AA70" t="str">
        <f t="shared" si="24"/>
        <v>偏难</v>
      </c>
      <c r="AB70" t="str">
        <f t="shared" si="25"/>
        <v>有效</v>
      </c>
      <c r="AC70" t="str">
        <f t="shared" si="28"/>
        <v>不降</v>
      </c>
      <c r="AD70" t="s">
        <v>5938</v>
      </c>
      <c r="AE70" s="4">
        <v>91400</v>
      </c>
      <c r="AF70" s="4">
        <f>INDEX(_统一战力!$B$2:$B$501,J70)</f>
        <v>197000</v>
      </c>
    </row>
    <row r="71" spans="1:32">
      <c r="A71" t="s">
        <v>5548</v>
      </c>
      <c r="B71" t="s">
        <v>5804</v>
      </c>
      <c r="C71" t="s">
        <v>5856</v>
      </c>
      <c r="D71" t="s">
        <v>5921</v>
      </c>
      <c r="E71">
        <v>150410</v>
      </c>
      <c r="F71" t="s">
        <v>154</v>
      </c>
      <c r="G71">
        <v>61</v>
      </c>
      <c r="I71">
        <f t="shared" si="18"/>
        <v>61</v>
      </c>
      <c r="J71">
        <v>105</v>
      </c>
      <c r="K71" s="23">
        <v>1.3</v>
      </c>
      <c r="L71" s="23">
        <v>1.3</v>
      </c>
      <c r="M71" s="23">
        <v>1</v>
      </c>
      <c r="N71">
        <v>1</v>
      </c>
      <c r="O71">
        <v>1</v>
      </c>
      <c r="P71" s="18">
        <v>0.378407082586889</v>
      </c>
      <c r="Q71" s="24">
        <f>IF($I71="","",IFERROR(INDEX(_玩家曲线!$H$2:$H$286,MATCH($I71,_玩家曲线!$A$2:$A$286,0)),""))</f>
        <v>150625.293796219</v>
      </c>
      <c r="R71" s="24">
        <f>IF($I71="","",IFERROR(INDEX(_玩家曲线!$I$2:$I$286,MATCH($I71,_玩家曲线!$A$2:$A$286,0)),""))</f>
        <v>327017.486361194</v>
      </c>
      <c r="S71" s="24">
        <f>IF(OR($J71="",$F71="不适用"),"",IFERROR(INDEX(_怪物模型!$D$2:$D$4501,(INT($J71)-1)*ROWS(_怪物类型!$A$2:$A$10)+MATCH($F71,_怪物类型!$A$2:$A$10,0))*IF($K71="",1,$K71),""))</f>
        <v>53530.1</v>
      </c>
      <c r="T71" s="24">
        <f>IF(OR($J71="",$F71="不适用"),"",IFERROR(INDEX(_怪物模型!$E$2:$E$4501,(INT($J71)-1)*ROWS(_怪物类型!$A$2:$A$10)+MATCH($F71,_怪物类型!$A$2:$A$10,0))*IF($L71="",1,$L71),""))</f>
        <v>9218.3</v>
      </c>
      <c r="U71" s="24">
        <f>IF(OR($J71="",$F71="不适用"),"",IFERROR(INDEX(_怪物模型!$F$2:$F$4501,(INT($J71)-1)*ROWS(_怪物类型!$A$2:$A$10)+MATCH($F71,_怪物类型!$A$2:$A$10,0))*IF($M71="",1,$M71),""))</f>
        <v>9005</v>
      </c>
      <c r="V71" s="6">
        <f t="shared" si="19"/>
        <v>0.272837448871383</v>
      </c>
      <c r="W71" s="24">
        <f t="shared" si="20"/>
        <v>73615.0396041667</v>
      </c>
      <c r="X71" s="18">
        <f t="shared" si="21"/>
        <v>0.488729600114576</v>
      </c>
      <c r="Y71" s="18">
        <f t="shared" si="22"/>
        <v>35.4748149182815</v>
      </c>
      <c r="Z71" s="18">
        <f t="shared" si="23"/>
        <v>1.29154453657023</v>
      </c>
      <c r="AA71" t="str">
        <f t="shared" si="24"/>
        <v>偏难</v>
      </c>
      <c r="AB71" t="str">
        <f t="shared" si="25"/>
        <v>有效</v>
      </c>
      <c r="AC71" t="str">
        <f t="shared" si="28"/>
        <v>不降</v>
      </c>
      <c r="AE71" s="4">
        <v>95900</v>
      </c>
      <c r="AF71" s="4">
        <f>INDEX(_统一战力!$B$2:$B$501,J71)</f>
        <v>204000</v>
      </c>
    </row>
    <row r="72" spans="1:32">
      <c r="A72" t="s">
        <v>5548</v>
      </c>
      <c r="B72" t="s">
        <v>5804</v>
      </c>
      <c r="C72" t="s">
        <v>5856</v>
      </c>
      <c r="D72" t="s">
        <v>5922</v>
      </c>
      <c r="E72">
        <v>150411</v>
      </c>
      <c r="F72" t="s">
        <v>154</v>
      </c>
      <c r="G72">
        <v>62</v>
      </c>
      <c r="I72">
        <f t="shared" si="18"/>
        <v>62</v>
      </c>
      <c r="J72">
        <v>106</v>
      </c>
      <c r="K72" s="23">
        <v>1.3</v>
      </c>
      <c r="L72" s="23">
        <v>1.3</v>
      </c>
      <c r="M72" s="23">
        <v>1</v>
      </c>
      <c r="N72">
        <v>1</v>
      </c>
      <c r="O72">
        <v>1</v>
      </c>
      <c r="P72" s="18">
        <v>0.378407082586889</v>
      </c>
      <c r="Q72" s="24">
        <f>IF($I72="","",IFERROR(INDEX(_玩家曲线!$H$2:$H$286,MATCH($I72,_玩家曲线!$A$2:$A$286,0)),""))</f>
        <v>155520.17908224</v>
      </c>
      <c r="R72" s="24">
        <f>IF($I72="","",IFERROR(INDEX(_玩家曲线!$I$2:$I$286,MATCH($I72,_玩家曲线!$A$2:$A$286,0)),""))</f>
        <v>335526.961890732</v>
      </c>
      <c r="S72" s="24">
        <f>IF(OR($J72="",$F72="不适用"),"",IFERROR(INDEX(_怪物模型!$D$2:$D$4501,(INT($J72)-1)*ROWS(_怪物类型!$A$2:$A$10)+MATCH($F72,_怪物类型!$A$2:$A$10,0))*IF($K72="",1,$K72),""))</f>
        <v>54520.7</v>
      </c>
      <c r="T72" s="24">
        <f>IF(OR($J72="",$F72="不适用"),"",IFERROR(INDEX(_怪物模型!$E$2:$E$4501,(INT($J72)-1)*ROWS(_怪物类型!$A$2:$A$10)+MATCH($F72,_怪物类型!$A$2:$A$10,0))*IF($L72="",1,$L72),""))</f>
        <v>9341.8</v>
      </c>
      <c r="U72" s="24">
        <f>IF(OR($J72="",$F72="不适用"),"",IFERROR(INDEX(_怪物模型!$F$2:$F$4501,(INT($J72)-1)*ROWS(_怪物类型!$A$2:$A$10)+MATCH($F72,_怪物类型!$A$2:$A$10,0))*IF($M72="",1,$M72),""))</f>
        <v>9103</v>
      </c>
      <c r="V72" s="6">
        <f t="shared" si="19"/>
        <v>0.274990182158717</v>
      </c>
      <c r="W72" s="24">
        <f t="shared" si="20"/>
        <v>75199.9471708333</v>
      </c>
      <c r="X72" s="18">
        <f t="shared" si="21"/>
        <v>0.48353819815927</v>
      </c>
      <c r="Y72" s="18">
        <f t="shared" si="22"/>
        <v>35.9167357351615</v>
      </c>
      <c r="Z72" s="18">
        <f t="shared" si="23"/>
        <v>1.277825443577</v>
      </c>
      <c r="AA72" t="str">
        <f t="shared" si="24"/>
        <v>偏难</v>
      </c>
      <c r="AB72" t="str">
        <f t="shared" si="25"/>
        <v>有效</v>
      </c>
      <c r="AC72" t="str">
        <f t="shared" si="28"/>
        <v>不降</v>
      </c>
      <c r="AE72" s="4">
        <v>95900</v>
      </c>
      <c r="AF72" s="4">
        <f>INDEX(_统一战力!$B$2:$B$501,J72)</f>
        <v>211000</v>
      </c>
    </row>
    <row r="73" spans="1:32">
      <c r="A73" t="s">
        <v>5548</v>
      </c>
      <c r="B73" t="s">
        <v>5804</v>
      </c>
      <c r="C73" t="s">
        <v>5856</v>
      </c>
      <c r="D73" t="s">
        <v>5923</v>
      </c>
      <c r="E73">
        <v>150412</v>
      </c>
      <c r="F73" t="s">
        <v>154</v>
      </c>
      <c r="G73">
        <v>63</v>
      </c>
      <c r="I73">
        <f t="shared" si="18"/>
        <v>63</v>
      </c>
      <c r="J73">
        <v>107</v>
      </c>
      <c r="K73" s="23">
        <v>1.3</v>
      </c>
      <c r="L73" s="23">
        <v>1.3</v>
      </c>
      <c r="M73" s="23">
        <v>1</v>
      </c>
      <c r="N73">
        <v>1</v>
      </c>
      <c r="O73">
        <v>1</v>
      </c>
      <c r="P73" s="18">
        <v>0.378407082586889</v>
      </c>
      <c r="Q73" s="24">
        <f>IF($I73="","",IFERROR(INDEX(_玩家曲线!$H$2:$H$286,MATCH($I73,_玩家曲线!$A$2:$A$286,0)),""))</f>
        <v>160529.789272844</v>
      </c>
      <c r="R73" s="24">
        <f>IF($I73="","",IFERROR(INDEX(_玩家曲线!$I$2:$I$286,MATCH($I73,_玩家曲线!$A$2:$A$286,0)),""))</f>
        <v>344172.819061175</v>
      </c>
      <c r="S73" s="24">
        <f>IF(OR($J73="",$F73="不适用"),"",IFERROR(INDEX(_怪物模型!$D$2:$D$4501,(INT($J73)-1)*ROWS(_怪物类型!$A$2:$A$10)+MATCH($F73,_怪物类型!$A$2:$A$10,0))*IF($K73="",1,$K73),""))</f>
        <v>55523</v>
      </c>
      <c r="T73" s="24">
        <f>IF(OR($J73="",$F73="不适用"),"",IFERROR(INDEX(_怪物模型!$E$2:$E$4501,(INT($J73)-1)*ROWS(_怪物类型!$A$2:$A$10)+MATCH($F73,_怪物类型!$A$2:$A$10,0))*IF($L73="",1,$L73),""))</f>
        <v>9467.9</v>
      </c>
      <c r="U73" s="24">
        <f>IF(OR($J73="",$F73="不适用"),"",IFERROR(INDEX(_怪物模型!$F$2:$F$4501,(INT($J73)-1)*ROWS(_怪物类型!$A$2:$A$10)+MATCH($F73,_怪物类型!$A$2:$A$10,0))*IF($M73="",1,$M73),""))</f>
        <v>9201</v>
      </c>
      <c r="V73" s="6">
        <f t="shared" si="19"/>
        <v>0.277130206921478</v>
      </c>
      <c r="W73" s="24">
        <f t="shared" si="20"/>
        <v>76809.130125</v>
      </c>
      <c r="X73" s="18">
        <f t="shared" si="21"/>
        <v>0.478472752458745</v>
      </c>
      <c r="Y73" s="18">
        <f t="shared" si="22"/>
        <v>36.3515477625635</v>
      </c>
      <c r="Z73" s="18">
        <f t="shared" si="23"/>
        <v>1.26443920972034</v>
      </c>
      <c r="AA73" t="str">
        <f t="shared" si="24"/>
        <v>偏难</v>
      </c>
      <c r="AB73" t="str">
        <f t="shared" si="25"/>
        <v>有效</v>
      </c>
      <c r="AC73" t="str">
        <f t="shared" si="28"/>
        <v>不降</v>
      </c>
      <c r="AE73" s="4">
        <v>95900</v>
      </c>
      <c r="AF73" s="4">
        <f>INDEX(_统一战力!$B$2:$B$501,J73)</f>
        <v>211000</v>
      </c>
    </row>
    <row r="74" spans="1:32">
      <c r="A74" t="s">
        <v>5548</v>
      </c>
      <c r="B74" t="s">
        <v>5804</v>
      </c>
      <c r="C74" t="s">
        <v>5856</v>
      </c>
      <c r="D74" t="s">
        <v>5924</v>
      </c>
      <c r="E74">
        <v>150413</v>
      </c>
      <c r="F74" t="s">
        <v>154</v>
      </c>
      <c r="G74">
        <v>64</v>
      </c>
      <c r="I74">
        <f t="shared" si="18"/>
        <v>64</v>
      </c>
      <c r="J74">
        <v>108</v>
      </c>
      <c r="K74" s="23">
        <v>1.3</v>
      </c>
      <c r="L74" s="23">
        <v>1.3</v>
      </c>
      <c r="M74" s="23">
        <v>1</v>
      </c>
      <c r="N74">
        <v>1</v>
      </c>
      <c r="O74">
        <v>1</v>
      </c>
      <c r="P74" s="18">
        <v>0.378407082586889</v>
      </c>
      <c r="Q74" s="24">
        <f>IF($I74="","",IFERROR(INDEX(_玩家曲线!$H$2:$H$286,MATCH($I74,_玩家曲线!$A$2:$A$286,0)),""))</f>
        <v>165656.324811522</v>
      </c>
      <c r="R74" s="24">
        <f>IF($I74="","",IFERROR(INDEX(_玩家曲线!$I$2:$I$286,MATCH($I74,_玩家曲线!$A$2:$A$286,0)),""))</f>
        <v>352956.471884879</v>
      </c>
      <c r="S74" s="24">
        <f>IF(OR($J74="",$F74="不适用"),"",IFERROR(INDEX(_怪物模型!$D$2:$D$4501,(INT($J74)-1)*ROWS(_怪物类型!$A$2:$A$10)+MATCH($F74,_怪物类型!$A$2:$A$10,0))*IF($K74="",1,$K74),""))</f>
        <v>56537</v>
      </c>
      <c r="T74" s="24">
        <f>IF(OR($J74="",$F74="不适用"),"",IFERROR(INDEX(_怪物模型!$E$2:$E$4501,(INT($J74)-1)*ROWS(_怪物类型!$A$2:$A$10)+MATCH($F74,_怪物类型!$A$2:$A$10,0))*IF($L74="",1,$L74),""))</f>
        <v>9594</v>
      </c>
      <c r="U74" s="24">
        <f>IF(OR($J74="",$F74="不适用"),"",IFERROR(INDEX(_怪物模型!$F$2:$F$4501,(INT($J74)-1)*ROWS(_怪物类型!$A$2:$A$10)+MATCH($F74,_怪物类型!$A$2:$A$10,0))*IF($M74="",1,$M74),""))</f>
        <v>9299</v>
      </c>
      <c r="V74" s="6">
        <f t="shared" si="19"/>
        <v>0.279257635364425</v>
      </c>
      <c r="W74" s="24">
        <f t="shared" si="20"/>
        <v>78442.7317916667</v>
      </c>
      <c r="X74" s="18">
        <f t="shared" si="21"/>
        <v>0.473526935243288</v>
      </c>
      <c r="Y74" s="18">
        <f t="shared" si="22"/>
        <v>36.7892924624639</v>
      </c>
      <c r="Z74" s="18">
        <f t="shared" si="23"/>
        <v>1.25136911287742</v>
      </c>
      <c r="AA74" t="str">
        <f t="shared" si="24"/>
        <v>偏难</v>
      </c>
      <c r="AB74" t="str">
        <f t="shared" si="25"/>
        <v>有效</v>
      </c>
      <c r="AC74" t="str">
        <f t="shared" si="28"/>
        <v>不降</v>
      </c>
      <c r="AE74" s="4">
        <v>95900</v>
      </c>
      <c r="AF74" s="4">
        <f>INDEX(_统一战力!$B$2:$B$501,J74)</f>
        <v>218000</v>
      </c>
    </row>
    <row r="75" spans="1:32">
      <c r="A75" t="s">
        <v>5548</v>
      </c>
      <c r="B75" t="s">
        <v>5804</v>
      </c>
      <c r="C75" t="s">
        <v>5856</v>
      </c>
      <c r="D75" t="s">
        <v>5925</v>
      </c>
      <c r="E75">
        <v>150414</v>
      </c>
      <c r="F75" t="s">
        <v>154</v>
      </c>
      <c r="G75">
        <v>65</v>
      </c>
      <c r="I75">
        <f t="shared" si="18"/>
        <v>65</v>
      </c>
      <c r="J75">
        <v>109</v>
      </c>
      <c r="K75" s="23">
        <v>1.3</v>
      </c>
      <c r="L75" s="23">
        <v>1.3</v>
      </c>
      <c r="M75" s="23">
        <v>1</v>
      </c>
      <c r="N75">
        <v>1</v>
      </c>
      <c r="O75">
        <v>1</v>
      </c>
      <c r="P75" s="18">
        <v>0.378407082586889</v>
      </c>
      <c r="Q75" s="24">
        <f>IF($I75="","",IFERROR(INDEX(_玩家曲线!$H$2:$H$286,MATCH($I75,_玩家曲线!$A$2:$A$286,0)),""))</f>
        <v>171927.518056297</v>
      </c>
      <c r="R75" s="24">
        <f>IF($I75="","",IFERROR(INDEX(_玩家曲线!$I$2:$I$286,MATCH($I75,_玩家曲线!$A$2:$A$286,0)),""))</f>
        <v>364957.353601822</v>
      </c>
      <c r="S75" s="24">
        <f>IF(OR($J75="",$F75="不适用"),"",IFERROR(INDEX(_怪物模型!$D$2:$D$4501,(INT($J75)-1)*ROWS(_怪物类型!$A$2:$A$10)+MATCH($F75,_怪物类型!$A$2:$A$10,0))*IF($K75="",1,$K75),""))</f>
        <v>57564</v>
      </c>
      <c r="T75" s="24">
        <f>IF(OR($J75="",$F75="不适用"),"",IFERROR(INDEX(_怪物模型!$E$2:$E$4501,(INT($J75)-1)*ROWS(_怪物类型!$A$2:$A$10)+MATCH($F75,_怪物类型!$A$2:$A$10,0))*IF($L75="",1,$L75),""))</f>
        <v>9721.4</v>
      </c>
      <c r="U75" s="24">
        <f>IF(OR($J75="",$F75="不适用"),"",IFERROR(INDEX(_怪物模型!$F$2:$F$4501,(INT($J75)-1)*ROWS(_怪物类型!$A$2:$A$10)+MATCH($F75,_怪物类型!$A$2:$A$10,0))*IF($M75="",1,$M75),""))</f>
        <v>9398</v>
      </c>
      <c r="V75" s="6">
        <f t="shared" si="19"/>
        <v>0.281394095454818</v>
      </c>
      <c r="W75" s="24">
        <f t="shared" si="20"/>
        <v>80105.103</v>
      </c>
      <c r="X75" s="18">
        <f t="shared" si="21"/>
        <v>0.465923686362819</v>
      </c>
      <c r="Y75" s="18">
        <f t="shared" si="22"/>
        <v>37.5416456067873</v>
      </c>
      <c r="Z75" s="18">
        <f t="shared" si="23"/>
        <v>1.23127633652532</v>
      </c>
      <c r="AA75" t="str">
        <f t="shared" si="24"/>
        <v>偏难</v>
      </c>
      <c r="AB75" t="str">
        <f t="shared" si="25"/>
        <v>有效</v>
      </c>
      <c r="AC75" t="str">
        <f t="shared" si="28"/>
        <v>不降</v>
      </c>
      <c r="AE75" s="4">
        <v>101000</v>
      </c>
      <c r="AF75" s="4">
        <f>INDEX(_统一战力!$B$2:$B$501,J75)</f>
        <v>225000</v>
      </c>
    </row>
    <row r="76" spans="1:32">
      <c r="A76" t="s">
        <v>5548</v>
      </c>
      <c r="B76" t="s">
        <v>5804</v>
      </c>
      <c r="C76" t="s">
        <v>5856</v>
      </c>
      <c r="D76" t="s">
        <v>5926</v>
      </c>
      <c r="E76">
        <v>150415</v>
      </c>
      <c r="F76" t="s">
        <v>154</v>
      </c>
      <c r="G76">
        <v>66</v>
      </c>
      <c r="I76">
        <f t="shared" si="18"/>
        <v>66</v>
      </c>
      <c r="J76">
        <v>110</v>
      </c>
      <c r="K76" s="23">
        <v>1.3</v>
      </c>
      <c r="L76" s="23">
        <v>1.3</v>
      </c>
      <c r="M76" s="23">
        <v>1</v>
      </c>
      <c r="N76">
        <v>1</v>
      </c>
      <c r="O76">
        <v>1</v>
      </c>
      <c r="P76" s="18">
        <v>0.378407082586889</v>
      </c>
      <c r="Q76" s="24">
        <f>IF($I76="","",IFERROR(INDEX(_玩家曲线!$H$2:$H$286,MATCH($I76,_玩家曲线!$A$2:$A$286,0)),""))</f>
        <v>178344.228129454</v>
      </c>
      <c r="R76" s="24">
        <f>IF($I76="","",IFERROR(INDEX(_玩家曲线!$I$2:$I$286,MATCH($I76,_玩家曲线!$A$2:$A$286,0)),""))</f>
        <v>377173.040240432</v>
      </c>
      <c r="S76" s="24">
        <f>IF(OR($J76="",$F76="不适用"),"",IFERROR(INDEX(_怪物模型!$D$2:$D$4501,(INT($J76)-1)*ROWS(_怪物类型!$A$2:$A$10)+MATCH($F76,_怪物类型!$A$2:$A$10,0))*IF($K76="",1,$K76),""))</f>
        <v>58604</v>
      </c>
      <c r="T76" s="24">
        <f>IF(OR($J76="",$F76="不适用"),"",IFERROR(INDEX(_怪物模型!$E$2:$E$4501,(INT($J76)-1)*ROWS(_怪物类型!$A$2:$A$10)+MATCH($F76,_怪物类型!$A$2:$A$10,0))*IF($L76="",1,$L76),""))</f>
        <v>9848.8</v>
      </c>
      <c r="U76" s="24">
        <f>IF(OR($J76="",$F76="不适用"),"",IFERROR(INDEX(_怪物模型!$F$2:$F$4501,(INT($J76)-1)*ROWS(_怪物类型!$A$2:$A$10)+MATCH($F76,_怪物类型!$A$2:$A$10,0))*IF($M76="",1,$M76),""))</f>
        <v>9496</v>
      </c>
      <c r="V76" s="6">
        <f t="shared" si="19"/>
        <v>0.283496536899928</v>
      </c>
      <c r="W76" s="24">
        <f t="shared" si="20"/>
        <v>81791.6493333333</v>
      </c>
      <c r="X76" s="18">
        <f t="shared" si="21"/>
        <v>0.458616744658333</v>
      </c>
      <c r="Y76" s="18">
        <f t="shared" si="22"/>
        <v>38.2963447567655</v>
      </c>
      <c r="Z76" s="18">
        <f t="shared" si="23"/>
        <v>1.2119665983076</v>
      </c>
      <c r="AA76" t="str">
        <f t="shared" si="24"/>
        <v>偏难</v>
      </c>
      <c r="AB76" t="str">
        <f t="shared" si="25"/>
        <v>有效</v>
      </c>
      <c r="AC76" t="str">
        <f t="shared" si="28"/>
        <v>不降</v>
      </c>
      <c r="AE76" s="4">
        <v>101000</v>
      </c>
      <c r="AF76" s="4">
        <f>INDEX(_统一战力!$B$2:$B$501,J76)</f>
        <v>225000</v>
      </c>
    </row>
    <row r="77" spans="1:32">
      <c r="A77" t="s">
        <v>5548</v>
      </c>
      <c r="B77" t="s">
        <v>5804</v>
      </c>
      <c r="C77" t="s">
        <v>5856</v>
      </c>
      <c r="D77" t="s">
        <v>5939</v>
      </c>
      <c r="E77" t="s">
        <v>5940</v>
      </c>
      <c r="F77" t="s">
        <v>154</v>
      </c>
      <c r="G77">
        <v>74</v>
      </c>
      <c r="I77">
        <f t="shared" si="18"/>
        <v>74</v>
      </c>
      <c r="J77">
        <v>125</v>
      </c>
      <c r="K77" s="23">
        <v>1.3</v>
      </c>
      <c r="L77" s="23">
        <v>1.3</v>
      </c>
      <c r="M77" s="23">
        <v>1</v>
      </c>
      <c r="N77">
        <v>1</v>
      </c>
      <c r="O77">
        <v>1</v>
      </c>
      <c r="P77" s="18">
        <v>0.363911410585384</v>
      </c>
      <c r="Q77" s="24">
        <f>IF($I77="","",IFERROR(INDEX(_玩家曲线!$H$2:$H$286,MATCH($I77,_玩家曲线!$A$2:$A$286,0)),""))</f>
        <v>229107.066317105</v>
      </c>
      <c r="R77" s="24">
        <f>IF($I77="","",IFERROR(INDEX(_玩家曲线!$I$2:$I$286,MATCH($I77,_玩家曲线!$A$2:$A$286,0)),""))</f>
        <v>471776.255639066</v>
      </c>
      <c r="S77" s="24">
        <f>IF(OR($J77="",$F77="不适用"),"",IFERROR(INDEX(_怪物模型!$D$2:$D$4501,(INT($J77)-1)*ROWS(_怪物类型!$A$2:$A$10)+MATCH($F77,_怪物类型!$A$2:$A$10,0))*IF($K77="",1,$K77),""))</f>
        <v>75743.2</v>
      </c>
      <c r="T77" s="24">
        <f>IF(OR($J77="",$F77="不适用"),"",IFERROR(INDEX(_怪物模型!$E$2:$E$4501,(INT($J77)-1)*ROWS(_怪物类型!$A$2:$A$10)+MATCH($F77,_怪物类型!$A$2:$A$10,0))*IF($L77="",1,$L77),""))</f>
        <v>11869</v>
      </c>
      <c r="U77" s="24">
        <f>IF(OR($J77="",$F77="不适用"),"",IFERROR(INDEX(_怪物模型!$F$2:$F$4501,(INT($J77)-1)*ROWS(_怪物类型!$A$2:$A$10)+MATCH($F77,_怪物类型!$A$2:$A$10,0))*IF($M77="",1,$M77),""))</f>
        <v>11005</v>
      </c>
      <c r="V77" s="6">
        <f t="shared" si="19"/>
        <v>0.314383659477218</v>
      </c>
      <c r="W77" s="24">
        <f t="shared" si="20"/>
        <v>110474.613166667</v>
      </c>
      <c r="X77" s="18">
        <f t="shared" si="21"/>
        <v>0.482196446153083</v>
      </c>
      <c r="Y77" s="18">
        <f t="shared" si="22"/>
        <v>39.7486102990198</v>
      </c>
      <c r="Z77" s="18">
        <f t="shared" si="23"/>
        <v>1.32503799586121</v>
      </c>
      <c r="AA77" t="str">
        <f t="shared" si="24"/>
        <v>偏难</v>
      </c>
      <c r="AB77" t="str">
        <f t="shared" si="25"/>
        <v>有效</v>
      </c>
      <c r="AC77" t="str">
        <f>IF(C77&lt;&gt;C70,"新玩法组",IF(J77&gt;=J70,"不降","回退"))</f>
        <v>不降</v>
      </c>
      <c r="AD77" t="s">
        <v>5941</v>
      </c>
      <c r="AE77" s="4">
        <v>125000</v>
      </c>
      <c r="AF77" s="4">
        <f>INDEX(_统一战力!$B$2:$B$501,J77)</f>
        <v>300000</v>
      </c>
    </row>
    <row r="78" spans="1:32">
      <c r="A78" t="s">
        <v>5548</v>
      </c>
      <c r="B78" t="s">
        <v>5804</v>
      </c>
      <c r="C78" t="s">
        <v>5856</v>
      </c>
      <c r="D78" t="s">
        <v>5942</v>
      </c>
      <c r="E78" t="s">
        <v>5943</v>
      </c>
      <c r="F78" t="s">
        <v>154</v>
      </c>
      <c r="G78">
        <v>76</v>
      </c>
      <c r="I78">
        <f t="shared" si="18"/>
        <v>76</v>
      </c>
      <c r="J78">
        <v>127</v>
      </c>
      <c r="K78" s="23">
        <v>1.3</v>
      </c>
      <c r="L78" s="23">
        <v>1.3</v>
      </c>
      <c r="M78" s="23">
        <v>1</v>
      </c>
      <c r="N78">
        <v>1</v>
      </c>
      <c r="O78">
        <v>1</v>
      </c>
      <c r="P78" s="18">
        <v>0.360023023588689</v>
      </c>
      <c r="Q78" s="24">
        <f>IF($I78="","",IFERROR(INDEX(_玩家曲线!$H$2:$H$286,MATCH($I78,_玩家曲线!$A$2:$A$286,0)),""))</f>
        <v>241771.641497773</v>
      </c>
      <c r="R78" s="24">
        <f>IF($I78="","",IFERROR(INDEX(_玩家曲线!$I$2:$I$286,MATCH($I78,_玩家曲线!$A$2:$A$286,0)),""))</f>
        <v>494857.08136754</v>
      </c>
      <c r="S78" s="24">
        <f>IF(OR($J78="",$F78="不适用"),"",IFERROR(INDEX(_怪物模型!$D$2:$D$4501,(INT($J78)-1)*ROWS(_怪物类型!$A$2:$A$10)+MATCH($F78,_怪物类型!$A$2:$A$10,0))*IF($K78="",1,$K78),""))</f>
        <v>78260</v>
      </c>
      <c r="T78" s="24">
        <f>IF(OR($J78="",$F78="不适用"),"",IFERROR(INDEX(_怪物模型!$E$2:$E$4501,(INT($J78)-1)*ROWS(_怪物类型!$A$2:$A$10)+MATCH($F78,_怪物类型!$A$2:$A$10,0))*IF($L78="",1,$L78),""))</f>
        <v>12153.7</v>
      </c>
      <c r="U78" s="24">
        <f>IF(OR($J78="",$F78="不适用"),"",IFERROR(INDEX(_怪物模型!$F$2:$F$4501,(INT($J78)-1)*ROWS(_怪物类型!$A$2:$A$10)+MATCH($F78,_怪物类型!$A$2:$A$10,0))*IF($M78="",1,$M78),""))</f>
        <v>11210</v>
      </c>
      <c r="V78" s="6">
        <f t="shared" si="19"/>
        <v>0.318375461516615</v>
      </c>
      <c r="W78" s="24">
        <f t="shared" si="20"/>
        <v>114813.941666667</v>
      </c>
      <c r="X78" s="18">
        <f t="shared" si="21"/>
        <v>0.474885892139357</v>
      </c>
      <c r="Y78" s="18">
        <f t="shared" si="22"/>
        <v>40.7165786030213</v>
      </c>
      <c r="Z78" s="18">
        <f t="shared" si="23"/>
        <v>1.31904311953642</v>
      </c>
      <c r="AA78" t="str">
        <f t="shared" si="24"/>
        <v>偏难</v>
      </c>
      <c r="AB78" t="str">
        <f t="shared" si="25"/>
        <v>有效</v>
      </c>
      <c r="AC78" t="str">
        <f t="shared" ref="AC78:AC88" si="29">IF(C78&lt;&gt;C77,"新玩法组",IF(J78&gt;=J77,"不降","回退"))</f>
        <v>不降</v>
      </c>
      <c r="AD78" t="s">
        <v>5944</v>
      </c>
      <c r="AE78" s="4">
        <v>131000</v>
      </c>
      <c r="AF78" s="4">
        <f>INDEX(_统一战力!$B$2:$B$501,J78)</f>
        <v>307000</v>
      </c>
    </row>
    <row r="79" spans="1:32">
      <c r="A79" t="s">
        <v>5548</v>
      </c>
      <c r="B79" t="s">
        <v>5804</v>
      </c>
      <c r="C79" t="s">
        <v>5856</v>
      </c>
      <c r="D79" t="s">
        <v>5945</v>
      </c>
      <c r="E79" t="s">
        <v>5946</v>
      </c>
      <c r="F79" t="s">
        <v>154</v>
      </c>
      <c r="G79">
        <v>77</v>
      </c>
      <c r="I79">
        <f t="shared" si="18"/>
        <v>77</v>
      </c>
      <c r="J79">
        <v>129</v>
      </c>
      <c r="K79" s="23">
        <v>1.3</v>
      </c>
      <c r="L79" s="23">
        <v>1.3</v>
      </c>
      <c r="M79" s="23">
        <v>1</v>
      </c>
      <c r="N79">
        <v>1</v>
      </c>
      <c r="O79">
        <v>1</v>
      </c>
      <c r="P79" s="18">
        <v>0.361434723734176</v>
      </c>
      <c r="Q79" s="24">
        <f>IF($I79="","",IFERROR(INDEX(_玩家曲线!$H$2:$H$286,MATCH($I79,_玩家曲线!$A$2:$A$286,0)),""))</f>
        <v>248276.053592022</v>
      </c>
      <c r="R79" s="24">
        <f>IF($I79="","",IFERROR(INDEX(_玩家曲线!$I$2:$I$286,MATCH($I79,_玩家曲线!$A$2:$A$286,0)),""))</f>
        <v>506633.48811103</v>
      </c>
      <c r="S79" s="24">
        <f>IF(OR($J79="",$F79="不适用"),"",IFERROR(INDEX(_怪物模型!$D$2:$D$4501,(INT($J79)-1)*ROWS(_怪物类型!$A$2:$A$10)+MATCH($F79,_怪物类型!$A$2:$A$10,0))*IF($K79="",1,$K79),""))</f>
        <v>80832.7</v>
      </c>
      <c r="T79" s="24">
        <f>IF(OR($J79="",$F79="不适用"),"",IFERROR(INDEX(_怪物模型!$E$2:$E$4501,(INT($J79)-1)*ROWS(_怪物类型!$A$2:$A$10)+MATCH($F79,_怪物类型!$A$2:$A$10,0))*IF($L79="",1,$L79),""))</f>
        <v>12441</v>
      </c>
      <c r="U79" s="24">
        <f>IF(OR($J79="",$F79="不适用"),"",IFERROR(INDEX(_怪物模型!$F$2:$F$4501,(INT($J79)-1)*ROWS(_怪物类型!$A$2:$A$10)+MATCH($F79,_怪物类型!$A$2:$A$10,0))*IF($M79="",1,$M79),""))</f>
        <v>11415</v>
      </c>
      <c r="V79" s="6">
        <f t="shared" si="19"/>
        <v>0.322321050402372</v>
      </c>
      <c r="W79" s="24">
        <f t="shared" si="20"/>
        <v>119278.7529375</v>
      </c>
      <c r="X79" s="18">
        <f t="shared" si="21"/>
        <v>0.480427939834681</v>
      </c>
      <c r="Y79" s="18">
        <f t="shared" si="22"/>
        <v>40.7228910948501</v>
      </c>
      <c r="Z79" s="18">
        <f t="shared" si="23"/>
        <v>1.32922463805116</v>
      </c>
      <c r="AA79" t="str">
        <f t="shared" si="24"/>
        <v>偏难</v>
      </c>
      <c r="AB79" t="str">
        <f t="shared" si="25"/>
        <v>有效</v>
      </c>
      <c r="AC79" t="str">
        <f t="shared" si="29"/>
        <v>不降</v>
      </c>
      <c r="AD79" t="s">
        <v>5947</v>
      </c>
      <c r="AE79" s="4">
        <v>131000</v>
      </c>
      <c r="AF79" s="4">
        <f>INDEX(_统一战力!$B$2:$B$501,J79)</f>
        <v>320000</v>
      </c>
    </row>
    <row r="80" spans="1:32">
      <c r="A80" t="s">
        <v>5548</v>
      </c>
      <c r="B80" t="s">
        <v>5804</v>
      </c>
      <c r="C80" t="s">
        <v>5856</v>
      </c>
      <c r="D80" t="s">
        <v>5948</v>
      </c>
      <c r="E80" t="s">
        <v>5949</v>
      </c>
      <c r="F80" t="s">
        <v>154</v>
      </c>
      <c r="G80">
        <v>78</v>
      </c>
      <c r="I80">
        <f t="shared" si="18"/>
        <v>78</v>
      </c>
      <c r="J80">
        <v>131</v>
      </c>
      <c r="K80" s="23">
        <v>1.3</v>
      </c>
      <c r="L80" s="23">
        <v>1.3</v>
      </c>
      <c r="M80" s="23">
        <v>1</v>
      </c>
      <c r="N80">
        <v>1</v>
      </c>
      <c r="O80">
        <v>1</v>
      </c>
      <c r="P80" s="18">
        <v>0.363062762483342</v>
      </c>
      <c r="Q80" s="24">
        <f>IF($I80="","",IFERROR(INDEX(_玩家曲线!$H$2:$H$286,MATCH($I80,_玩家曲线!$A$2:$A$286,0)),""))</f>
        <v>254897.433405208</v>
      </c>
      <c r="R80" s="24">
        <f>IF($I80="","",IFERROR(INDEX(_玩家曲线!$I$2:$I$286,MATCH($I80,_玩家曲线!$A$2:$A$286,0)),""))</f>
        <v>518568.864191088</v>
      </c>
      <c r="S80" s="24">
        <f>IF(OR($J80="",$F80="不适用"),"",IFERROR(INDEX(_怪物模型!$D$2:$D$4501,(INT($J80)-1)*ROWS(_怪物类型!$A$2:$A$10)+MATCH($F80,_怪物类型!$A$2:$A$10,0))*IF($K80="",1,$K80),""))</f>
        <v>83462.6</v>
      </c>
      <c r="T80" s="24">
        <f>IF(OR($J80="",$F80="不适用"),"",IFERROR(INDEX(_怪物模型!$E$2:$E$4501,(INT($J80)-1)*ROWS(_怪物类型!$A$2:$A$10)+MATCH($F80,_怪物类型!$A$2:$A$10,0))*IF($L80="",1,$L80),""))</f>
        <v>12733.5</v>
      </c>
      <c r="U80" s="24">
        <f>IF(OR($J80="",$F80="不适用"),"",IFERROR(INDEX(_怪物模型!$F$2:$F$4501,(INT($J80)-1)*ROWS(_怪物类型!$A$2:$A$10)+MATCH($F80,_怪物类型!$A$2:$A$10,0))*IF($M80="",1,$M80),""))</f>
        <v>11622</v>
      </c>
      <c r="V80" s="6">
        <f t="shared" si="19"/>
        <v>0.32625905339397</v>
      </c>
      <c r="W80" s="24">
        <f t="shared" si="20"/>
        <v>123879.36405</v>
      </c>
      <c r="X80" s="18">
        <f t="shared" si="21"/>
        <v>0.485996906265706</v>
      </c>
      <c r="Y80" s="18">
        <f t="shared" si="22"/>
        <v>40.724770423771</v>
      </c>
      <c r="Z80" s="18">
        <f t="shared" si="23"/>
        <v>1.33860300886133</v>
      </c>
      <c r="AA80" t="str">
        <f t="shared" si="24"/>
        <v>偏难</v>
      </c>
      <c r="AB80" t="str">
        <f t="shared" si="25"/>
        <v>有效</v>
      </c>
      <c r="AC80" t="str">
        <f t="shared" si="29"/>
        <v>不降</v>
      </c>
      <c r="AD80" t="s">
        <v>5950</v>
      </c>
      <c r="AE80" s="4">
        <v>136000</v>
      </c>
      <c r="AF80" s="4">
        <f>INDEX(_统一战力!$B$2:$B$501,J80)</f>
        <v>320000</v>
      </c>
    </row>
    <row r="81" spans="1:32">
      <c r="A81" t="s">
        <v>5548</v>
      </c>
      <c r="B81" t="s">
        <v>5804</v>
      </c>
      <c r="C81" t="s">
        <v>5856</v>
      </c>
      <c r="D81" t="s">
        <v>5951</v>
      </c>
      <c r="E81" t="s">
        <v>5952</v>
      </c>
      <c r="F81" t="s">
        <v>154</v>
      </c>
      <c r="G81">
        <v>79</v>
      </c>
      <c r="I81">
        <f t="shared" si="18"/>
        <v>79</v>
      </c>
      <c r="J81">
        <v>132</v>
      </c>
      <c r="K81" s="23">
        <v>1.3</v>
      </c>
      <c r="L81" s="23">
        <v>1.3</v>
      </c>
      <c r="M81" s="23">
        <v>1</v>
      </c>
      <c r="N81">
        <v>1</v>
      </c>
      <c r="O81">
        <v>1</v>
      </c>
      <c r="P81" s="18">
        <v>0.364897941483171</v>
      </c>
      <c r="Q81" s="24">
        <f>IF($I81="","",IFERROR(INDEX(_玩家曲线!$H$2:$H$286,MATCH($I81,_玩家曲线!$A$2:$A$286,0)),""))</f>
        <v>261637.468664634</v>
      </c>
      <c r="R81" s="24">
        <f>IF($I81="","",IFERROR(INDEX(_玩家曲线!$I$2:$I$286,MATCH($I81,_玩家曲线!$A$2:$A$286,0)),""))</f>
        <v>530664.445346229</v>
      </c>
      <c r="S81" s="24">
        <f>IF(OR($J81="",$F81="不适用"),"",IFERROR(INDEX(_怪物模型!$D$2:$D$4501,(INT($J81)-1)*ROWS(_怪物类型!$A$2:$A$10)+MATCH($F81,_怪物类型!$A$2:$A$10,0))*IF($K81="",1,$K81),""))</f>
        <v>84800.3</v>
      </c>
      <c r="T81" s="24">
        <f>IF(OR($J81="",$F81="不适用"),"",IFERROR(INDEX(_怪物模型!$E$2:$E$4501,(INT($J81)-1)*ROWS(_怪物类型!$A$2:$A$10)+MATCH($F81,_怪物类型!$A$2:$A$10,0))*IF($L81="",1,$L81),""))</f>
        <v>12880.4</v>
      </c>
      <c r="U81" s="24">
        <f>IF(OR($J81="",$F81="不适用"),"",IFERROR(INDEX(_怪物模型!$F$2:$F$4501,(INT($J81)-1)*ROWS(_怪物类型!$A$2:$A$10)+MATCH($F81,_怪物类型!$A$2:$A$10,0))*IF($M81="",1,$M81),""))</f>
        <v>11726</v>
      </c>
      <c r="V81" s="6">
        <f t="shared" si="19"/>
        <v>0.328220343727257</v>
      </c>
      <c r="W81" s="24">
        <f t="shared" si="20"/>
        <v>126232.313241667</v>
      </c>
      <c r="X81" s="18">
        <f t="shared" si="21"/>
        <v>0.482470320042237</v>
      </c>
      <c r="Y81" s="18">
        <f t="shared" si="22"/>
        <v>41.1993762108497</v>
      </c>
      <c r="Z81" s="18">
        <f t="shared" si="23"/>
        <v>1.32220619848163</v>
      </c>
      <c r="AA81" t="str">
        <f t="shared" si="24"/>
        <v>偏难</v>
      </c>
      <c r="AB81" t="str">
        <f t="shared" si="25"/>
        <v>有效</v>
      </c>
      <c r="AC81" t="str">
        <f t="shared" si="29"/>
        <v>不降</v>
      </c>
      <c r="AD81" t="s">
        <v>5953</v>
      </c>
      <c r="AE81" s="4">
        <v>136000</v>
      </c>
      <c r="AF81" s="4">
        <f>INDEX(_统一战力!$B$2:$B$501,J81)</f>
        <v>320000</v>
      </c>
    </row>
    <row r="82" spans="1:32">
      <c r="A82" t="s">
        <v>5548</v>
      </c>
      <c r="B82" t="s">
        <v>5804</v>
      </c>
      <c r="C82" t="s">
        <v>5856</v>
      </c>
      <c r="D82" t="s">
        <v>5954</v>
      </c>
      <c r="E82" t="s">
        <v>5955</v>
      </c>
      <c r="F82" t="s">
        <v>154</v>
      </c>
      <c r="G82">
        <v>81</v>
      </c>
      <c r="I82">
        <f t="shared" si="18"/>
        <v>81</v>
      </c>
      <c r="J82">
        <v>135</v>
      </c>
      <c r="K82" s="23">
        <v>1.3</v>
      </c>
      <c r="L82" s="23">
        <v>1.3</v>
      </c>
      <c r="M82" s="23">
        <v>1</v>
      </c>
      <c r="N82">
        <v>1</v>
      </c>
      <c r="O82">
        <v>1</v>
      </c>
      <c r="P82" s="18">
        <v>0.363279952219467</v>
      </c>
      <c r="Q82" s="24">
        <f>IF($I82="","",IFERROR(INDEX(_玩家曲线!$H$2:$H$286,MATCH($I82,_玩家曲线!$A$2:$A$286,0)),""))</f>
        <v>275480.354315355</v>
      </c>
      <c r="R82" s="24">
        <f>IF($I82="","",IFERROR(INDEX(_玩家曲线!$I$2:$I$286,MATCH($I82,_玩家曲线!$A$2:$A$286,0)),""))</f>
        <v>555341.188571833</v>
      </c>
      <c r="S82" s="24">
        <f>IF(OR($J82="",$F82="不适用"),"",IFERROR(INDEX(_怪物模型!$D$2:$D$4501,(INT($J82)-1)*ROWS(_怪物类型!$A$2:$A$10)+MATCH($F82,_怪物类型!$A$2:$A$10,0))*IF($K82="",1,$K82),""))</f>
        <v>88901.8</v>
      </c>
      <c r="T82" s="24">
        <f>IF(OR($J82="",$F82="不适用"),"",IFERROR(INDEX(_怪物模型!$E$2:$E$4501,(INT($J82)-1)*ROWS(_怪物类型!$A$2:$A$10)+MATCH($F82,_怪物类型!$A$2:$A$10,0))*IF($L82="",1,$L82),""))</f>
        <v>13327.6</v>
      </c>
      <c r="U82" s="24">
        <f>IF(OR($J82="",$F82="不适用"),"",IFERROR(INDEX(_怪物模型!$F$2:$F$4501,(INT($J82)-1)*ROWS(_怪物类型!$A$2:$A$10)+MATCH($F82,_怪物类型!$A$2:$A$10,0))*IF($M82="",1,$M82),""))</f>
        <v>12038</v>
      </c>
      <c r="V82" s="6">
        <f t="shared" si="19"/>
        <v>0.334036295021921</v>
      </c>
      <c r="W82" s="24">
        <f t="shared" si="20"/>
        <v>133493.461183333</v>
      </c>
      <c r="X82" s="18">
        <f t="shared" si="21"/>
        <v>0.48458432368109</v>
      </c>
      <c r="Y82" s="18">
        <f t="shared" si="22"/>
        <v>41.6685066007258</v>
      </c>
      <c r="Z82" s="18">
        <f t="shared" si="23"/>
        <v>1.33391430141</v>
      </c>
      <c r="AA82" t="str">
        <f t="shared" si="24"/>
        <v>偏难</v>
      </c>
      <c r="AB82" t="str">
        <f t="shared" si="25"/>
        <v>有效</v>
      </c>
      <c r="AC82" t="str">
        <f t="shared" si="29"/>
        <v>不降</v>
      </c>
      <c r="AD82" t="s">
        <v>5956</v>
      </c>
      <c r="AE82" s="4">
        <v>142000</v>
      </c>
      <c r="AF82" s="4">
        <f>INDEX(_统一战力!$B$2:$B$501,J82)</f>
        <v>353000</v>
      </c>
    </row>
    <row r="83" spans="1:32">
      <c r="A83" t="s">
        <v>5548</v>
      </c>
      <c r="B83" t="s">
        <v>5804</v>
      </c>
      <c r="C83" t="s">
        <v>5856</v>
      </c>
      <c r="D83" t="s">
        <v>5957</v>
      </c>
      <c r="E83">
        <v>150510</v>
      </c>
      <c r="F83" t="s">
        <v>154</v>
      </c>
      <c r="G83">
        <v>82</v>
      </c>
      <c r="I83">
        <f t="shared" si="18"/>
        <v>82</v>
      </c>
      <c r="J83">
        <v>136</v>
      </c>
      <c r="K83" s="23">
        <v>1.3</v>
      </c>
      <c r="L83" s="23">
        <v>1.3</v>
      </c>
      <c r="M83" s="23">
        <v>1</v>
      </c>
      <c r="N83">
        <v>1</v>
      </c>
      <c r="O83">
        <v>1</v>
      </c>
      <c r="P83" s="18">
        <v>0.363279952219467</v>
      </c>
      <c r="Q83" s="24">
        <f>IF($I83="","",IFERROR(INDEX(_玩家曲线!$H$2:$H$286,MATCH($I83,_玩家曲线!$A$2:$A$286,0)),""))</f>
        <v>282586.67853005</v>
      </c>
      <c r="R83" s="24">
        <f>IF($I83="","",IFERROR(INDEX(_玩家曲线!$I$2:$I$286,MATCH($I83,_玩家曲线!$A$2:$A$286,0)),""))</f>
        <v>567924.844869571</v>
      </c>
      <c r="S83" s="24">
        <f>IF(OR($J83="",$F83="不适用"),"",IFERROR(INDEX(_怪物模型!$D$2:$D$4501,(INT($J83)-1)*ROWS(_怪物类型!$A$2:$A$10)+MATCH($F83,_怪物类型!$A$2:$A$10,0))*IF($K83="",1,$K83),""))</f>
        <v>90299.3</v>
      </c>
      <c r="T83" s="24">
        <f>IF(OR($J83="",$F83="不适用"),"",IFERROR(INDEX(_怪物模型!$E$2:$E$4501,(INT($J83)-1)*ROWS(_怪物类型!$A$2:$A$10)+MATCH($F83,_怪物类型!$A$2:$A$10,0))*IF($L83="",1,$L83),""))</f>
        <v>13478.4</v>
      </c>
      <c r="U83" s="24">
        <f>IF(OR($J83="",$F83="不适用"),"",IFERROR(INDEX(_怪物模型!$F$2:$F$4501,(INT($J83)-1)*ROWS(_怪物类型!$A$2:$A$10)+MATCH($F83,_怪物类型!$A$2:$A$10,0))*IF($M83="",1,$M83),""))</f>
        <v>12143</v>
      </c>
      <c r="V83" s="6">
        <f t="shared" si="19"/>
        <v>0.335971004067178</v>
      </c>
      <c r="W83" s="24">
        <f t="shared" si="20"/>
        <v>135986.983329167</v>
      </c>
      <c r="X83" s="18">
        <f t="shared" si="21"/>
        <v>0.481222200694453</v>
      </c>
      <c r="Y83" s="18">
        <f t="shared" si="22"/>
        <v>42.1359245065862</v>
      </c>
      <c r="Z83" s="18">
        <f t="shared" si="23"/>
        <v>1.32465939216964</v>
      </c>
      <c r="AA83" t="str">
        <f t="shared" si="24"/>
        <v>偏难</v>
      </c>
      <c r="AB83" t="str">
        <f t="shared" si="25"/>
        <v>有效</v>
      </c>
      <c r="AC83" t="str">
        <f t="shared" si="29"/>
        <v>不降</v>
      </c>
      <c r="AE83" s="4">
        <v>142000</v>
      </c>
      <c r="AF83" s="4">
        <f>INDEX(_统一战力!$B$2:$B$501,J83)</f>
        <v>358000</v>
      </c>
    </row>
    <row r="84" spans="1:32">
      <c r="A84" t="s">
        <v>5548</v>
      </c>
      <c r="B84" t="s">
        <v>5804</v>
      </c>
      <c r="C84" t="s">
        <v>5856</v>
      </c>
      <c r="D84" t="s">
        <v>5958</v>
      </c>
      <c r="E84">
        <v>150511</v>
      </c>
      <c r="F84" t="s">
        <v>154</v>
      </c>
      <c r="G84">
        <v>83</v>
      </c>
      <c r="I84">
        <f t="shared" si="18"/>
        <v>83</v>
      </c>
      <c r="J84">
        <v>137</v>
      </c>
      <c r="K84" s="23">
        <v>1.3</v>
      </c>
      <c r="L84" s="23">
        <v>1.3</v>
      </c>
      <c r="M84" s="23">
        <v>1</v>
      </c>
      <c r="N84">
        <v>1</v>
      </c>
      <c r="O84">
        <v>1</v>
      </c>
      <c r="P84" s="18">
        <v>0.363279952219467</v>
      </c>
      <c r="Q84" s="24">
        <f>IF($I84="","",IFERROR(INDEX(_玩家曲线!$H$2:$H$286,MATCH($I84,_玩家曲线!$A$2:$A$286,0)),""))</f>
        <v>289818.606162935</v>
      </c>
      <c r="R84" s="24">
        <f>IF($I84="","",IFERROR(INDEX(_玩家曲线!$I$2:$I$286,MATCH($I84,_玩家曲线!$A$2:$A$286,0)),""))</f>
        <v>580673.694706417</v>
      </c>
      <c r="S84" s="24">
        <f>IF(OR($J84="",$F84="不适用"),"",IFERROR(INDEX(_怪物模型!$D$2:$D$4501,(INT($J84)-1)*ROWS(_怪物类型!$A$2:$A$10)+MATCH($F84,_怪物类型!$A$2:$A$10,0))*IF($K84="",1,$K84),""))</f>
        <v>91711.1</v>
      </c>
      <c r="T84" s="24">
        <f>IF(OR($J84="",$F84="不适用"),"",IFERROR(INDEX(_怪物模型!$E$2:$E$4501,(INT($J84)-1)*ROWS(_怪物类型!$A$2:$A$10)+MATCH($F84,_怪物类型!$A$2:$A$10,0))*IF($L84="",1,$L84),""))</f>
        <v>13630.5</v>
      </c>
      <c r="U84" s="24">
        <f>IF(OR($J84="",$F84="不适用"),"",IFERROR(INDEX(_怪物模型!$F$2:$F$4501,(INT($J84)-1)*ROWS(_怪物类型!$A$2:$A$10)+MATCH($F84,_怪物类型!$A$2:$A$10,0))*IF($M84="",1,$M84),""))</f>
        <v>12248</v>
      </c>
      <c r="V84" s="6">
        <f t="shared" si="19"/>
        <v>0.337894504524388</v>
      </c>
      <c r="W84" s="24">
        <f t="shared" si="20"/>
        <v>138514.331366667</v>
      </c>
      <c r="X84" s="18">
        <f t="shared" si="21"/>
        <v>0.477934571560235</v>
      </c>
      <c r="Y84" s="18">
        <f t="shared" si="22"/>
        <v>42.6010560659123</v>
      </c>
      <c r="Z84" s="18">
        <f t="shared" si="23"/>
        <v>1.31560954200826</v>
      </c>
      <c r="AA84" t="str">
        <f t="shared" si="24"/>
        <v>偏难</v>
      </c>
      <c r="AB84" t="str">
        <f t="shared" si="25"/>
        <v>有效</v>
      </c>
      <c r="AC84" t="str">
        <f t="shared" si="29"/>
        <v>不降</v>
      </c>
      <c r="AE84" s="4">
        <v>147000</v>
      </c>
      <c r="AF84" s="4">
        <f>INDEX(_统一战力!$B$2:$B$501,J84)</f>
        <v>369000</v>
      </c>
    </row>
    <row r="85" spans="1:32">
      <c r="A85" t="s">
        <v>5548</v>
      </c>
      <c r="B85" t="s">
        <v>5804</v>
      </c>
      <c r="C85" t="s">
        <v>5856</v>
      </c>
      <c r="D85" t="s">
        <v>5959</v>
      </c>
      <c r="E85">
        <v>150512</v>
      </c>
      <c r="F85" t="s">
        <v>154</v>
      </c>
      <c r="G85">
        <v>84</v>
      </c>
      <c r="I85">
        <f t="shared" si="18"/>
        <v>84</v>
      </c>
      <c r="J85">
        <v>138</v>
      </c>
      <c r="K85" s="23">
        <v>1.3</v>
      </c>
      <c r="L85" s="23">
        <v>1.3</v>
      </c>
      <c r="M85" s="23">
        <v>1</v>
      </c>
      <c r="N85">
        <v>1</v>
      </c>
      <c r="O85">
        <v>1</v>
      </c>
      <c r="P85" s="18">
        <v>0.363279952219467</v>
      </c>
      <c r="Q85" s="24">
        <f>IF($I85="","",IFERROR(INDEX(_玩家曲线!$H$2:$H$286,MATCH($I85,_玩家曲线!$A$2:$A$286,0)),""))</f>
        <v>297177.924285564</v>
      </c>
      <c r="R85" s="24">
        <f>IF($I85="","",IFERROR(INDEX(_玩家曲线!$I$2:$I$286,MATCH($I85,_玩家曲线!$A$2:$A$286,0)),""))</f>
        <v>593588.996599568</v>
      </c>
      <c r="S85" s="24">
        <f>IF(OR($J85="",$F85="不适用"),"",IFERROR(INDEX(_怪物模型!$D$2:$D$4501,(INT($J85)-1)*ROWS(_怪物类型!$A$2:$A$10)+MATCH($F85,_怪物类型!$A$2:$A$10,0))*IF($K85="",1,$K85),""))</f>
        <v>93139.8</v>
      </c>
      <c r="T85" s="24">
        <f>IF(OR($J85="",$F85="不适用"),"",IFERROR(INDEX(_怪物模型!$E$2:$E$4501,(INT($J85)-1)*ROWS(_怪物类型!$A$2:$A$10)+MATCH($F85,_怪物类型!$A$2:$A$10,0))*IF($L85="",1,$L85),""))</f>
        <v>13783.9</v>
      </c>
      <c r="U85" s="24">
        <f>IF(OR($J85="",$F85="不适用"),"",IFERROR(INDEX(_怪物模型!$F$2:$F$4501,(INT($J85)-1)*ROWS(_怪物类型!$A$2:$A$10)+MATCH($F85,_怪物类型!$A$2:$A$10,0))*IF($M85="",1,$M85),""))</f>
        <v>12353</v>
      </c>
      <c r="V85" s="6">
        <f t="shared" si="19"/>
        <v>0.339806893516354</v>
      </c>
      <c r="W85" s="24">
        <f t="shared" si="20"/>
        <v>141079.631225</v>
      </c>
      <c r="X85" s="18">
        <f t="shared" si="21"/>
        <v>0.474731195340855</v>
      </c>
      <c r="Y85" s="18">
        <f t="shared" si="22"/>
        <v>43.0639366652085</v>
      </c>
      <c r="Z85" s="18">
        <f t="shared" si="23"/>
        <v>1.30679161467754</v>
      </c>
      <c r="AA85" t="str">
        <f t="shared" si="24"/>
        <v>偏难</v>
      </c>
      <c r="AB85" t="str">
        <f t="shared" si="25"/>
        <v>有效</v>
      </c>
      <c r="AC85" t="str">
        <f t="shared" si="29"/>
        <v>不降</v>
      </c>
      <c r="AE85" s="4">
        <v>147000</v>
      </c>
      <c r="AF85" s="4">
        <f>INDEX(_统一战力!$B$2:$B$501,J85)</f>
        <v>369000</v>
      </c>
    </row>
    <row r="86" spans="1:32">
      <c r="A86" t="s">
        <v>5548</v>
      </c>
      <c r="B86" t="s">
        <v>5804</v>
      </c>
      <c r="C86" t="s">
        <v>5856</v>
      </c>
      <c r="D86" t="s">
        <v>5960</v>
      </c>
      <c r="E86">
        <v>150513</v>
      </c>
      <c r="F86" t="s">
        <v>154</v>
      </c>
      <c r="G86">
        <v>85</v>
      </c>
      <c r="I86">
        <f t="shared" si="18"/>
        <v>85</v>
      </c>
      <c r="J86">
        <v>139</v>
      </c>
      <c r="K86" s="23">
        <v>1.3</v>
      </c>
      <c r="L86" s="23">
        <v>1.3</v>
      </c>
      <c r="M86" s="23">
        <v>1</v>
      </c>
      <c r="N86">
        <v>1</v>
      </c>
      <c r="O86">
        <v>1</v>
      </c>
      <c r="P86" s="18">
        <v>0.363279952219467</v>
      </c>
      <c r="Q86" s="24">
        <f>IF($I86="","",IFERROR(INDEX(_玩家曲线!$H$2:$H$286,MATCH($I86,_玩家曲线!$A$2:$A$286,0)),""))</f>
        <v>303608.455403675</v>
      </c>
      <c r="R86" s="24">
        <f>IF($I86="","",IFERROR(INDEX(_玩家曲线!$I$2:$I$286,MATCH($I86,_玩家曲线!$A$2:$A$286,0)),""))</f>
        <v>604842.67487879</v>
      </c>
      <c r="S86" s="24">
        <f>IF(OR($J86="",$F86="不适用"),"",IFERROR(INDEX(_怪物模型!$D$2:$D$4501,(INT($J86)-1)*ROWS(_怪物类型!$A$2:$A$10)+MATCH($F86,_怪物类型!$A$2:$A$10,0))*IF($K86="",1,$K86),""))</f>
        <v>94582.8</v>
      </c>
      <c r="T86" s="24">
        <f>IF(OR($J86="",$F86="不适用"),"",IFERROR(INDEX(_怪物模型!$E$2:$E$4501,(INT($J86)-1)*ROWS(_怪物类型!$A$2:$A$10)+MATCH($F86,_怪物类型!$A$2:$A$10,0))*IF($L86="",1,$L86),""))</f>
        <v>13938.6</v>
      </c>
      <c r="U86" s="24">
        <f>IF(OR($J86="",$F86="不适用"),"",IFERROR(INDEX(_怪物模型!$F$2:$F$4501,(INT($J86)-1)*ROWS(_怪物类型!$A$2:$A$10)+MATCH($F86,_怪物类型!$A$2:$A$10,0))*IF($M86="",1,$M86),""))</f>
        <v>12458</v>
      </c>
      <c r="V86" s="6">
        <f t="shared" si="19"/>
        <v>0.341708267047013</v>
      </c>
      <c r="W86" s="24">
        <f t="shared" si="20"/>
        <v>143679.1551</v>
      </c>
      <c r="X86" s="18">
        <f t="shared" si="21"/>
        <v>0.473238319100717</v>
      </c>
      <c r="Y86" s="18">
        <f t="shared" si="22"/>
        <v>43.3933590804521</v>
      </c>
      <c r="Z86" s="18">
        <f t="shared" si="23"/>
        <v>1.30268217722849</v>
      </c>
      <c r="AA86" t="str">
        <f t="shared" si="24"/>
        <v>偏难</v>
      </c>
      <c r="AB86" t="str">
        <f t="shared" si="25"/>
        <v>有效</v>
      </c>
      <c r="AC86" t="str">
        <f t="shared" si="29"/>
        <v>不降</v>
      </c>
      <c r="AE86" s="4">
        <v>151000</v>
      </c>
      <c r="AF86" s="4">
        <f>INDEX(_统一战力!$B$2:$B$501,J86)</f>
        <v>375000</v>
      </c>
    </row>
    <row r="87" spans="1:32">
      <c r="A87" t="s">
        <v>5548</v>
      </c>
      <c r="B87" t="s">
        <v>5804</v>
      </c>
      <c r="C87" t="s">
        <v>5856</v>
      </c>
      <c r="D87" t="s">
        <v>5961</v>
      </c>
      <c r="E87">
        <v>150514</v>
      </c>
      <c r="F87" t="s">
        <v>154</v>
      </c>
      <c r="G87">
        <v>86</v>
      </c>
      <c r="I87">
        <f t="shared" si="18"/>
        <v>86</v>
      </c>
      <c r="J87">
        <v>140</v>
      </c>
      <c r="K87" s="23">
        <v>1.3</v>
      </c>
      <c r="L87" s="23">
        <v>1.3</v>
      </c>
      <c r="M87" s="23">
        <v>1</v>
      </c>
      <c r="N87">
        <v>1</v>
      </c>
      <c r="O87">
        <v>1</v>
      </c>
      <c r="P87" s="18">
        <v>0.363279952219467</v>
      </c>
      <c r="Q87" s="24">
        <f>IF($I87="","",IFERROR(INDEX(_玩家曲线!$H$2:$H$286,MATCH($I87,_玩家曲线!$A$2:$A$286,0)),""))</f>
        <v>309251.070113964</v>
      </c>
      <c r="R87" s="24">
        <f>IF($I87="","",IFERROR(INDEX(_玩家曲线!$I$2:$I$286,MATCH($I87,_玩家曲线!$A$2:$A$286,0)),""))</f>
        <v>614695.104720324</v>
      </c>
      <c r="S87" s="24">
        <f>IF(OR($J87="",$F87="不适用"),"",IFERROR(INDEX(_怪物模型!$D$2:$D$4501,(INT($J87)-1)*ROWS(_怪物类型!$A$2:$A$10)+MATCH($F87,_怪物类型!$A$2:$A$10,0))*IF($K87="",1,$K87),""))</f>
        <v>96041.4</v>
      </c>
      <c r="T87" s="24">
        <f>IF(OR($J87="",$F87="不适用"),"",IFERROR(INDEX(_怪物模型!$E$2:$E$4501,(INT($J87)-1)*ROWS(_怪物类型!$A$2:$A$10)+MATCH($F87,_怪物类型!$A$2:$A$10,0))*IF($L87="",1,$L87),""))</f>
        <v>14093.3</v>
      </c>
      <c r="U87" s="24">
        <f>IF(OR($J87="",$F87="不适用"),"",IFERROR(INDEX(_怪物模型!$F$2:$F$4501,(INT($J87)-1)*ROWS(_怪物类型!$A$2:$A$10)+MATCH($F87,_怪物类型!$A$2:$A$10,0))*IF($M87="",1,$M87),""))</f>
        <v>12564</v>
      </c>
      <c r="V87" s="6">
        <f t="shared" si="19"/>
        <v>0.343616672136528</v>
      </c>
      <c r="W87" s="24">
        <f t="shared" si="20"/>
        <v>146319.0729</v>
      </c>
      <c r="X87" s="18">
        <f t="shared" si="21"/>
        <v>0.473140069801793</v>
      </c>
      <c r="Y87" s="18">
        <f t="shared" si="22"/>
        <v>43.616122889623</v>
      </c>
      <c r="Z87" s="18">
        <f t="shared" si="23"/>
        <v>1.30241172657928</v>
      </c>
      <c r="AA87" t="str">
        <f t="shared" si="24"/>
        <v>偏难</v>
      </c>
      <c r="AB87" t="str">
        <f t="shared" si="25"/>
        <v>有效</v>
      </c>
      <c r="AC87" t="str">
        <f t="shared" si="29"/>
        <v>不降</v>
      </c>
      <c r="AE87" s="4">
        <v>151000</v>
      </c>
      <c r="AF87" s="4">
        <f>INDEX(_统一战力!$B$2:$B$501,J87)</f>
        <v>381000</v>
      </c>
    </row>
    <row r="88" spans="1:32">
      <c r="A88" t="s">
        <v>5548</v>
      </c>
      <c r="B88" t="s">
        <v>5804</v>
      </c>
      <c r="C88" t="s">
        <v>5856</v>
      </c>
      <c r="D88" t="s">
        <v>5962</v>
      </c>
      <c r="E88">
        <v>150515</v>
      </c>
      <c r="F88" t="s">
        <v>154</v>
      </c>
      <c r="G88">
        <v>87</v>
      </c>
      <c r="I88">
        <f t="shared" si="18"/>
        <v>87</v>
      </c>
      <c r="J88">
        <v>141</v>
      </c>
      <c r="K88" s="23">
        <v>1.3</v>
      </c>
      <c r="L88" s="23">
        <v>1.3</v>
      </c>
      <c r="M88" s="23">
        <v>1</v>
      </c>
      <c r="N88">
        <v>1</v>
      </c>
      <c r="O88">
        <v>1</v>
      </c>
      <c r="P88" s="18">
        <v>0.363279952219467</v>
      </c>
      <c r="Q88" s="24">
        <f>IF($I88="","",IFERROR(INDEX(_玩家曲线!$H$2:$H$286,MATCH($I88,_玩家曲线!$A$2:$A$286,0)),""))</f>
        <v>314966.783031065</v>
      </c>
      <c r="R88" s="24">
        <f>IF($I88="","",IFERROR(INDEX(_玩家曲线!$I$2:$I$286,MATCH($I88,_玩家曲线!$A$2:$A$286,0)),""))</f>
        <v>624642.209425444</v>
      </c>
      <c r="S88" s="24">
        <f>IF(OR($J88="",$F88="不适用"),"",IFERROR(INDEX(_怪物模型!$D$2:$D$4501,(INT($J88)-1)*ROWS(_怪物类型!$A$2:$A$10)+MATCH($F88,_怪物类型!$A$2:$A$10,0))*IF($K88="",1,$K88),""))</f>
        <v>97515.6</v>
      </c>
      <c r="T88" s="24">
        <f>IF(OR($J88="",$F88="不适用"),"",IFERROR(INDEX(_怪物模型!$E$2:$E$4501,(INT($J88)-1)*ROWS(_怪物类型!$A$2:$A$10)+MATCH($F88,_怪物类型!$A$2:$A$10,0))*IF($L88="",1,$L88),""))</f>
        <v>14249.3</v>
      </c>
      <c r="U88" s="24">
        <f>IF(OR($J88="",$F88="不适用"),"",IFERROR(INDEX(_怪物模型!$F$2:$F$4501,(INT($J88)-1)*ROWS(_怪物类型!$A$2:$A$10)+MATCH($F88,_怪物类型!$A$2:$A$10,0))*IF($M88="",1,$M88),""))</f>
        <v>12670</v>
      </c>
      <c r="V88" s="6">
        <f t="shared" si="19"/>
        <v>0.345514044177802</v>
      </c>
      <c r="W88" s="24">
        <f t="shared" si="20"/>
        <v>148995.7105</v>
      </c>
      <c r="X88" s="18">
        <f t="shared" si="21"/>
        <v>0.473052139232424</v>
      </c>
      <c r="Y88" s="18">
        <f t="shared" si="22"/>
        <v>43.8366943937909</v>
      </c>
      <c r="Z88" s="18">
        <f t="shared" si="23"/>
        <v>1.30216968027633</v>
      </c>
      <c r="AA88" t="str">
        <f t="shared" si="24"/>
        <v>偏难</v>
      </c>
      <c r="AB88" t="str">
        <f t="shared" si="25"/>
        <v>有效</v>
      </c>
      <c r="AC88" t="str">
        <f t="shared" si="29"/>
        <v>不降</v>
      </c>
      <c r="AE88" s="4">
        <v>151000</v>
      </c>
      <c r="AF88" s="4">
        <f>INDEX(_统一战力!$B$2:$B$501,J88)</f>
        <v>381000</v>
      </c>
    </row>
    <row r="89" spans="1:32">
      <c r="A89" t="s">
        <v>5548</v>
      </c>
      <c r="B89" t="s">
        <v>5804</v>
      </c>
      <c r="C89" t="s">
        <v>5963</v>
      </c>
      <c r="D89" t="s">
        <v>5806</v>
      </c>
      <c r="E89" t="s">
        <v>5964</v>
      </c>
      <c r="F89" t="s">
        <v>164</v>
      </c>
      <c r="G89">
        <v>42</v>
      </c>
      <c r="I89">
        <f t="shared" si="18"/>
        <v>42</v>
      </c>
      <c r="J89">
        <v>77</v>
      </c>
      <c r="K89" s="23">
        <v>1.11351927098001</v>
      </c>
      <c r="L89" s="23">
        <v>0.759882016946184</v>
      </c>
      <c r="M89" s="23">
        <v>1</v>
      </c>
      <c r="N89">
        <v>1</v>
      </c>
      <c r="O89">
        <v>1</v>
      </c>
      <c r="P89" s="18">
        <v>36.1515757283703</v>
      </c>
      <c r="Q89" s="24">
        <f>IF($I89="","",IFERROR(INDEX(_玩家曲线!$H$2:$H$286,MATCH($I89,_玩家曲线!$A$2:$A$286,0)),""))</f>
        <v>66623.8615756816</v>
      </c>
      <c r="R89" s="24">
        <f>IF($I89="","",IFERROR(INDEX(_玩家曲线!$I$2:$I$286,MATCH($I89,_玩家曲线!$A$2:$A$286,0)),""))</f>
        <v>169193.906792731</v>
      </c>
      <c r="S89" s="24">
        <f>IF(OR($J89="",$F89="不适用"),"",IFERROR(INDEX(_怪物模型!$D$2:$D$4501,(INT($J89)-1)*ROWS(_怪物类型!$A$2:$A$10)+MATCH($F89,_怪物类型!$A$2:$A$10,0))*IF($K89="",1,$K89),""))</f>
        <v>1904123.52097217</v>
      </c>
      <c r="T89" s="24">
        <f>IF(OR($J89="",$F89="不适用"),"",IFERROR(INDEX(_怪物模型!$E$2:$E$4501,(INT($J89)-1)*ROWS(_怪物类型!$A$2:$A$10)+MATCH($F89,_怪物类型!$A$2:$A$10,0))*IF($L89="",1,$L89),""))</f>
        <v>4212.78590194964</v>
      </c>
      <c r="U89" s="24">
        <f>IF(OR($J89="",$F89="不适用"),"",IFERROR(INDEX(_怪物模型!$F$2:$F$4501,(INT($J89)-1)*ROWS(_怪物类型!$A$2:$A$10)+MATCH($F89,_怪物类型!$A$2:$A$10,0))*IF($M89="",1,$M89),""))</f>
        <v>6358</v>
      </c>
      <c r="V89" s="6">
        <f t="shared" si="19"/>
        <v>0.209434086566968</v>
      </c>
      <c r="W89" s="24">
        <f t="shared" si="20"/>
        <v>2408557.57706972</v>
      </c>
      <c r="X89" s="18">
        <f t="shared" si="21"/>
        <v>36.1515757283703</v>
      </c>
      <c r="Y89" s="18">
        <f t="shared" si="22"/>
        <v>40.1619998572511</v>
      </c>
      <c r="Z89" s="18">
        <f t="shared" si="23"/>
        <v>1</v>
      </c>
      <c r="AA89" t="str">
        <f t="shared" si="24"/>
        <v>适中</v>
      </c>
      <c r="AB89" t="str">
        <f t="shared" si="25"/>
        <v>有效</v>
      </c>
      <c r="AC89" t="str">
        <f>IF(C89&lt;&gt;C82,"新玩法组",IF(J89&gt;=J82,"不降","回退"))</f>
        <v>新玩法组</v>
      </c>
      <c r="AD89" t="s">
        <v>5965</v>
      </c>
      <c r="AE89" s="4">
        <v>43300</v>
      </c>
      <c r="AF89" s="4">
        <f>INDEX(_统一战力!$B$2:$B$501,J89)</f>
        <v>110000</v>
      </c>
    </row>
    <row r="90" spans="1:32">
      <c r="A90" t="s">
        <v>5548</v>
      </c>
      <c r="B90" t="s">
        <v>5804</v>
      </c>
      <c r="C90" t="s">
        <v>5963</v>
      </c>
      <c r="D90" t="s">
        <v>5809</v>
      </c>
      <c r="E90" t="s">
        <v>5966</v>
      </c>
      <c r="F90" t="s">
        <v>164</v>
      </c>
      <c r="G90">
        <v>42</v>
      </c>
      <c r="I90">
        <f t="shared" si="18"/>
        <v>42</v>
      </c>
      <c r="J90">
        <v>77</v>
      </c>
      <c r="K90" s="23">
        <v>1.11351927098001</v>
      </c>
      <c r="L90" s="23">
        <v>0.759882016946184</v>
      </c>
      <c r="M90" s="23">
        <v>1</v>
      </c>
      <c r="N90">
        <v>1</v>
      </c>
      <c r="O90">
        <v>1</v>
      </c>
      <c r="P90" s="18">
        <v>36.1515757283703</v>
      </c>
      <c r="Q90" s="24">
        <f>IF($I90="","",IFERROR(INDEX(_玩家曲线!$H$2:$H$286,MATCH($I90,_玩家曲线!$A$2:$A$286,0)),""))</f>
        <v>66623.8615756816</v>
      </c>
      <c r="R90" s="24">
        <f>IF($I90="","",IFERROR(INDEX(_玩家曲线!$I$2:$I$286,MATCH($I90,_玩家曲线!$A$2:$A$286,0)),""))</f>
        <v>169193.906792731</v>
      </c>
      <c r="S90" s="24">
        <f>IF(OR($J90="",$F90="不适用"),"",IFERROR(INDEX(_怪物模型!$D$2:$D$4501,(INT($J90)-1)*ROWS(_怪物类型!$A$2:$A$10)+MATCH($F90,_怪物类型!$A$2:$A$10,0))*IF($K90="",1,$K90),""))</f>
        <v>1904123.52097217</v>
      </c>
      <c r="T90" s="24">
        <f>IF(OR($J90="",$F90="不适用"),"",IFERROR(INDEX(_怪物模型!$E$2:$E$4501,(INT($J90)-1)*ROWS(_怪物类型!$A$2:$A$10)+MATCH($F90,_怪物类型!$A$2:$A$10,0))*IF($L90="",1,$L90),""))</f>
        <v>4212.78590194964</v>
      </c>
      <c r="U90" s="24">
        <f>IF(OR($J90="",$F90="不适用"),"",IFERROR(INDEX(_怪物模型!$F$2:$F$4501,(INT($J90)-1)*ROWS(_怪物类型!$A$2:$A$10)+MATCH($F90,_怪物类型!$A$2:$A$10,0))*IF($M90="",1,$M90),""))</f>
        <v>6358</v>
      </c>
      <c r="V90" s="6">
        <f t="shared" si="19"/>
        <v>0.209434086566968</v>
      </c>
      <c r="W90" s="24">
        <f t="shared" si="20"/>
        <v>2408557.57706972</v>
      </c>
      <c r="X90" s="18">
        <f t="shared" si="21"/>
        <v>36.1515757283703</v>
      </c>
      <c r="Y90" s="18">
        <f t="shared" si="22"/>
        <v>40.1619998572511</v>
      </c>
      <c r="Z90" s="18">
        <f t="shared" si="23"/>
        <v>1</v>
      </c>
      <c r="AA90" t="str">
        <f t="shared" si="24"/>
        <v>适中</v>
      </c>
      <c r="AB90" t="str">
        <f t="shared" si="25"/>
        <v>有效</v>
      </c>
      <c r="AC90" t="str">
        <f t="shared" ref="AC90:AC99" si="30">IF(C90&lt;&gt;C89,"新玩法组",IF(J90&gt;=J89,"不降","回退"))</f>
        <v>不降</v>
      </c>
      <c r="AD90" t="s">
        <v>5965</v>
      </c>
      <c r="AE90" s="4">
        <v>43300</v>
      </c>
      <c r="AF90" s="4">
        <f>INDEX(_统一战力!$B$2:$B$501,J90)</f>
        <v>110000</v>
      </c>
    </row>
    <row r="91" spans="1:32">
      <c r="A91" t="s">
        <v>5548</v>
      </c>
      <c r="B91" t="s">
        <v>5804</v>
      </c>
      <c r="C91" t="s">
        <v>5963</v>
      </c>
      <c r="D91" t="s">
        <v>5967</v>
      </c>
      <c r="E91" t="s">
        <v>5968</v>
      </c>
      <c r="F91" t="s">
        <v>164</v>
      </c>
      <c r="G91">
        <v>42</v>
      </c>
      <c r="I91">
        <f t="shared" si="18"/>
        <v>42</v>
      </c>
      <c r="J91">
        <v>77</v>
      </c>
      <c r="K91" s="23">
        <v>1.11351927098001</v>
      </c>
      <c r="L91" s="23">
        <v>0.759882016946184</v>
      </c>
      <c r="M91" s="23">
        <v>1</v>
      </c>
      <c r="N91">
        <v>1</v>
      </c>
      <c r="O91">
        <v>1</v>
      </c>
      <c r="P91" s="18">
        <v>36.1515757283703</v>
      </c>
      <c r="Q91" s="24">
        <f>IF($I91="","",IFERROR(INDEX(_玩家曲线!$H$2:$H$286,MATCH($I91,_玩家曲线!$A$2:$A$286,0)),""))</f>
        <v>66623.8615756816</v>
      </c>
      <c r="R91" s="24">
        <f>IF($I91="","",IFERROR(INDEX(_玩家曲线!$I$2:$I$286,MATCH($I91,_玩家曲线!$A$2:$A$286,0)),""))</f>
        <v>169193.906792731</v>
      </c>
      <c r="S91" s="24">
        <f>IF(OR($J91="",$F91="不适用"),"",IFERROR(INDEX(_怪物模型!$D$2:$D$4501,(INT($J91)-1)*ROWS(_怪物类型!$A$2:$A$10)+MATCH($F91,_怪物类型!$A$2:$A$10,0))*IF($K91="",1,$K91),""))</f>
        <v>1904123.52097217</v>
      </c>
      <c r="T91" s="24">
        <f>IF(OR($J91="",$F91="不适用"),"",IFERROR(INDEX(_怪物模型!$E$2:$E$4501,(INT($J91)-1)*ROWS(_怪物类型!$A$2:$A$10)+MATCH($F91,_怪物类型!$A$2:$A$10,0))*IF($L91="",1,$L91),""))</f>
        <v>4212.78590194964</v>
      </c>
      <c r="U91" s="24">
        <f>IF(OR($J91="",$F91="不适用"),"",IFERROR(INDEX(_怪物模型!$F$2:$F$4501,(INT($J91)-1)*ROWS(_怪物类型!$A$2:$A$10)+MATCH($F91,_怪物类型!$A$2:$A$10,0))*IF($M91="",1,$M91),""))</f>
        <v>6358</v>
      </c>
      <c r="V91" s="6">
        <f t="shared" si="19"/>
        <v>0.209434086566968</v>
      </c>
      <c r="W91" s="24">
        <f t="shared" si="20"/>
        <v>2408557.57706972</v>
      </c>
      <c r="X91" s="18">
        <f t="shared" si="21"/>
        <v>36.1515757283703</v>
      </c>
      <c r="Y91" s="18">
        <f t="shared" si="22"/>
        <v>40.1619998572511</v>
      </c>
      <c r="Z91" s="18">
        <f t="shared" si="23"/>
        <v>1</v>
      </c>
      <c r="AA91" t="str">
        <f t="shared" si="24"/>
        <v>适中</v>
      </c>
      <c r="AB91" t="str">
        <f t="shared" si="25"/>
        <v>有效</v>
      </c>
      <c r="AC91" t="str">
        <f t="shared" si="30"/>
        <v>不降</v>
      </c>
      <c r="AD91" t="s">
        <v>5965</v>
      </c>
      <c r="AE91" s="4">
        <v>43300</v>
      </c>
      <c r="AF91" s="4">
        <f>INDEX(_统一战力!$B$2:$B$501,J91)</f>
        <v>110000</v>
      </c>
    </row>
    <row r="92" spans="1:32">
      <c r="A92" t="s">
        <v>5548</v>
      </c>
      <c r="B92" t="s">
        <v>5804</v>
      </c>
      <c r="C92" t="s">
        <v>5963</v>
      </c>
      <c r="D92" t="s">
        <v>5811</v>
      </c>
      <c r="E92" t="s">
        <v>5969</v>
      </c>
      <c r="F92" t="s">
        <v>164</v>
      </c>
      <c r="G92">
        <v>58</v>
      </c>
      <c r="I92">
        <f t="shared" si="18"/>
        <v>58</v>
      </c>
      <c r="J92">
        <v>107</v>
      </c>
      <c r="K92" s="23">
        <v>1.07208598079181</v>
      </c>
      <c r="L92" s="23">
        <v>0.801673297083486</v>
      </c>
      <c r="M92" s="23">
        <v>1</v>
      </c>
      <c r="N92">
        <v>1</v>
      </c>
      <c r="O92">
        <v>1</v>
      </c>
      <c r="P92" s="18">
        <v>36.3998358068056</v>
      </c>
      <c r="Q92" s="24">
        <f>IF($I92="","",IFERROR(INDEX(_玩家曲线!$H$2:$H$286,MATCH($I92,_玩家曲线!$A$2:$A$286,0)),""))</f>
        <v>136607.494103308</v>
      </c>
      <c r="R92" s="24">
        <f>IF($I92="","",IFERROR(INDEX(_玩家曲线!$I$2:$I$286,MATCH($I92,_玩家曲线!$A$2:$A$286,0)),""))</f>
        <v>302293.344300543</v>
      </c>
      <c r="S92" s="24">
        <f>IF(OR($J92="",$F92="不适用"),"",IFERROR(INDEX(_怪物模型!$D$2:$D$4501,(INT($J92)-1)*ROWS(_怪物类型!$A$2:$A$10)+MATCH($F92,_怪物类型!$A$2:$A$10,0))*IF($K92="",1,$K92),""))</f>
        <v>3594463.07424926</v>
      </c>
      <c r="T92" s="24">
        <f>IF(OR($J92="",$F92="不适用"),"",IFERROR(INDEX(_怪物模型!$E$2:$E$4501,(INT($J92)-1)*ROWS(_怪物类型!$A$2:$A$10)+MATCH($F92,_怪物类型!$A$2:$A$10,0))*IF($L92="",1,$L92),""))</f>
        <v>6847.09163039005</v>
      </c>
      <c r="U92" s="24">
        <f>IF(OR($J92="",$F92="不适用"),"",IFERROR(INDEX(_怪物模型!$F$2:$F$4501,(INT($J92)-1)*ROWS(_怪物类型!$A$2:$A$10)+MATCH($F92,_怪物类型!$A$2:$A$10,0))*IF($M92="",1,$M92),""))</f>
        <v>9201</v>
      </c>
      <c r="V92" s="6">
        <f t="shared" si="19"/>
        <v>0.277130206921478</v>
      </c>
      <c r="W92" s="24">
        <f t="shared" si="20"/>
        <v>4972490.35533957</v>
      </c>
      <c r="X92" s="18">
        <f t="shared" si="21"/>
        <v>36.3998358068056</v>
      </c>
      <c r="Y92" s="18">
        <f t="shared" si="22"/>
        <v>44.1491600548834</v>
      </c>
      <c r="Z92" s="18">
        <f t="shared" si="23"/>
        <v>0.999999999999999</v>
      </c>
      <c r="AA92" t="str">
        <f t="shared" si="24"/>
        <v>适中</v>
      </c>
      <c r="AB92" t="str">
        <f t="shared" si="25"/>
        <v>有效</v>
      </c>
      <c r="AC92" t="str">
        <f t="shared" si="30"/>
        <v>不降</v>
      </c>
      <c r="AD92" t="s">
        <v>5970</v>
      </c>
      <c r="AE92" s="4">
        <v>78600</v>
      </c>
      <c r="AF92" s="4">
        <f>INDEX(_统一战力!$B$2:$B$501,J92)</f>
        <v>211000</v>
      </c>
    </row>
    <row r="93" spans="1:32">
      <c r="A93" t="s">
        <v>5548</v>
      </c>
      <c r="B93" t="s">
        <v>5804</v>
      </c>
      <c r="C93" t="s">
        <v>5963</v>
      </c>
      <c r="D93" t="s">
        <v>5814</v>
      </c>
      <c r="E93" t="s">
        <v>5971</v>
      </c>
      <c r="F93" t="s">
        <v>164</v>
      </c>
      <c r="G93">
        <v>58</v>
      </c>
      <c r="I93">
        <f t="shared" si="18"/>
        <v>58</v>
      </c>
      <c r="J93">
        <v>107</v>
      </c>
      <c r="K93" s="23">
        <v>1.07208598079181</v>
      </c>
      <c r="L93" s="23">
        <v>0.801673297083486</v>
      </c>
      <c r="M93" s="23">
        <v>1</v>
      </c>
      <c r="N93">
        <v>1</v>
      </c>
      <c r="O93">
        <v>1</v>
      </c>
      <c r="P93" s="18">
        <v>36.3998358068056</v>
      </c>
      <c r="Q93" s="24">
        <f>IF($I93="","",IFERROR(INDEX(_玩家曲线!$H$2:$H$286,MATCH($I93,_玩家曲线!$A$2:$A$286,0)),""))</f>
        <v>136607.494103308</v>
      </c>
      <c r="R93" s="24">
        <f>IF($I93="","",IFERROR(INDEX(_玩家曲线!$I$2:$I$286,MATCH($I93,_玩家曲线!$A$2:$A$286,0)),""))</f>
        <v>302293.344300543</v>
      </c>
      <c r="S93" s="24">
        <f>IF(OR($J93="",$F93="不适用"),"",IFERROR(INDEX(_怪物模型!$D$2:$D$4501,(INT($J93)-1)*ROWS(_怪物类型!$A$2:$A$10)+MATCH($F93,_怪物类型!$A$2:$A$10,0))*IF($K93="",1,$K93),""))</f>
        <v>3594463.07424926</v>
      </c>
      <c r="T93" s="24">
        <f>IF(OR($J93="",$F93="不适用"),"",IFERROR(INDEX(_怪物模型!$E$2:$E$4501,(INT($J93)-1)*ROWS(_怪物类型!$A$2:$A$10)+MATCH($F93,_怪物类型!$A$2:$A$10,0))*IF($L93="",1,$L93),""))</f>
        <v>6847.09163039005</v>
      </c>
      <c r="U93" s="24">
        <f>IF(OR($J93="",$F93="不适用"),"",IFERROR(INDEX(_怪物模型!$F$2:$F$4501,(INT($J93)-1)*ROWS(_怪物类型!$A$2:$A$10)+MATCH($F93,_怪物类型!$A$2:$A$10,0))*IF($M93="",1,$M93),""))</f>
        <v>9201</v>
      </c>
      <c r="V93" s="6">
        <f t="shared" si="19"/>
        <v>0.277130206921478</v>
      </c>
      <c r="W93" s="24">
        <f t="shared" si="20"/>
        <v>4972490.35533957</v>
      </c>
      <c r="X93" s="18">
        <f t="shared" si="21"/>
        <v>36.3998358068056</v>
      </c>
      <c r="Y93" s="18">
        <f t="shared" si="22"/>
        <v>44.1491600548834</v>
      </c>
      <c r="Z93" s="18">
        <f t="shared" si="23"/>
        <v>0.999999999999999</v>
      </c>
      <c r="AA93" t="str">
        <f t="shared" si="24"/>
        <v>适中</v>
      </c>
      <c r="AB93" t="str">
        <f t="shared" si="25"/>
        <v>有效</v>
      </c>
      <c r="AC93" t="str">
        <f t="shared" si="30"/>
        <v>不降</v>
      </c>
      <c r="AD93" t="s">
        <v>5970</v>
      </c>
      <c r="AE93" s="4">
        <v>78600</v>
      </c>
      <c r="AF93" s="4">
        <f>INDEX(_统一战力!$B$2:$B$501,J93)</f>
        <v>211000</v>
      </c>
    </row>
    <row r="94" spans="1:32">
      <c r="A94" t="s">
        <v>5548</v>
      </c>
      <c r="B94" t="s">
        <v>5804</v>
      </c>
      <c r="C94" t="s">
        <v>5963</v>
      </c>
      <c r="D94" t="s">
        <v>5972</v>
      </c>
      <c r="E94" t="s">
        <v>5973</v>
      </c>
      <c r="F94" t="s">
        <v>164</v>
      </c>
      <c r="G94">
        <v>58</v>
      </c>
      <c r="I94">
        <f t="shared" si="18"/>
        <v>58</v>
      </c>
      <c r="J94">
        <v>107</v>
      </c>
      <c r="K94" s="23">
        <v>1.07208598079181</v>
      </c>
      <c r="L94" s="23">
        <v>0.801673297083486</v>
      </c>
      <c r="M94" s="23">
        <v>1</v>
      </c>
      <c r="N94">
        <v>1</v>
      </c>
      <c r="O94">
        <v>1</v>
      </c>
      <c r="P94" s="18">
        <v>36.3998358068056</v>
      </c>
      <c r="Q94" s="24">
        <f>IF($I94="","",IFERROR(INDEX(_玩家曲线!$H$2:$H$286,MATCH($I94,_玩家曲线!$A$2:$A$286,0)),""))</f>
        <v>136607.494103308</v>
      </c>
      <c r="R94" s="24">
        <f>IF($I94="","",IFERROR(INDEX(_玩家曲线!$I$2:$I$286,MATCH($I94,_玩家曲线!$A$2:$A$286,0)),""))</f>
        <v>302293.344300543</v>
      </c>
      <c r="S94" s="24">
        <f>IF(OR($J94="",$F94="不适用"),"",IFERROR(INDEX(_怪物模型!$D$2:$D$4501,(INT($J94)-1)*ROWS(_怪物类型!$A$2:$A$10)+MATCH($F94,_怪物类型!$A$2:$A$10,0))*IF($K94="",1,$K94),""))</f>
        <v>3594463.07424926</v>
      </c>
      <c r="T94" s="24">
        <f>IF(OR($J94="",$F94="不适用"),"",IFERROR(INDEX(_怪物模型!$E$2:$E$4501,(INT($J94)-1)*ROWS(_怪物类型!$A$2:$A$10)+MATCH($F94,_怪物类型!$A$2:$A$10,0))*IF($L94="",1,$L94),""))</f>
        <v>6847.09163039005</v>
      </c>
      <c r="U94" s="24">
        <f>IF(OR($J94="",$F94="不适用"),"",IFERROR(INDEX(_怪物模型!$F$2:$F$4501,(INT($J94)-1)*ROWS(_怪物类型!$A$2:$A$10)+MATCH($F94,_怪物类型!$A$2:$A$10,0))*IF($M94="",1,$M94),""))</f>
        <v>9201</v>
      </c>
      <c r="V94" s="6">
        <f t="shared" si="19"/>
        <v>0.277130206921478</v>
      </c>
      <c r="W94" s="24">
        <f t="shared" si="20"/>
        <v>4972490.35533957</v>
      </c>
      <c r="X94" s="18">
        <f t="shared" si="21"/>
        <v>36.3998358068056</v>
      </c>
      <c r="Y94" s="18">
        <f t="shared" si="22"/>
        <v>44.1491600548834</v>
      </c>
      <c r="Z94" s="18">
        <f t="shared" si="23"/>
        <v>0.999999999999999</v>
      </c>
      <c r="AA94" t="str">
        <f t="shared" si="24"/>
        <v>适中</v>
      </c>
      <c r="AB94" t="str">
        <f t="shared" si="25"/>
        <v>有效</v>
      </c>
      <c r="AC94" t="str">
        <f t="shared" si="30"/>
        <v>不降</v>
      </c>
      <c r="AD94" t="s">
        <v>5970</v>
      </c>
      <c r="AE94" s="4">
        <v>78600</v>
      </c>
      <c r="AF94" s="4">
        <f>INDEX(_统一战力!$B$2:$B$501,J94)</f>
        <v>211000</v>
      </c>
    </row>
    <row r="95" spans="1:32">
      <c r="A95" t="s">
        <v>5548</v>
      </c>
      <c r="B95" t="s">
        <v>5804</v>
      </c>
      <c r="C95" t="s">
        <v>5963</v>
      </c>
      <c r="D95" t="s">
        <v>5816</v>
      </c>
      <c r="E95" t="s">
        <v>5974</v>
      </c>
      <c r="F95" t="s">
        <v>164</v>
      </c>
      <c r="G95">
        <v>76</v>
      </c>
      <c r="I95">
        <f t="shared" si="18"/>
        <v>76</v>
      </c>
      <c r="J95">
        <v>134</v>
      </c>
      <c r="K95" s="23">
        <v>1.05973600861176</v>
      </c>
      <c r="L95" s="23">
        <v>0.844317407687947</v>
      </c>
      <c r="M95" s="23">
        <v>1</v>
      </c>
      <c r="N95">
        <v>1</v>
      </c>
      <c r="O95">
        <v>1</v>
      </c>
      <c r="P95" s="18">
        <v>36.5002708617565</v>
      </c>
      <c r="Q95" s="24">
        <f>IF($I95="","",IFERROR(INDEX(_玩家曲线!$H$2:$H$286,MATCH($I95,_玩家曲线!$A$2:$A$286,0)),""))</f>
        <v>241771.641497773</v>
      </c>
      <c r="R95" s="24">
        <f>IF($I95="","",IFERROR(INDEX(_玩家曲线!$I$2:$I$286,MATCH($I95,_玩家曲线!$A$2:$A$286,0)),""))</f>
        <v>494857.08136754</v>
      </c>
      <c r="S95" s="24">
        <f>IF(OR($J95="",$F95="不适用"),"",IFERROR(INDEX(_怪物模型!$D$2:$D$4501,(INT($J95)-1)*ROWS(_怪物类型!$A$2:$A$10)+MATCH($F95,_怪物类型!$A$2:$A$10,0))*IF($K95="",1,$K95),""))</f>
        <v>5893959.19276023</v>
      </c>
      <c r="T95" s="24">
        <f>IF(OR($J95="",$F95="不适用"),"",IFERROR(INDEX(_怪物模型!$E$2:$E$4501,(INT($J95)-1)*ROWS(_怪物类型!$A$2:$A$10)+MATCH($F95,_怪物类型!$A$2:$A$10,0))*IF($L95="",1,$L95),""))</f>
        <v>9909.75341403343</v>
      </c>
      <c r="U95" s="24">
        <f>IF(OR($J95="",$F95="不适用"),"",IFERROR(INDEX(_怪物模型!$F$2:$F$4501,(INT($J95)-1)*ROWS(_怪物类型!$A$2:$A$10)+MATCH($F95,_怪物类型!$A$2:$A$10,0))*IF($M95="",1,$M95),""))</f>
        <v>11934</v>
      </c>
      <c r="V95" s="6">
        <f t="shared" si="19"/>
        <v>0.3321088662548</v>
      </c>
      <c r="W95" s="24">
        <f t="shared" si="20"/>
        <v>8824730.40136026</v>
      </c>
      <c r="X95" s="18">
        <f t="shared" si="21"/>
        <v>36.5002708617567</v>
      </c>
      <c r="Y95" s="18">
        <f t="shared" si="22"/>
        <v>49.9363667986694</v>
      </c>
      <c r="Z95" s="18">
        <f t="shared" si="23"/>
        <v>1.00000000000001</v>
      </c>
      <c r="AA95" t="str">
        <f t="shared" si="24"/>
        <v>适中</v>
      </c>
      <c r="AB95" t="str">
        <f t="shared" si="25"/>
        <v>有效</v>
      </c>
      <c r="AC95" t="str">
        <f t="shared" si="30"/>
        <v>不降</v>
      </c>
      <c r="AD95" t="s">
        <v>5975</v>
      </c>
      <c r="AE95" s="4">
        <v>120000</v>
      </c>
      <c r="AF95" s="4">
        <f>INDEX(_统一战力!$B$2:$B$501,J95)</f>
        <v>347000</v>
      </c>
    </row>
    <row r="96" spans="1:32">
      <c r="A96" t="s">
        <v>5548</v>
      </c>
      <c r="B96" t="s">
        <v>5804</v>
      </c>
      <c r="C96" t="s">
        <v>5963</v>
      </c>
      <c r="D96" t="s">
        <v>5819</v>
      </c>
      <c r="E96" t="s">
        <v>5976</v>
      </c>
      <c r="F96" t="s">
        <v>164</v>
      </c>
      <c r="G96">
        <v>76</v>
      </c>
      <c r="I96">
        <f t="shared" si="18"/>
        <v>76</v>
      </c>
      <c r="J96">
        <v>134</v>
      </c>
      <c r="K96" s="23">
        <v>1.05973600861176</v>
      </c>
      <c r="L96" s="23">
        <v>0.844317407687947</v>
      </c>
      <c r="M96" s="23">
        <v>1</v>
      </c>
      <c r="N96">
        <v>1</v>
      </c>
      <c r="O96">
        <v>1</v>
      </c>
      <c r="P96" s="18">
        <v>36.5002708617565</v>
      </c>
      <c r="Q96" s="24">
        <f>IF($I96="","",IFERROR(INDEX(_玩家曲线!$H$2:$H$286,MATCH($I96,_玩家曲线!$A$2:$A$286,0)),""))</f>
        <v>241771.641497773</v>
      </c>
      <c r="R96" s="24">
        <f>IF($I96="","",IFERROR(INDEX(_玩家曲线!$I$2:$I$286,MATCH($I96,_玩家曲线!$A$2:$A$286,0)),""))</f>
        <v>494857.08136754</v>
      </c>
      <c r="S96" s="24">
        <f>IF(OR($J96="",$F96="不适用"),"",IFERROR(INDEX(_怪物模型!$D$2:$D$4501,(INT($J96)-1)*ROWS(_怪物类型!$A$2:$A$10)+MATCH($F96,_怪物类型!$A$2:$A$10,0))*IF($K96="",1,$K96),""))</f>
        <v>5893959.19276023</v>
      </c>
      <c r="T96" s="24">
        <f>IF(OR($J96="",$F96="不适用"),"",IFERROR(INDEX(_怪物模型!$E$2:$E$4501,(INT($J96)-1)*ROWS(_怪物类型!$A$2:$A$10)+MATCH($F96,_怪物类型!$A$2:$A$10,0))*IF($L96="",1,$L96),""))</f>
        <v>9909.75341403343</v>
      </c>
      <c r="U96" s="24">
        <f>IF(OR($J96="",$F96="不适用"),"",IFERROR(INDEX(_怪物模型!$F$2:$F$4501,(INT($J96)-1)*ROWS(_怪物类型!$A$2:$A$10)+MATCH($F96,_怪物类型!$A$2:$A$10,0))*IF($M96="",1,$M96),""))</f>
        <v>11934</v>
      </c>
      <c r="V96" s="6">
        <f t="shared" si="19"/>
        <v>0.3321088662548</v>
      </c>
      <c r="W96" s="24">
        <f t="shared" si="20"/>
        <v>8824730.40136026</v>
      </c>
      <c r="X96" s="18">
        <f t="shared" si="21"/>
        <v>36.5002708617567</v>
      </c>
      <c r="Y96" s="18">
        <f t="shared" si="22"/>
        <v>49.9363667986694</v>
      </c>
      <c r="Z96" s="18">
        <f t="shared" si="23"/>
        <v>1.00000000000001</v>
      </c>
      <c r="AA96" t="str">
        <f t="shared" si="24"/>
        <v>适中</v>
      </c>
      <c r="AB96" t="str">
        <f t="shared" si="25"/>
        <v>有效</v>
      </c>
      <c r="AC96" t="str">
        <f t="shared" si="30"/>
        <v>不降</v>
      </c>
      <c r="AD96" t="s">
        <v>5975</v>
      </c>
      <c r="AE96" s="4">
        <v>120000</v>
      </c>
      <c r="AF96" s="4">
        <f>INDEX(_统一战力!$B$2:$B$501,J96)</f>
        <v>347000</v>
      </c>
    </row>
    <row r="97" spans="1:32">
      <c r="A97" t="s">
        <v>5548</v>
      </c>
      <c r="B97" t="s">
        <v>5804</v>
      </c>
      <c r="C97" t="s">
        <v>5963</v>
      </c>
      <c r="D97" t="s">
        <v>5977</v>
      </c>
      <c r="E97" t="s">
        <v>5978</v>
      </c>
      <c r="F97" t="s">
        <v>164</v>
      </c>
      <c r="G97">
        <v>76</v>
      </c>
      <c r="I97">
        <f t="shared" si="18"/>
        <v>76</v>
      </c>
      <c r="J97">
        <v>134</v>
      </c>
      <c r="K97" s="23">
        <v>1.05973600861176</v>
      </c>
      <c r="L97" s="23">
        <v>0.844317407687947</v>
      </c>
      <c r="M97" s="23">
        <v>1</v>
      </c>
      <c r="N97">
        <v>1</v>
      </c>
      <c r="O97">
        <v>1</v>
      </c>
      <c r="P97" s="18">
        <v>36.5002708617565</v>
      </c>
      <c r="Q97" s="24">
        <f>IF($I97="","",IFERROR(INDEX(_玩家曲线!$H$2:$H$286,MATCH($I97,_玩家曲线!$A$2:$A$286,0)),""))</f>
        <v>241771.641497773</v>
      </c>
      <c r="R97" s="24">
        <f>IF($I97="","",IFERROR(INDEX(_玩家曲线!$I$2:$I$286,MATCH($I97,_玩家曲线!$A$2:$A$286,0)),""))</f>
        <v>494857.08136754</v>
      </c>
      <c r="S97" s="24">
        <f>IF(OR($J97="",$F97="不适用"),"",IFERROR(INDEX(_怪物模型!$D$2:$D$4501,(INT($J97)-1)*ROWS(_怪物类型!$A$2:$A$10)+MATCH($F97,_怪物类型!$A$2:$A$10,0))*IF($K97="",1,$K97),""))</f>
        <v>5893959.19276023</v>
      </c>
      <c r="T97" s="24">
        <f>IF(OR($J97="",$F97="不适用"),"",IFERROR(INDEX(_怪物模型!$E$2:$E$4501,(INT($J97)-1)*ROWS(_怪物类型!$A$2:$A$10)+MATCH($F97,_怪物类型!$A$2:$A$10,0))*IF($L97="",1,$L97),""))</f>
        <v>9909.75341403343</v>
      </c>
      <c r="U97" s="24">
        <f>IF(OR($J97="",$F97="不适用"),"",IFERROR(INDEX(_怪物模型!$F$2:$F$4501,(INT($J97)-1)*ROWS(_怪物类型!$A$2:$A$10)+MATCH($F97,_怪物类型!$A$2:$A$10,0))*IF($M97="",1,$M97),""))</f>
        <v>11934</v>
      </c>
      <c r="V97" s="6">
        <f t="shared" si="19"/>
        <v>0.3321088662548</v>
      </c>
      <c r="W97" s="24">
        <f t="shared" si="20"/>
        <v>8824730.40136026</v>
      </c>
      <c r="X97" s="18">
        <f t="shared" si="21"/>
        <v>36.5002708617567</v>
      </c>
      <c r="Y97" s="18">
        <f t="shared" si="22"/>
        <v>49.9363667986694</v>
      </c>
      <c r="Z97" s="18">
        <f t="shared" si="23"/>
        <v>1.00000000000001</v>
      </c>
      <c r="AA97" t="str">
        <f t="shared" si="24"/>
        <v>适中</v>
      </c>
      <c r="AB97" t="str">
        <f t="shared" si="25"/>
        <v>有效</v>
      </c>
      <c r="AC97" t="str">
        <f t="shared" si="30"/>
        <v>不降</v>
      </c>
      <c r="AD97" t="s">
        <v>5975</v>
      </c>
      <c r="AE97" s="4">
        <v>120000</v>
      </c>
      <c r="AF97" s="4">
        <f>INDEX(_统一战力!$B$2:$B$501,J97)</f>
        <v>347000</v>
      </c>
    </row>
    <row r="98" spans="1:32">
      <c r="A98" t="s">
        <v>5548</v>
      </c>
      <c r="B98" t="s">
        <v>5804</v>
      </c>
      <c r="C98" t="s">
        <v>5963</v>
      </c>
      <c r="D98" t="s">
        <v>5821</v>
      </c>
      <c r="E98" t="s">
        <v>5979</v>
      </c>
      <c r="F98" t="s">
        <v>164</v>
      </c>
      <c r="G98">
        <v>93</v>
      </c>
      <c r="I98">
        <f t="shared" si="18"/>
        <v>93</v>
      </c>
      <c r="J98">
        <v>155</v>
      </c>
      <c r="K98" s="23">
        <v>1.04748605758338</v>
      </c>
      <c r="L98" s="23">
        <v>0.875256763021937</v>
      </c>
      <c r="M98" s="23">
        <v>1</v>
      </c>
      <c r="N98">
        <v>1</v>
      </c>
      <c r="O98">
        <v>1</v>
      </c>
      <c r="P98" s="18">
        <v>37.3454925150758</v>
      </c>
      <c r="Q98" s="24">
        <f>IF($I98="","",IFERROR(INDEX(_玩家曲线!$H$2:$H$286,MATCH($I98,_玩家曲线!$A$2:$A$286,0)),""))</f>
        <v>350839.380224539</v>
      </c>
      <c r="R98" s="24">
        <f>IF($I98="","",IFERROR(INDEX(_玩家曲线!$I$2:$I$286,MATCH($I98,_玩家曲线!$A$2:$A$286,0)),""))</f>
        <v>686343.194213315</v>
      </c>
      <c r="S98" s="24">
        <f>IF(OR($J98="",$F98="不适用"),"",IFERROR(INDEX(_怪物模型!$D$2:$D$4501,(INT($J98)-1)*ROWS(_怪物类型!$A$2:$A$10)+MATCH($F98,_怪物类型!$A$2:$A$10,0))*IF($K98="",1,$K98),""))</f>
        <v>8237183.15012611</v>
      </c>
      <c r="T98" s="24">
        <f>IF(OR($J98="",$F98="不适用"),"",IFERROR(INDEX(_怪物模型!$E$2:$E$4501,(INT($J98)-1)*ROWS(_怪物类型!$A$2:$A$10)+MATCH($F98,_怪物类型!$A$2:$A$10,0))*IF($L98="",1,$L98),""))</f>
        <v>12774.3724563052</v>
      </c>
      <c r="U98" s="24">
        <f>IF(OR($J98="",$F98="不适用"),"",IFERROR(INDEX(_怪物模型!$F$2:$F$4501,(INT($J98)-1)*ROWS(_怪物类型!$A$2:$A$10)+MATCH($F98,_怪物类型!$A$2:$A$10,0))*IF($M98="",1,$M98),""))</f>
        <v>14175</v>
      </c>
      <c r="V98" s="6">
        <f t="shared" si="19"/>
        <v>0.371316306483301</v>
      </c>
      <c r="W98" s="24">
        <f t="shared" si="20"/>
        <v>13102269.4481693</v>
      </c>
      <c r="X98" s="18">
        <f t="shared" si="21"/>
        <v>37.3454925150758</v>
      </c>
      <c r="Y98" s="18">
        <f t="shared" si="22"/>
        <v>53.7281339307239</v>
      </c>
      <c r="Z98" s="18">
        <f t="shared" si="23"/>
        <v>0.999999999999999</v>
      </c>
      <c r="AA98" t="str">
        <f t="shared" si="24"/>
        <v>适中</v>
      </c>
      <c r="AB98" t="str">
        <f t="shared" si="25"/>
        <v>有效</v>
      </c>
      <c r="AC98" t="str">
        <f t="shared" si="30"/>
        <v>不降</v>
      </c>
      <c r="AD98" t="s">
        <v>5980</v>
      </c>
      <c r="AE98" s="4">
        <v>166000</v>
      </c>
      <c r="AF98" s="4">
        <f>INDEX(_统一战力!$B$2:$B$501,J98)</f>
        <v>409000</v>
      </c>
    </row>
    <row r="99" spans="1:32">
      <c r="A99" t="s">
        <v>5548</v>
      </c>
      <c r="B99" t="s">
        <v>5804</v>
      </c>
      <c r="C99" t="s">
        <v>5963</v>
      </c>
      <c r="D99" t="s">
        <v>5824</v>
      </c>
      <c r="E99" t="s">
        <v>5981</v>
      </c>
      <c r="F99" t="s">
        <v>164</v>
      </c>
      <c r="G99">
        <v>93</v>
      </c>
      <c r="I99">
        <f t="shared" ref="I99:I162" si="31">IF($H99="",$G99,$H99)</f>
        <v>93</v>
      </c>
      <c r="J99">
        <v>155</v>
      </c>
      <c r="K99" s="23">
        <v>1.04748605758338</v>
      </c>
      <c r="L99" s="23">
        <v>0.875256763021937</v>
      </c>
      <c r="M99" s="23">
        <v>1</v>
      </c>
      <c r="N99">
        <v>1</v>
      </c>
      <c r="O99">
        <v>1</v>
      </c>
      <c r="P99" s="18">
        <v>37.3454925150758</v>
      </c>
      <c r="Q99" s="24">
        <f>IF($I99="","",IFERROR(INDEX(_玩家曲线!$H$2:$H$286,MATCH($I99,_玩家曲线!$A$2:$A$286,0)),""))</f>
        <v>350839.380224539</v>
      </c>
      <c r="R99" s="24">
        <f>IF($I99="","",IFERROR(INDEX(_玩家曲线!$I$2:$I$286,MATCH($I99,_玩家曲线!$A$2:$A$286,0)),""))</f>
        <v>686343.194213315</v>
      </c>
      <c r="S99" s="24">
        <f>IF(OR($J99="",$F99="不适用"),"",IFERROR(INDEX(_怪物模型!$D$2:$D$4501,(INT($J99)-1)*ROWS(_怪物类型!$A$2:$A$10)+MATCH($F99,_怪物类型!$A$2:$A$10,0))*IF($K99="",1,$K99),""))</f>
        <v>8237183.15012611</v>
      </c>
      <c r="T99" s="24">
        <f>IF(OR($J99="",$F99="不适用"),"",IFERROR(INDEX(_怪物模型!$E$2:$E$4501,(INT($J99)-1)*ROWS(_怪物类型!$A$2:$A$10)+MATCH($F99,_怪物类型!$A$2:$A$10,0))*IF($L99="",1,$L99),""))</f>
        <v>12774.3724563052</v>
      </c>
      <c r="U99" s="24">
        <f>IF(OR($J99="",$F99="不适用"),"",IFERROR(INDEX(_怪物模型!$F$2:$F$4501,(INT($J99)-1)*ROWS(_怪物类型!$A$2:$A$10)+MATCH($F99,_怪物类型!$A$2:$A$10,0))*IF($M99="",1,$M99),""))</f>
        <v>14175</v>
      </c>
      <c r="V99" s="6">
        <f t="shared" ref="V99:V162" si="32">IF($U99="","",MIN(0.75,$U99/($U99+24000)))</f>
        <v>0.371316306483301</v>
      </c>
      <c r="W99" s="24">
        <f t="shared" ref="W99:W162" si="33">IF($S99="","",$S99/(1-$V99)*IF($N99="",1,$N99))</f>
        <v>13102269.4481693</v>
      </c>
      <c r="X99" s="18">
        <f t="shared" ref="X99:X162" si="34">IF(OR($W99="",$Q99="",$Q99=0),"",$W99/$Q99)</f>
        <v>37.3454925150758</v>
      </c>
      <c r="Y99" s="18">
        <f t="shared" ref="Y99:Y162" si="35">IF(OR($R99="",$T99="",$T99=0),"",$R99/($T99*IF($O99="",1,$O99)))</f>
        <v>53.7281339307239</v>
      </c>
      <c r="Z99" s="18">
        <f t="shared" ref="Z99:Z162" si="36">IF(OR($X99="",$P99="",$P99=0),"",$X99/$P99)</f>
        <v>0.999999999999999</v>
      </c>
      <c r="AA99" t="str">
        <f t="shared" ref="AA99:AA162" si="37">IF($J99="","待填怪物等级",IF(OR($I99="",$Q99=""),"待填对照关卡",IF($P99="","已计算",IF(AND($Y99&lt;&gt;"",$Y99&lt;$X99),"生存不成立",IF($Z99&lt;0.5,"碾压",IF($Z99&lt;0.8,"偏简单",IF($Z99&lt;=1.2,"适中",IF($Z99&lt;=1.5,"偏难","过难"))))))))</f>
        <v>适中</v>
      </c>
      <c r="AB99" t="str">
        <f t="shared" ref="AB99:AB162" si="38">IF($J99="","待填",IF(AND(ISNUMBER($J99),$J99&gt;=1,$J99&lt;=500,MOD($J99,1)=0),"有效","超范围"))</f>
        <v>有效</v>
      </c>
      <c r="AC99" t="str">
        <f t="shared" si="30"/>
        <v>不降</v>
      </c>
      <c r="AD99" t="s">
        <v>5980</v>
      </c>
      <c r="AE99" s="4">
        <v>166000</v>
      </c>
      <c r="AF99" s="4">
        <f>INDEX(_统一战力!$B$2:$B$501,J99)</f>
        <v>409000</v>
      </c>
    </row>
    <row r="100" spans="1:32">
      <c r="A100" t="s">
        <v>5548</v>
      </c>
      <c r="B100" t="s">
        <v>5804</v>
      </c>
      <c r="C100" t="s">
        <v>5963</v>
      </c>
      <c r="D100" t="s">
        <v>5982</v>
      </c>
      <c r="E100" t="s">
        <v>5983</v>
      </c>
      <c r="F100" t="s">
        <v>164</v>
      </c>
      <c r="G100">
        <v>93</v>
      </c>
      <c r="I100">
        <f t="shared" si="31"/>
        <v>93</v>
      </c>
      <c r="J100">
        <v>155</v>
      </c>
      <c r="K100" s="23">
        <v>1.04748605758338</v>
      </c>
      <c r="L100" s="23">
        <v>0.875256763021937</v>
      </c>
      <c r="M100" s="23">
        <v>1</v>
      </c>
      <c r="N100">
        <v>1</v>
      </c>
      <c r="O100">
        <v>1</v>
      </c>
      <c r="P100" s="18">
        <v>37.3454925150758</v>
      </c>
      <c r="Q100" s="24">
        <f>IF($I100="","",IFERROR(INDEX(_玩家曲线!$H$2:$H$286,MATCH($I100,_玩家曲线!$A$2:$A$286,0)),""))</f>
        <v>350839.380224539</v>
      </c>
      <c r="R100" s="24">
        <f>IF($I100="","",IFERROR(INDEX(_玩家曲线!$I$2:$I$286,MATCH($I100,_玩家曲线!$A$2:$A$286,0)),""))</f>
        <v>686343.194213315</v>
      </c>
      <c r="S100" s="24">
        <f>IF(OR($J100="",$F100="不适用"),"",IFERROR(INDEX(_怪物模型!$D$2:$D$4501,(INT($J100)-1)*ROWS(_怪物类型!$A$2:$A$10)+MATCH($F100,_怪物类型!$A$2:$A$10,0))*IF($K100="",1,$K100),""))</f>
        <v>8237183.15012611</v>
      </c>
      <c r="T100" s="24">
        <f>IF(OR($J100="",$F100="不适用"),"",IFERROR(INDEX(_怪物模型!$E$2:$E$4501,(INT($J100)-1)*ROWS(_怪物类型!$A$2:$A$10)+MATCH($F100,_怪物类型!$A$2:$A$10,0))*IF($L100="",1,$L100),""))</f>
        <v>12774.3724563052</v>
      </c>
      <c r="U100" s="24">
        <f>IF(OR($J100="",$F100="不适用"),"",IFERROR(INDEX(_怪物模型!$F$2:$F$4501,(INT($J100)-1)*ROWS(_怪物类型!$A$2:$A$10)+MATCH($F100,_怪物类型!$A$2:$A$10,0))*IF($M100="",1,$M100),""))</f>
        <v>14175</v>
      </c>
      <c r="V100" s="6">
        <f t="shared" si="32"/>
        <v>0.371316306483301</v>
      </c>
      <c r="W100" s="24">
        <f t="shared" si="33"/>
        <v>13102269.4481693</v>
      </c>
      <c r="X100" s="18">
        <f t="shared" si="34"/>
        <v>37.3454925150758</v>
      </c>
      <c r="Y100" s="18">
        <f t="shared" si="35"/>
        <v>53.7281339307239</v>
      </c>
      <c r="Z100" s="18">
        <f t="shared" si="36"/>
        <v>0.999999999999999</v>
      </c>
      <c r="AA100" t="str">
        <f t="shared" si="37"/>
        <v>适中</v>
      </c>
      <c r="AB100" t="str">
        <f t="shared" si="38"/>
        <v>有效</v>
      </c>
      <c r="AC100" t="str">
        <f t="shared" ref="AC100:AC163" si="39">IF(C100&lt;&gt;C99,"新玩法组",IF(J100&gt;=J99,"不降","回退"))</f>
        <v>不降</v>
      </c>
      <c r="AD100" t="s">
        <v>5980</v>
      </c>
      <c r="AE100" s="4">
        <v>166000</v>
      </c>
      <c r="AF100" s="4">
        <f>INDEX(_统一战力!$B$2:$B$501,J100)</f>
        <v>409000</v>
      </c>
    </row>
    <row r="101" spans="1:32">
      <c r="A101" t="s">
        <v>5548</v>
      </c>
      <c r="B101" t="s">
        <v>5804</v>
      </c>
      <c r="C101" t="s">
        <v>5963</v>
      </c>
      <c r="D101" t="s">
        <v>5826</v>
      </c>
      <c r="E101" t="s">
        <v>5984</v>
      </c>
      <c r="F101" t="s">
        <v>164</v>
      </c>
      <c r="G101">
        <v>111</v>
      </c>
      <c r="I101">
        <f t="shared" si="31"/>
        <v>111</v>
      </c>
      <c r="J101">
        <v>179</v>
      </c>
      <c r="K101" s="23">
        <v>1.02996991022019</v>
      </c>
      <c r="L101" s="23">
        <v>0.914922386614851</v>
      </c>
      <c r="M101" s="23">
        <v>1</v>
      </c>
      <c r="N101">
        <v>1</v>
      </c>
      <c r="O101">
        <v>1</v>
      </c>
      <c r="P101" s="18">
        <v>37.8109349293775</v>
      </c>
      <c r="Q101" s="24">
        <f>IF($I101="","",IFERROR(INDEX(_玩家曲线!$H$2:$H$286,MATCH($I101,_玩家曲线!$A$2:$A$286,0)),""))</f>
        <v>521398.846252701</v>
      </c>
      <c r="R101" s="24">
        <f>IF($I101="","",IFERROR(INDEX(_玩家曲线!$I$2:$I$286,MATCH($I101,_玩家曲线!$A$2:$A$286,0)),""))</f>
        <v>941220.710756804</v>
      </c>
      <c r="S101" s="24">
        <f>IF(OR($J101="",$F101="不适用"),"",IFERROR(INDEX(_怪物模型!$D$2:$D$4501,(INT($J101)-1)*ROWS(_怪物类型!$A$2:$A$10)+MATCH($F101,_怪物类型!$A$2:$A$10,0))*IF($K101="",1,$K101),""))</f>
        <v>11580348.239021</v>
      </c>
      <c r="T101" s="24">
        <f>IF(OR($J101="",$F101="不适用"),"",IFERROR(INDEX(_怪物模型!$E$2:$E$4501,(INT($J101)-1)*ROWS(_怪物类型!$A$2:$A$10)+MATCH($F101,_怪物类型!$A$2:$A$10,0))*IF($L101="",1,$L101),""))</f>
        <v>16751.3139765313</v>
      </c>
      <c r="U101" s="24">
        <f>IF(OR($J101="",$F101="不适用"),"",IFERROR(INDEX(_怪物模型!$F$2:$F$4501,(INT($J101)-1)*ROWS(_怪物类型!$A$2:$A$10)+MATCH($F101,_怪物类型!$A$2:$A$10,0))*IF($M101="",1,$M101),""))</f>
        <v>16858</v>
      </c>
      <c r="V101" s="6">
        <f t="shared" si="32"/>
        <v>0.412599735669881</v>
      </c>
      <c r="W101" s="24">
        <f t="shared" si="33"/>
        <v>19714577.8479134</v>
      </c>
      <c r="X101" s="18">
        <f t="shared" si="34"/>
        <v>37.8109349293775</v>
      </c>
      <c r="Y101" s="18">
        <f t="shared" si="35"/>
        <v>56.1878735050552</v>
      </c>
      <c r="Z101" s="18">
        <f t="shared" si="36"/>
        <v>1</v>
      </c>
      <c r="AA101" t="str">
        <f t="shared" si="37"/>
        <v>适中</v>
      </c>
      <c r="AB101" t="str">
        <f t="shared" si="38"/>
        <v>有效</v>
      </c>
      <c r="AC101" t="str">
        <f t="shared" si="39"/>
        <v>不降</v>
      </c>
      <c r="AD101" t="s">
        <v>5985</v>
      </c>
      <c r="AE101" s="4">
        <v>225000</v>
      </c>
      <c r="AF101" s="4">
        <f>INDEX(_统一战力!$B$2:$B$501,J101)</f>
        <v>502000</v>
      </c>
    </row>
    <row r="102" spans="1:32">
      <c r="A102" t="s">
        <v>5548</v>
      </c>
      <c r="B102" t="s">
        <v>5804</v>
      </c>
      <c r="C102" t="s">
        <v>5963</v>
      </c>
      <c r="D102" t="s">
        <v>5829</v>
      </c>
      <c r="E102" t="s">
        <v>5986</v>
      </c>
      <c r="F102" t="s">
        <v>164</v>
      </c>
      <c r="G102">
        <v>111</v>
      </c>
      <c r="I102">
        <f t="shared" si="31"/>
        <v>111</v>
      </c>
      <c r="J102">
        <v>179</v>
      </c>
      <c r="K102" s="23">
        <v>1.02996991022019</v>
      </c>
      <c r="L102" s="23">
        <v>0.914922386614851</v>
      </c>
      <c r="M102" s="23">
        <v>1</v>
      </c>
      <c r="N102">
        <v>1</v>
      </c>
      <c r="O102">
        <v>1</v>
      </c>
      <c r="P102" s="18">
        <v>37.8109349293775</v>
      </c>
      <c r="Q102" s="24">
        <f>IF($I102="","",IFERROR(INDEX(_玩家曲线!$H$2:$H$286,MATCH($I102,_玩家曲线!$A$2:$A$286,0)),""))</f>
        <v>521398.846252701</v>
      </c>
      <c r="R102" s="24">
        <f>IF($I102="","",IFERROR(INDEX(_玩家曲线!$I$2:$I$286,MATCH($I102,_玩家曲线!$A$2:$A$286,0)),""))</f>
        <v>941220.710756804</v>
      </c>
      <c r="S102" s="24">
        <f>IF(OR($J102="",$F102="不适用"),"",IFERROR(INDEX(_怪物模型!$D$2:$D$4501,(INT($J102)-1)*ROWS(_怪物类型!$A$2:$A$10)+MATCH($F102,_怪物类型!$A$2:$A$10,0))*IF($K102="",1,$K102),""))</f>
        <v>11580348.239021</v>
      </c>
      <c r="T102" s="24">
        <f>IF(OR($J102="",$F102="不适用"),"",IFERROR(INDEX(_怪物模型!$E$2:$E$4501,(INT($J102)-1)*ROWS(_怪物类型!$A$2:$A$10)+MATCH($F102,_怪物类型!$A$2:$A$10,0))*IF($L102="",1,$L102),""))</f>
        <v>16751.3139765313</v>
      </c>
      <c r="U102" s="24">
        <f>IF(OR($J102="",$F102="不适用"),"",IFERROR(INDEX(_怪物模型!$F$2:$F$4501,(INT($J102)-1)*ROWS(_怪物类型!$A$2:$A$10)+MATCH($F102,_怪物类型!$A$2:$A$10,0))*IF($M102="",1,$M102),""))</f>
        <v>16858</v>
      </c>
      <c r="V102" s="6">
        <f t="shared" si="32"/>
        <v>0.412599735669881</v>
      </c>
      <c r="W102" s="24">
        <f t="shared" si="33"/>
        <v>19714577.8479134</v>
      </c>
      <c r="X102" s="18">
        <f t="shared" si="34"/>
        <v>37.8109349293775</v>
      </c>
      <c r="Y102" s="18">
        <f t="shared" si="35"/>
        <v>56.1878735050552</v>
      </c>
      <c r="Z102" s="18">
        <f t="shared" si="36"/>
        <v>1</v>
      </c>
      <c r="AA102" t="str">
        <f t="shared" si="37"/>
        <v>适中</v>
      </c>
      <c r="AB102" t="str">
        <f t="shared" si="38"/>
        <v>有效</v>
      </c>
      <c r="AC102" t="str">
        <f t="shared" si="39"/>
        <v>不降</v>
      </c>
      <c r="AD102" t="s">
        <v>5985</v>
      </c>
      <c r="AE102" s="4">
        <v>225000</v>
      </c>
      <c r="AF102" s="4">
        <f>INDEX(_统一战力!$B$2:$B$501,J102)</f>
        <v>502000</v>
      </c>
    </row>
    <row r="103" spans="1:32">
      <c r="A103" t="s">
        <v>5548</v>
      </c>
      <c r="B103" t="s">
        <v>5804</v>
      </c>
      <c r="C103" t="s">
        <v>5963</v>
      </c>
      <c r="D103" t="s">
        <v>5987</v>
      </c>
      <c r="E103" t="s">
        <v>5988</v>
      </c>
      <c r="F103" t="s">
        <v>164</v>
      </c>
      <c r="G103">
        <v>111</v>
      </c>
      <c r="I103">
        <f t="shared" si="31"/>
        <v>111</v>
      </c>
      <c r="J103">
        <v>179</v>
      </c>
      <c r="K103" s="23">
        <v>1.02996991022019</v>
      </c>
      <c r="L103" s="23">
        <v>0.914922386614851</v>
      </c>
      <c r="M103" s="23">
        <v>1</v>
      </c>
      <c r="N103">
        <v>1</v>
      </c>
      <c r="O103">
        <v>1</v>
      </c>
      <c r="P103" s="18">
        <v>37.8109349293775</v>
      </c>
      <c r="Q103" s="24">
        <f>IF($I103="","",IFERROR(INDEX(_玩家曲线!$H$2:$H$286,MATCH($I103,_玩家曲线!$A$2:$A$286,0)),""))</f>
        <v>521398.846252701</v>
      </c>
      <c r="R103" s="24">
        <f>IF($I103="","",IFERROR(INDEX(_玩家曲线!$I$2:$I$286,MATCH($I103,_玩家曲线!$A$2:$A$286,0)),""))</f>
        <v>941220.710756804</v>
      </c>
      <c r="S103" s="24">
        <f>IF(OR($J103="",$F103="不适用"),"",IFERROR(INDEX(_怪物模型!$D$2:$D$4501,(INT($J103)-1)*ROWS(_怪物类型!$A$2:$A$10)+MATCH($F103,_怪物类型!$A$2:$A$10,0))*IF($K103="",1,$K103),""))</f>
        <v>11580348.239021</v>
      </c>
      <c r="T103" s="24">
        <f>IF(OR($J103="",$F103="不适用"),"",IFERROR(INDEX(_怪物模型!$E$2:$E$4501,(INT($J103)-1)*ROWS(_怪物类型!$A$2:$A$10)+MATCH($F103,_怪物类型!$A$2:$A$10,0))*IF($L103="",1,$L103),""))</f>
        <v>16751.3139765313</v>
      </c>
      <c r="U103" s="24">
        <f>IF(OR($J103="",$F103="不适用"),"",IFERROR(INDEX(_怪物模型!$F$2:$F$4501,(INT($J103)-1)*ROWS(_怪物类型!$A$2:$A$10)+MATCH($F103,_怪物类型!$A$2:$A$10,0))*IF($M103="",1,$M103),""))</f>
        <v>16858</v>
      </c>
      <c r="V103" s="6">
        <f t="shared" si="32"/>
        <v>0.412599735669881</v>
      </c>
      <c r="W103" s="24">
        <f t="shared" si="33"/>
        <v>19714577.8479134</v>
      </c>
      <c r="X103" s="18">
        <f t="shared" si="34"/>
        <v>37.8109349293775</v>
      </c>
      <c r="Y103" s="18">
        <f t="shared" si="35"/>
        <v>56.1878735050552</v>
      </c>
      <c r="Z103" s="18">
        <f t="shared" si="36"/>
        <v>1</v>
      </c>
      <c r="AA103" t="str">
        <f t="shared" si="37"/>
        <v>适中</v>
      </c>
      <c r="AB103" t="str">
        <f t="shared" si="38"/>
        <v>有效</v>
      </c>
      <c r="AC103" t="str">
        <f t="shared" si="39"/>
        <v>不降</v>
      </c>
      <c r="AD103" t="s">
        <v>5985</v>
      </c>
      <c r="AE103" s="4">
        <v>225000</v>
      </c>
      <c r="AF103" s="4">
        <f>INDEX(_统一战力!$B$2:$B$501,J103)</f>
        <v>502000</v>
      </c>
    </row>
    <row r="104" spans="1:32">
      <c r="A104" t="s">
        <v>5548</v>
      </c>
      <c r="B104" t="s">
        <v>5804</v>
      </c>
      <c r="C104" t="s">
        <v>5963</v>
      </c>
      <c r="D104" t="s">
        <v>5831</v>
      </c>
      <c r="E104" t="s">
        <v>5989</v>
      </c>
      <c r="F104" t="s">
        <v>164</v>
      </c>
      <c r="G104">
        <v>136</v>
      </c>
      <c r="I104">
        <f t="shared" si="31"/>
        <v>136</v>
      </c>
      <c r="J104">
        <v>211</v>
      </c>
      <c r="K104" s="23">
        <v>1.00582304377939</v>
      </c>
      <c r="L104" s="23">
        <v>0.96648770744415</v>
      </c>
      <c r="M104" s="23">
        <v>1</v>
      </c>
      <c r="N104">
        <v>1</v>
      </c>
      <c r="O104">
        <v>1</v>
      </c>
      <c r="P104" s="18">
        <v>38.9177754768656</v>
      </c>
      <c r="Q104" s="24">
        <f>IF($I104="","",IFERROR(INDEX(_玩家曲线!$H$2:$H$286,MATCH($I104,_玩家曲线!$A$2:$A$286,0)),""))</f>
        <v>829209.081488704</v>
      </c>
      <c r="R104" s="24">
        <f>IF($I104="","",IFERROR(INDEX(_玩家曲线!$I$2:$I$286,MATCH($I104,_玩家曲线!$A$2:$A$286,0)),""))</f>
        <v>1333847.26905468</v>
      </c>
      <c r="S104" s="24">
        <f>IF(OR($J104="",$F104="不适用"),"",IFERROR(INDEX(_怪物模型!$D$2:$D$4501,(INT($J104)-1)*ROWS(_怪物类型!$A$2:$A$10)+MATCH($F104,_怪物类型!$A$2:$A$10,0))*IF($K104="",1,$K104),""))</f>
        <v>17350374.0801123</v>
      </c>
      <c r="T104" s="24">
        <f>IF(OR($J104="",$F104="不适用"),"",IFERROR(INDEX(_怪物模型!$E$2:$E$4501,(INT($J104)-1)*ROWS(_怪物类型!$A$2:$A$10)+MATCH($F104,_怪物类型!$A$2:$A$10,0))*IF($L104="",1,$L104),""))</f>
        <v>23296.2197002338</v>
      </c>
      <c r="U104" s="24">
        <f>IF(OR($J104="",$F104="不适用"),"",IFERROR(INDEX(_怪物模型!$F$2:$F$4501,(INT($J104)-1)*ROWS(_怪物类型!$A$2:$A$10)+MATCH($F104,_怪物类型!$A$2:$A$10,0))*IF($M104="",1,$M104),""))</f>
        <v>20639</v>
      </c>
      <c r="V104" s="6">
        <f t="shared" si="32"/>
        <v>0.462353547346491</v>
      </c>
      <c r="W104" s="24">
        <f t="shared" si="33"/>
        <v>32270972.8567555</v>
      </c>
      <c r="X104" s="18">
        <f t="shared" si="34"/>
        <v>38.9177754768658</v>
      </c>
      <c r="Y104" s="18">
        <f t="shared" si="35"/>
        <v>57.2559533786202</v>
      </c>
      <c r="Z104" s="18">
        <f t="shared" si="36"/>
        <v>1.00000000000001</v>
      </c>
      <c r="AA104" t="str">
        <f t="shared" si="37"/>
        <v>适中</v>
      </c>
      <c r="AB104" t="str">
        <f t="shared" si="38"/>
        <v>有效</v>
      </c>
      <c r="AC104" t="str">
        <f t="shared" si="39"/>
        <v>不降</v>
      </c>
      <c r="AD104" t="s">
        <v>5990</v>
      </c>
      <c r="AE104" s="4">
        <v>314000</v>
      </c>
      <c r="AF104" s="4">
        <f>INDEX(_统一战力!$B$2:$B$501,J104)</f>
        <v>726000</v>
      </c>
    </row>
    <row r="105" spans="1:32">
      <c r="A105" t="s">
        <v>5548</v>
      </c>
      <c r="B105" t="s">
        <v>5804</v>
      </c>
      <c r="C105" t="s">
        <v>5963</v>
      </c>
      <c r="D105" t="s">
        <v>5834</v>
      </c>
      <c r="E105" t="s">
        <v>5991</v>
      </c>
      <c r="F105" t="s">
        <v>164</v>
      </c>
      <c r="G105">
        <v>136</v>
      </c>
      <c r="I105">
        <f t="shared" si="31"/>
        <v>136</v>
      </c>
      <c r="J105">
        <v>211</v>
      </c>
      <c r="K105" s="23">
        <v>1.00582304377939</v>
      </c>
      <c r="L105" s="23">
        <v>0.96648770744415</v>
      </c>
      <c r="M105" s="23">
        <v>1</v>
      </c>
      <c r="N105">
        <v>1</v>
      </c>
      <c r="O105">
        <v>1</v>
      </c>
      <c r="P105" s="18">
        <v>38.9177754768656</v>
      </c>
      <c r="Q105" s="24">
        <f>IF($I105="","",IFERROR(INDEX(_玩家曲线!$H$2:$H$286,MATCH($I105,_玩家曲线!$A$2:$A$286,0)),""))</f>
        <v>829209.081488704</v>
      </c>
      <c r="R105" s="24">
        <f>IF($I105="","",IFERROR(INDEX(_玩家曲线!$I$2:$I$286,MATCH($I105,_玩家曲线!$A$2:$A$286,0)),""))</f>
        <v>1333847.26905468</v>
      </c>
      <c r="S105" s="24">
        <f>IF(OR($J105="",$F105="不适用"),"",IFERROR(INDEX(_怪物模型!$D$2:$D$4501,(INT($J105)-1)*ROWS(_怪物类型!$A$2:$A$10)+MATCH($F105,_怪物类型!$A$2:$A$10,0))*IF($K105="",1,$K105),""))</f>
        <v>17350374.0801123</v>
      </c>
      <c r="T105" s="24">
        <f>IF(OR($J105="",$F105="不适用"),"",IFERROR(INDEX(_怪物模型!$E$2:$E$4501,(INT($J105)-1)*ROWS(_怪物类型!$A$2:$A$10)+MATCH($F105,_怪物类型!$A$2:$A$10,0))*IF($L105="",1,$L105),""))</f>
        <v>23296.2197002338</v>
      </c>
      <c r="U105" s="24">
        <f>IF(OR($J105="",$F105="不适用"),"",IFERROR(INDEX(_怪物模型!$F$2:$F$4501,(INT($J105)-1)*ROWS(_怪物类型!$A$2:$A$10)+MATCH($F105,_怪物类型!$A$2:$A$10,0))*IF($M105="",1,$M105),""))</f>
        <v>20639</v>
      </c>
      <c r="V105" s="6">
        <f t="shared" si="32"/>
        <v>0.462353547346491</v>
      </c>
      <c r="W105" s="24">
        <f t="shared" si="33"/>
        <v>32270972.8567555</v>
      </c>
      <c r="X105" s="18">
        <f t="shared" si="34"/>
        <v>38.9177754768658</v>
      </c>
      <c r="Y105" s="18">
        <f t="shared" si="35"/>
        <v>57.2559533786202</v>
      </c>
      <c r="Z105" s="18">
        <f t="shared" si="36"/>
        <v>1.00000000000001</v>
      </c>
      <c r="AA105" t="str">
        <f t="shared" si="37"/>
        <v>适中</v>
      </c>
      <c r="AB105" t="str">
        <f t="shared" si="38"/>
        <v>有效</v>
      </c>
      <c r="AC105" t="str">
        <f t="shared" si="39"/>
        <v>不降</v>
      </c>
      <c r="AD105" t="s">
        <v>5990</v>
      </c>
      <c r="AE105" s="4">
        <v>314000</v>
      </c>
      <c r="AF105" s="4">
        <f>INDEX(_统一战力!$B$2:$B$501,J105)</f>
        <v>726000</v>
      </c>
    </row>
    <row r="106" spans="1:32">
      <c r="A106" t="s">
        <v>5548</v>
      </c>
      <c r="B106" t="s">
        <v>5804</v>
      </c>
      <c r="C106" t="s">
        <v>5963</v>
      </c>
      <c r="D106" t="s">
        <v>5992</v>
      </c>
      <c r="E106" t="s">
        <v>5993</v>
      </c>
      <c r="F106" t="s">
        <v>164</v>
      </c>
      <c r="G106">
        <v>136</v>
      </c>
      <c r="I106">
        <f t="shared" si="31"/>
        <v>136</v>
      </c>
      <c r="J106">
        <v>211</v>
      </c>
      <c r="K106" s="23">
        <v>1.00582304377939</v>
      </c>
      <c r="L106" s="23">
        <v>0.96648770744415</v>
      </c>
      <c r="M106" s="23">
        <v>1</v>
      </c>
      <c r="N106">
        <v>1</v>
      </c>
      <c r="O106">
        <v>1</v>
      </c>
      <c r="P106" s="18">
        <v>38.9177754768656</v>
      </c>
      <c r="Q106" s="24">
        <f>IF($I106="","",IFERROR(INDEX(_玩家曲线!$H$2:$H$286,MATCH($I106,_玩家曲线!$A$2:$A$286,0)),""))</f>
        <v>829209.081488704</v>
      </c>
      <c r="R106" s="24">
        <f>IF($I106="","",IFERROR(INDEX(_玩家曲线!$I$2:$I$286,MATCH($I106,_玩家曲线!$A$2:$A$286,0)),""))</f>
        <v>1333847.26905468</v>
      </c>
      <c r="S106" s="24">
        <f>IF(OR($J106="",$F106="不适用"),"",IFERROR(INDEX(_怪物模型!$D$2:$D$4501,(INT($J106)-1)*ROWS(_怪物类型!$A$2:$A$10)+MATCH($F106,_怪物类型!$A$2:$A$10,0))*IF($K106="",1,$K106),""))</f>
        <v>17350374.0801123</v>
      </c>
      <c r="T106" s="24">
        <f>IF(OR($J106="",$F106="不适用"),"",IFERROR(INDEX(_怪物模型!$E$2:$E$4501,(INT($J106)-1)*ROWS(_怪物类型!$A$2:$A$10)+MATCH($F106,_怪物类型!$A$2:$A$10,0))*IF($L106="",1,$L106),""))</f>
        <v>23296.2197002338</v>
      </c>
      <c r="U106" s="24">
        <f>IF(OR($J106="",$F106="不适用"),"",IFERROR(INDEX(_怪物模型!$F$2:$F$4501,(INT($J106)-1)*ROWS(_怪物类型!$A$2:$A$10)+MATCH($F106,_怪物类型!$A$2:$A$10,0))*IF($M106="",1,$M106),""))</f>
        <v>20639</v>
      </c>
      <c r="V106" s="6">
        <f t="shared" si="32"/>
        <v>0.462353547346491</v>
      </c>
      <c r="W106" s="24">
        <f t="shared" si="33"/>
        <v>32270972.8567555</v>
      </c>
      <c r="X106" s="18">
        <f t="shared" si="34"/>
        <v>38.9177754768658</v>
      </c>
      <c r="Y106" s="18">
        <f t="shared" si="35"/>
        <v>57.2559533786202</v>
      </c>
      <c r="Z106" s="18">
        <f t="shared" si="36"/>
        <v>1.00000000000001</v>
      </c>
      <c r="AA106" t="str">
        <f t="shared" si="37"/>
        <v>适中</v>
      </c>
      <c r="AB106" t="str">
        <f t="shared" si="38"/>
        <v>有效</v>
      </c>
      <c r="AC106" t="str">
        <f t="shared" si="39"/>
        <v>不降</v>
      </c>
      <c r="AD106" t="s">
        <v>5990</v>
      </c>
      <c r="AE106" s="4">
        <v>314000</v>
      </c>
      <c r="AF106" s="4">
        <f>INDEX(_统一战力!$B$2:$B$501,J106)</f>
        <v>726000</v>
      </c>
    </row>
    <row r="107" spans="1:32">
      <c r="A107" t="s">
        <v>5548</v>
      </c>
      <c r="B107" t="s">
        <v>5804</v>
      </c>
      <c r="C107" t="s">
        <v>5963</v>
      </c>
      <c r="D107" t="s">
        <v>5836</v>
      </c>
      <c r="E107" t="s">
        <v>5994</v>
      </c>
      <c r="F107" t="s">
        <v>164</v>
      </c>
      <c r="G107">
        <v>164</v>
      </c>
      <c r="I107">
        <f t="shared" si="31"/>
        <v>164</v>
      </c>
      <c r="J107">
        <v>238</v>
      </c>
      <c r="K107" s="23">
        <v>1.00120134320404</v>
      </c>
      <c r="L107" s="23">
        <v>1.01662924400369</v>
      </c>
      <c r="M107" s="23">
        <v>1</v>
      </c>
      <c r="N107">
        <v>1</v>
      </c>
      <c r="O107">
        <v>1</v>
      </c>
      <c r="P107" s="18">
        <v>40.7971797866134</v>
      </c>
      <c r="Q107" s="24">
        <f>IF($I107="","",IFERROR(INDEX(_玩家曲线!$H$2:$H$286,MATCH($I107,_玩家曲线!$A$2:$A$286,0)),""))</f>
        <v>1175304.74216067</v>
      </c>
      <c r="R107" s="24">
        <f>IF($I107="","",IFERROR(INDEX(_玩家曲线!$I$2:$I$286,MATCH($I107,_玩家曲线!$A$2:$A$286,0)),""))</f>
        <v>1724603.93560932</v>
      </c>
      <c r="S107" s="24">
        <f>IF(OR($J107="",$F107="不适用"),"",IFERROR(INDEX(_怪物模型!$D$2:$D$4501,(INT($J107)-1)*ROWS(_怪物类型!$A$2:$A$10)+MATCH($F107,_怪物类型!$A$2:$A$10,0))*IF($K107="",1,$K107),""))</f>
        <v>23969066.5239157</v>
      </c>
      <c r="T107" s="24">
        <f>IF(OR($J107="",$F107="不适用"),"",IFERROR(INDEX(_怪物模型!$E$2:$E$4501,(INT($J107)-1)*ROWS(_怪物类型!$A$2:$A$10)+MATCH($F107,_怪物类型!$A$2:$A$10,0))*IF($L107="",1,$L107),""))</f>
        <v>30349.4328212422</v>
      </c>
      <c r="U107" s="24">
        <f>IF(OR($J107="",$F107="不适用"),"",IFERROR(INDEX(_怪物模型!$F$2:$F$4501,(INT($J107)-1)*ROWS(_怪物类型!$A$2:$A$10)+MATCH($F107,_怪物类型!$A$2:$A$10,0))*IF($M107="",1,$M107),""))</f>
        <v>24011</v>
      </c>
      <c r="V107" s="6">
        <f t="shared" si="32"/>
        <v>0.500114557080669</v>
      </c>
      <c r="W107" s="24">
        <f t="shared" si="33"/>
        <v>47949118.8699883</v>
      </c>
      <c r="X107" s="18">
        <f t="shared" si="34"/>
        <v>40.7971797866135</v>
      </c>
      <c r="Y107" s="18">
        <f t="shared" si="35"/>
        <v>56.8249148432928</v>
      </c>
      <c r="Z107" s="18">
        <f t="shared" si="36"/>
        <v>1</v>
      </c>
      <c r="AA107" t="str">
        <f t="shared" si="37"/>
        <v>适中</v>
      </c>
      <c r="AB107" t="str">
        <f t="shared" si="38"/>
        <v>有效</v>
      </c>
      <c r="AC107" t="str">
        <f t="shared" si="39"/>
        <v>不降</v>
      </c>
      <c r="AD107" t="s">
        <v>5995</v>
      </c>
      <c r="AE107" s="4">
        <v>417000</v>
      </c>
      <c r="AF107" s="4">
        <f>INDEX(_统一战力!$B$2:$B$501,J107)</f>
        <v>951000</v>
      </c>
    </row>
    <row r="108" spans="1:32">
      <c r="A108" t="s">
        <v>5548</v>
      </c>
      <c r="B108" t="s">
        <v>5804</v>
      </c>
      <c r="C108" t="s">
        <v>5963</v>
      </c>
      <c r="D108" t="s">
        <v>5839</v>
      </c>
      <c r="E108" t="s">
        <v>5996</v>
      </c>
      <c r="F108" t="s">
        <v>164</v>
      </c>
      <c r="G108">
        <v>164</v>
      </c>
      <c r="I108">
        <f t="shared" si="31"/>
        <v>164</v>
      </c>
      <c r="J108">
        <v>238</v>
      </c>
      <c r="K108" s="23">
        <v>1.00120134320404</v>
      </c>
      <c r="L108" s="23">
        <v>1.01662924400369</v>
      </c>
      <c r="M108" s="23">
        <v>1</v>
      </c>
      <c r="N108">
        <v>1</v>
      </c>
      <c r="O108">
        <v>1</v>
      </c>
      <c r="P108" s="18">
        <v>40.7971797866134</v>
      </c>
      <c r="Q108" s="24">
        <f>IF($I108="","",IFERROR(INDEX(_玩家曲线!$H$2:$H$286,MATCH($I108,_玩家曲线!$A$2:$A$286,0)),""))</f>
        <v>1175304.74216067</v>
      </c>
      <c r="R108" s="24">
        <f>IF($I108="","",IFERROR(INDEX(_玩家曲线!$I$2:$I$286,MATCH($I108,_玩家曲线!$A$2:$A$286,0)),""))</f>
        <v>1724603.93560932</v>
      </c>
      <c r="S108" s="24">
        <f>IF(OR($J108="",$F108="不适用"),"",IFERROR(INDEX(_怪物模型!$D$2:$D$4501,(INT($J108)-1)*ROWS(_怪物类型!$A$2:$A$10)+MATCH($F108,_怪物类型!$A$2:$A$10,0))*IF($K108="",1,$K108),""))</f>
        <v>23969066.5239157</v>
      </c>
      <c r="T108" s="24">
        <f>IF(OR($J108="",$F108="不适用"),"",IFERROR(INDEX(_怪物模型!$E$2:$E$4501,(INT($J108)-1)*ROWS(_怪物类型!$A$2:$A$10)+MATCH($F108,_怪物类型!$A$2:$A$10,0))*IF($L108="",1,$L108),""))</f>
        <v>30349.4328212422</v>
      </c>
      <c r="U108" s="24">
        <f>IF(OR($J108="",$F108="不适用"),"",IFERROR(INDEX(_怪物模型!$F$2:$F$4501,(INT($J108)-1)*ROWS(_怪物类型!$A$2:$A$10)+MATCH($F108,_怪物类型!$A$2:$A$10,0))*IF($M108="",1,$M108),""))</f>
        <v>24011</v>
      </c>
      <c r="V108" s="6">
        <f t="shared" si="32"/>
        <v>0.500114557080669</v>
      </c>
      <c r="W108" s="24">
        <f t="shared" si="33"/>
        <v>47949118.8699883</v>
      </c>
      <c r="X108" s="18">
        <f t="shared" si="34"/>
        <v>40.7971797866135</v>
      </c>
      <c r="Y108" s="18">
        <f t="shared" si="35"/>
        <v>56.8249148432928</v>
      </c>
      <c r="Z108" s="18">
        <f t="shared" si="36"/>
        <v>1</v>
      </c>
      <c r="AA108" t="str">
        <f t="shared" si="37"/>
        <v>适中</v>
      </c>
      <c r="AB108" t="str">
        <f t="shared" si="38"/>
        <v>有效</v>
      </c>
      <c r="AC108" t="str">
        <f t="shared" si="39"/>
        <v>不降</v>
      </c>
      <c r="AD108" t="s">
        <v>5995</v>
      </c>
      <c r="AE108" s="4">
        <v>417000</v>
      </c>
      <c r="AF108" s="4">
        <f>INDEX(_统一战力!$B$2:$B$501,J108)</f>
        <v>951000</v>
      </c>
    </row>
    <row r="109" spans="1:32">
      <c r="A109" t="s">
        <v>5548</v>
      </c>
      <c r="B109" t="s">
        <v>5804</v>
      </c>
      <c r="C109" t="s">
        <v>5963</v>
      </c>
      <c r="D109" t="s">
        <v>5997</v>
      </c>
      <c r="E109" t="s">
        <v>5998</v>
      </c>
      <c r="F109" t="s">
        <v>164</v>
      </c>
      <c r="G109">
        <v>164</v>
      </c>
      <c r="I109">
        <f t="shared" si="31"/>
        <v>164</v>
      </c>
      <c r="J109">
        <v>238</v>
      </c>
      <c r="K109" s="23">
        <v>1.00120134320404</v>
      </c>
      <c r="L109" s="23">
        <v>1.01662924400369</v>
      </c>
      <c r="M109" s="23">
        <v>1</v>
      </c>
      <c r="N109">
        <v>1</v>
      </c>
      <c r="O109">
        <v>1</v>
      </c>
      <c r="P109" s="18">
        <v>40.7971797866134</v>
      </c>
      <c r="Q109" s="24">
        <f>IF($I109="","",IFERROR(INDEX(_玩家曲线!$H$2:$H$286,MATCH($I109,_玩家曲线!$A$2:$A$286,0)),""))</f>
        <v>1175304.74216067</v>
      </c>
      <c r="R109" s="24">
        <f>IF($I109="","",IFERROR(INDEX(_玩家曲线!$I$2:$I$286,MATCH($I109,_玩家曲线!$A$2:$A$286,0)),""))</f>
        <v>1724603.93560932</v>
      </c>
      <c r="S109" s="24">
        <f>IF(OR($J109="",$F109="不适用"),"",IFERROR(INDEX(_怪物模型!$D$2:$D$4501,(INT($J109)-1)*ROWS(_怪物类型!$A$2:$A$10)+MATCH($F109,_怪物类型!$A$2:$A$10,0))*IF($K109="",1,$K109),""))</f>
        <v>23969066.5239157</v>
      </c>
      <c r="T109" s="24">
        <f>IF(OR($J109="",$F109="不适用"),"",IFERROR(INDEX(_怪物模型!$E$2:$E$4501,(INT($J109)-1)*ROWS(_怪物类型!$A$2:$A$10)+MATCH($F109,_怪物类型!$A$2:$A$10,0))*IF($L109="",1,$L109),""))</f>
        <v>30349.4328212422</v>
      </c>
      <c r="U109" s="24">
        <f>IF(OR($J109="",$F109="不适用"),"",IFERROR(INDEX(_怪物模型!$F$2:$F$4501,(INT($J109)-1)*ROWS(_怪物类型!$A$2:$A$10)+MATCH($F109,_怪物类型!$A$2:$A$10,0))*IF($M109="",1,$M109),""))</f>
        <v>24011</v>
      </c>
      <c r="V109" s="6">
        <f t="shared" si="32"/>
        <v>0.500114557080669</v>
      </c>
      <c r="W109" s="24">
        <f t="shared" si="33"/>
        <v>47949118.8699883</v>
      </c>
      <c r="X109" s="18">
        <f t="shared" si="34"/>
        <v>40.7971797866135</v>
      </c>
      <c r="Y109" s="18">
        <f t="shared" si="35"/>
        <v>56.8249148432928</v>
      </c>
      <c r="Z109" s="18">
        <f t="shared" si="36"/>
        <v>1</v>
      </c>
      <c r="AA109" t="str">
        <f t="shared" si="37"/>
        <v>适中</v>
      </c>
      <c r="AB109" t="str">
        <f t="shared" si="38"/>
        <v>有效</v>
      </c>
      <c r="AC109" t="str">
        <f t="shared" si="39"/>
        <v>不降</v>
      </c>
      <c r="AD109" t="s">
        <v>5995</v>
      </c>
      <c r="AE109" s="4">
        <v>417000</v>
      </c>
      <c r="AF109" s="4">
        <f>INDEX(_统一战力!$B$2:$B$501,J109)</f>
        <v>951000</v>
      </c>
    </row>
    <row r="110" spans="1:32">
      <c r="A110" t="s">
        <v>5548</v>
      </c>
      <c r="B110" t="s">
        <v>5804</v>
      </c>
      <c r="C110" t="s">
        <v>5963</v>
      </c>
      <c r="D110" t="s">
        <v>5841</v>
      </c>
      <c r="E110" t="s">
        <v>5999</v>
      </c>
      <c r="F110" t="s">
        <v>164</v>
      </c>
      <c r="G110">
        <v>202</v>
      </c>
      <c r="I110">
        <f t="shared" si="31"/>
        <v>202</v>
      </c>
      <c r="J110">
        <v>268</v>
      </c>
      <c r="K110" s="23">
        <v>0.983050773692478</v>
      </c>
      <c r="L110" s="23">
        <v>1.06053240089147</v>
      </c>
      <c r="M110" s="23">
        <v>1</v>
      </c>
      <c r="N110">
        <v>1</v>
      </c>
      <c r="O110">
        <v>1</v>
      </c>
      <c r="P110" s="18">
        <v>43.9448192974819</v>
      </c>
      <c r="Q110" s="24">
        <f>IF($I110="","",IFERROR(INDEX(_玩家曲线!$H$2:$H$286,MATCH($I110,_玩家曲线!$A$2:$A$286,0)),""))</f>
        <v>1622429.54423439</v>
      </c>
      <c r="R110" s="24">
        <f>IF($I110="","",IFERROR(INDEX(_玩家曲线!$I$2:$I$286,MATCH($I110,_玩家曲线!$A$2:$A$286,0)),""))</f>
        <v>2180057.5945393</v>
      </c>
      <c r="S110" s="24">
        <f>IF(OR($J110="",$F110="不适用"),"",IFERROR(INDEX(_怪物模型!$D$2:$D$4501,(INT($J110)-1)*ROWS(_怪物类型!$A$2:$A$10)+MATCH($F110,_怪物类型!$A$2:$A$10,0))*IF($K110="",1,$K110),""))</f>
        <v>32936883.1895331</v>
      </c>
      <c r="T110" s="24">
        <f>IF(OR($J110="",$F110="不适用"),"",IFERROR(INDEX(_怪物模型!$E$2:$E$4501,(INT($J110)-1)*ROWS(_怪物类型!$A$2:$A$10)+MATCH($F110,_怪物类型!$A$2:$A$10,0))*IF($L110="",1,$L110),""))</f>
        <v>39561.0401504545</v>
      </c>
      <c r="U110" s="24">
        <f>IF(OR($J110="",$F110="不适用"),"",IFERROR(INDEX(_怪物模型!$F$2:$F$4501,(INT($J110)-1)*ROWS(_怪物类型!$A$2:$A$10)+MATCH($F110,_怪物类型!$A$2:$A$10,0))*IF($M110="",1,$M110),""))</f>
        <v>27952</v>
      </c>
      <c r="V110" s="6">
        <f t="shared" si="32"/>
        <v>0.538035109331691</v>
      </c>
      <c r="W110" s="24">
        <f t="shared" si="33"/>
        <v>71297373.144276</v>
      </c>
      <c r="X110" s="18">
        <f t="shared" si="34"/>
        <v>43.9448192974818</v>
      </c>
      <c r="Y110" s="18">
        <f t="shared" si="35"/>
        <v>55.1061748186683</v>
      </c>
      <c r="Z110" s="18">
        <f t="shared" si="36"/>
        <v>0.999999999999997</v>
      </c>
      <c r="AA110" t="str">
        <f t="shared" si="37"/>
        <v>适中</v>
      </c>
      <c r="AB110" t="str">
        <f t="shared" si="38"/>
        <v>有效</v>
      </c>
      <c r="AC110" t="str">
        <f t="shared" si="39"/>
        <v>不降</v>
      </c>
      <c r="AD110" t="s">
        <v>6000</v>
      </c>
      <c r="AE110" s="4">
        <v>542000</v>
      </c>
      <c r="AF110" s="4">
        <f>INDEX(_统一战力!$B$2:$B$501,J110)</f>
        <v>1210000</v>
      </c>
    </row>
    <row r="111" spans="1:32">
      <c r="A111" t="s">
        <v>5548</v>
      </c>
      <c r="B111" t="s">
        <v>5804</v>
      </c>
      <c r="C111" t="s">
        <v>5963</v>
      </c>
      <c r="D111" t="s">
        <v>5844</v>
      </c>
      <c r="E111" t="s">
        <v>6001</v>
      </c>
      <c r="F111" t="s">
        <v>164</v>
      </c>
      <c r="G111">
        <v>202</v>
      </c>
      <c r="I111">
        <f t="shared" si="31"/>
        <v>202</v>
      </c>
      <c r="J111">
        <v>268</v>
      </c>
      <c r="K111" s="23">
        <v>0.983050773692478</v>
      </c>
      <c r="L111" s="23">
        <v>1.06053240089147</v>
      </c>
      <c r="M111" s="23">
        <v>1</v>
      </c>
      <c r="N111">
        <v>1</v>
      </c>
      <c r="O111">
        <v>1</v>
      </c>
      <c r="P111" s="18">
        <v>43.9448192974819</v>
      </c>
      <c r="Q111" s="24">
        <f>IF($I111="","",IFERROR(INDEX(_玩家曲线!$H$2:$H$286,MATCH($I111,_玩家曲线!$A$2:$A$286,0)),""))</f>
        <v>1622429.54423439</v>
      </c>
      <c r="R111" s="24">
        <f>IF($I111="","",IFERROR(INDEX(_玩家曲线!$I$2:$I$286,MATCH($I111,_玩家曲线!$A$2:$A$286,0)),""))</f>
        <v>2180057.5945393</v>
      </c>
      <c r="S111" s="24">
        <f>IF(OR($J111="",$F111="不适用"),"",IFERROR(INDEX(_怪物模型!$D$2:$D$4501,(INT($J111)-1)*ROWS(_怪物类型!$A$2:$A$10)+MATCH($F111,_怪物类型!$A$2:$A$10,0))*IF($K111="",1,$K111),""))</f>
        <v>32936883.1895331</v>
      </c>
      <c r="T111" s="24">
        <f>IF(OR($J111="",$F111="不适用"),"",IFERROR(INDEX(_怪物模型!$E$2:$E$4501,(INT($J111)-1)*ROWS(_怪物类型!$A$2:$A$10)+MATCH($F111,_怪物类型!$A$2:$A$10,0))*IF($L111="",1,$L111),""))</f>
        <v>39561.0401504545</v>
      </c>
      <c r="U111" s="24">
        <f>IF(OR($J111="",$F111="不适用"),"",IFERROR(INDEX(_怪物模型!$F$2:$F$4501,(INT($J111)-1)*ROWS(_怪物类型!$A$2:$A$10)+MATCH($F111,_怪物类型!$A$2:$A$10,0))*IF($M111="",1,$M111),""))</f>
        <v>27952</v>
      </c>
      <c r="V111" s="6">
        <f t="shared" si="32"/>
        <v>0.538035109331691</v>
      </c>
      <c r="W111" s="24">
        <f t="shared" si="33"/>
        <v>71297373.144276</v>
      </c>
      <c r="X111" s="18">
        <f t="shared" si="34"/>
        <v>43.9448192974818</v>
      </c>
      <c r="Y111" s="18">
        <f t="shared" si="35"/>
        <v>55.1061748186683</v>
      </c>
      <c r="Z111" s="18">
        <f t="shared" si="36"/>
        <v>0.999999999999997</v>
      </c>
      <c r="AA111" t="str">
        <f t="shared" si="37"/>
        <v>适中</v>
      </c>
      <c r="AB111" t="str">
        <f t="shared" si="38"/>
        <v>有效</v>
      </c>
      <c r="AC111" t="str">
        <f t="shared" si="39"/>
        <v>不降</v>
      </c>
      <c r="AD111" t="s">
        <v>6000</v>
      </c>
      <c r="AE111" s="4">
        <v>542000</v>
      </c>
      <c r="AF111" s="4">
        <f>INDEX(_统一战力!$B$2:$B$501,J111)</f>
        <v>1210000</v>
      </c>
    </row>
    <row r="112" spans="1:32">
      <c r="A112" t="s">
        <v>5548</v>
      </c>
      <c r="B112" t="s">
        <v>5804</v>
      </c>
      <c r="C112" t="s">
        <v>5963</v>
      </c>
      <c r="D112" t="s">
        <v>6002</v>
      </c>
      <c r="E112" t="s">
        <v>6003</v>
      </c>
      <c r="F112" t="s">
        <v>164</v>
      </c>
      <c r="G112">
        <v>202</v>
      </c>
      <c r="I112">
        <f t="shared" si="31"/>
        <v>202</v>
      </c>
      <c r="J112">
        <v>268</v>
      </c>
      <c r="K112" s="23">
        <v>0.983050773692478</v>
      </c>
      <c r="L112" s="23">
        <v>1.06053240089147</v>
      </c>
      <c r="M112" s="23">
        <v>1</v>
      </c>
      <c r="N112">
        <v>1</v>
      </c>
      <c r="O112">
        <v>1</v>
      </c>
      <c r="P112" s="18">
        <v>43.9448192974819</v>
      </c>
      <c r="Q112" s="24">
        <f>IF($I112="","",IFERROR(INDEX(_玩家曲线!$H$2:$H$286,MATCH($I112,_玩家曲线!$A$2:$A$286,0)),""))</f>
        <v>1622429.54423439</v>
      </c>
      <c r="R112" s="24">
        <f>IF($I112="","",IFERROR(INDEX(_玩家曲线!$I$2:$I$286,MATCH($I112,_玩家曲线!$A$2:$A$286,0)),""))</f>
        <v>2180057.5945393</v>
      </c>
      <c r="S112" s="24">
        <f>IF(OR($J112="",$F112="不适用"),"",IFERROR(INDEX(_怪物模型!$D$2:$D$4501,(INT($J112)-1)*ROWS(_怪物类型!$A$2:$A$10)+MATCH($F112,_怪物类型!$A$2:$A$10,0))*IF($K112="",1,$K112),""))</f>
        <v>32936883.1895331</v>
      </c>
      <c r="T112" s="24">
        <f>IF(OR($J112="",$F112="不适用"),"",IFERROR(INDEX(_怪物模型!$E$2:$E$4501,(INT($J112)-1)*ROWS(_怪物类型!$A$2:$A$10)+MATCH($F112,_怪物类型!$A$2:$A$10,0))*IF($L112="",1,$L112),""))</f>
        <v>39561.0401504545</v>
      </c>
      <c r="U112" s="24">
        <f>IF(OR($J112="",$F112="不适用"),"",IFERROR(INDEX(_怪物模型!$F$2:$F$4501,(INT($J112)-1)*ROWS(_怪物类型!$A$2:$A$10)+MATCH($F112,_怪物类型!$A$2:$A$10,0))*IF($M112="",1,$M112),""))</f>
        <v>27952</v>
      </c>
      <c r="V112" s="6">
        <f t="shared" si="32"/>
        <v>0.538035109331691</v>
      </c>
      <c r="W112" s="24">
        <f t="shared" si="33"/>
        <v>71297373.144276</v>
      </c>
      <c r="X112" s="18">
        <f t="shared" si="34"/>
        <v>43.9448192974818</v>
      </c>
      <c r="Y112" s="18">
        <f t="shared" si="35"/>
        <v>55.1061748186683</v>
      </c>
      <c r="Z112" s="18">
        <f t="shared" si="36"/>
        <v>0.999999999999997</v>
      </c>
      <c r="AA112" t="str">
        <f t="shared" si="37"/>
        <v>适中</v>
      </c>
      <c r="AB112" t="str">
        <f t="shared" si="38"/>
        <v>有效</v>
      </c>
      <c r="AC112" t="str">
        <f t="shared" si="39"/>
        <v>不降</v>
      </c>
      <c r="AD112" t="s">
        <v>6000</v>
      </c>
      <c r="AE112" s="4">
        <v>542000</v>
      </c>
      <c r="AF112" s="4">
        <f>INDEX(_统一战力!$B$2:$B$501,J112)</f>
        <v>1210000</v>
      </c>
    </row>
    <row r="113" spans="1:32">
      <c r="A113" t="s">
        <v>5548</v>
      </c>
      <c r="B113" t="s">
        <v>5804</v>
      </c>
      <c r="C113" t="s">
        <v>5963</v>
      </c>
      <c r="D113" t="s">
        <v>5846</v>
      </c>
      <c r="E113" t="s">
        <v>6004</v>
      </c>
      <c r="F113" t="s">
        <v>164</v>
      </c>
      <c r="G113">
        <v>247</v>
      </c>
      <c r="I113">
        <f t="shared" si="31"/>
        <v>247</v>
      </c>
      <c r="J113">
        <v>300</v>
      </c>
      <c r="K113" s="23">
        <v>0.96623695725778</v>
      </c>
      <c r="L113" s="23">
        <v>1.10386827731758</v>
      </c>
      <c r="M113" s="23">
        <v>1</v>
      </c>
      <c r="N113">
        <v>1</v>
      </c>
      <c r="O113">
        <v>1</v>
      </c>
      <c r="P113" s="18">
        <v>49.7664468024278</v>
      </c>
      <c r="Q113" s="24">
        <f>IF($I113="","",IFERROR(INDEX(_玩家曲线!$H$2:$H$286,MATCH($I113,_玩家曲线!$A$2:$A$286,0)),""))</f>
        <v>2130522.35028177</v>
      </c>
      <c r="R113" s="24">
        <f>IF($I113="","",IFERROR(INDEX(_玩家曲线!$I$2:$I$286,MATCH($I113,_玩家曲线!$A$2:$A$286,0)),""))</f>
        <v>2652309.03339959</v>
      </c>
      <c r="S113" s="24">
        <f>IF(OR($J113="",$F113="不适用"),"",IFERROR(INDEX(_怪物模型!$D$2:$D$4501,(INT($J113)-1)*ROWS(_怪物类型!$A$2:$A$10)+MATCH($F113,_怪物类型!$A$2:$A$10,0))*IF($K113="",1,$K113),""))</f>
        <v>45132926.341037</v>
      </c>
      <c r="T113" s="24">
        <f>IF(OR($J113="",$F113="不适用"),"",IFERROR(INDEX(_怪物模型!$E$2:$E$4501,(INT($J113)-1)*ROWS(_怪物类型!$A$2:$A$10)+MATCH($F113,_怪物类型!$A$2:$A$10,0))*IF($L113="",1,$L113),""))</f>
        <v>51519.7402389661</v>
      </c>
      <c r="U113" s="24">
        <f>IF(OR($J113="",$F113="不适用"),"",IFERROR(INDEX(_怪物模型!$F$2:$F$4501,(INT($J113)-1)*ROWS(_怪物类型!$A$2:$A$10)+MATCH($F113,_怪物类型!$A$2:$A$10,0))*IF($M113="",1,$M113),""))</f>
        <v>32382</v>
      </c>
      <c r="V113" s="6">
        <f t="shared" si="32"/>
        <v>0.574332233691604</v>
      </c>
      <c r="W113" s="24">
        <f t="shared" si="33"/>
        <v>106028527.206681</v>
      </c>
      <c r="X113" s="18">
        <f t="shared" si="34"/>
        <v>49.7664468024278</v>
      </c>
      <c r="Y113" s="18">
        <f t="shared" si="35"/>
        <v>51.4814131650757</v>
      </c>
      <c r="Z113" s="18">
        <f t="shared" si="36"/>
        <v>1</v>
      </c>
      <c r="AA113" t="str">
        <f t="shared" si="37"/>
        <v>适中</v>
      </c>
      <c r="AB113" t="str">
        <f t="shared" si="38"/>
        <v>有效</v>
      </c>
      <c r="AC113" t="str">
        <f t="shared" si="39"/>
        <v>不降</v>
      </c>
      <c r="AD113" t="s">
        <v>6005</v>
      </c>
      <c r="AE113" s="4">
        <v>686000</v>
      </c>
      <c r="AF113" s="4">
        <f>INDEX(_统一战力!$B$2:$B$501,J113)</f>
        <v>1470000</v>
      </c>
    </row>
    <row r="114" spans="1:32">
      <c r="A114" t="s">
        <v>5548</v>
      </c>
      <c r="B114" t="s">
        <v>5804</v>
      </c>
      <c r="C114" t="s">
        <v>5963</v>
      </c>
      <c r="D114" t="s">
        <v>5849</v>
      </c>
      <c r="E114" t="s">
        <v>6006</v>
      </c>
      <c r="F114" t="s">
        <v>164</v>
      </c>
      <c r="G114">
        <v>247</v>
      </c>
      <c r="I114">
        <f t="shared" si="31"/>
        <v>247</v>
      </c>
      <c r="J114">
        <v>300</v>
      </c>
      <c r="K114" s="23">
        <v>0.96623695725778</v>
      </c>
      <c r="L114" s="23">
        <v>1.10386827731758</v>
      </c>
      <c r="M114" s="23">
        <v>1</v>
      </c>
      <c r="N114">
        <v>1</v>
      </c>
      <c r="O114">
        <v>1</v>
      </c>
      <c r="P114" s="18">
        <v>49.7664468024278</v>
      </c>
      <c r="Q114" s="24">
        <f>IF($I114="","",IFERROR(INDEX(_玩家曲线!$H$2:$H$286,MATCH($I114,_玩家曲线!$A$2:$A$286,0)),""))</f>
        <v>2130522.35028177</v>
      </c>
      <c r="R114" s="24">
        <f>IF($I114="","",IFERROR(INDEX(_玩家曲线!$I$2:$I$286,MATCH($I114,_玩家曲线!$A$2:$A$286,0)),""))</f>
        <v>2652309.03339959</v>
      </c>
      <c r="S114" s="24">
        <f>IF(OR($J114="",$F114="不适用"),"",IFERROR(INDEX(_怪物模型!$D$2:$D$4501,(INT($J114)-1)*ROWS(_怪物类型!$A$2:$A$10)+MATCH($F114,_怪物类型!$A$2:$A$10,0))*IF($K114="",1,$K114),""))</f>
        <v>45132926.341037</v>
      </c>
      <c r="T114" s="24">
        <f>IF(OR($J114="",$F114="不适用"),"",IFERROR(INDEX(_怪物模型!$E$2:$E$4501,(INT($J114)-1)*ROWS(_怪物类型!$A$2:$A$10)+MATCH($F114,_怪物类型!$A$2:$A$10,0))*IF($L114="",1,$L114),""))</f>
        <v>51519.7402389661</v>
      </c>
      <c r="U114" s="24">
        <f>IF(OR($J114="",$F114="不适用"),"",IFERROR(INDEX(_怪物模型!$F$2:$F$4501,(INT($J114)-1)*ROWS(_怪物类型!$A$2:$A$10)+MATCH($F114,_怪物类型!$A$2:$A$10,0))*IF($M114="",1,$M114),""))</f>
        <v>32382</v>
      </c>
      <c r="V114" s="6">
        <f t="shared" si="32"/>
        <v>0.574332233691604</v>
      </c>
      <c r="W114" s="24">
        <f t="shared" si="33"/>
        <v>106028527.206681</v>
      </c>
      <c r="X114" s="18">
        <f t="shared" si="34"/>
        <v>49.7664468024278</v>
      </c>
      <c r="Y114" s="18">
        <f t="shared" si="35"/>
        <v>51.4814131650757</v>
      </c>
      <c r="Z114" s="18">
        <f t="shared" si="36"/>
        <v>1</v>
      </c>
      <c r="AA114" t="str">
        <f t="shared" si="37"/>
        <v>适中</v>
      </c>
      <c r="AB114" t="str">
        <f t="shared" si="38"/>
        <v>有效</v>
      </c>
      <c r="AC114" t="str">
        <f t="shared" si="39"/>
        <v>不降</v>
      </c>
      <c r="AD114" t="s">
        <v>6005</v>
      </c>
      <c r="AE114" s="4">
        <v>686000</v>
      </c>
      <c r="AF114" s="4">
        <f>INDEX(_统一战力!$B$2:$B$501,J114)</f>
        <v>1470000</v>
      </c>
    </row>
    <row r="115" spans="1:32">
      <c r="A115" t="s">
        <v>5548</v>
      </c>
      <c r="B115" t="s">
        <v>5804</v>
      </c>
      <c r="C115" t="s">
        <v>5963</v>
      </c>
      <c r="D115" t="s">
        <v>6007</v>
      </c>
      <c r="E115" t="s">
        <v>6008</v>
      </c>
      <c r="F115" t="s">
        <v>164</v>
      </c>
      <c r="G115">
        <v>247</v>
      </c>
      <c r="I115">
        <f t="shared" si="31"/>
        <v>247</v>
      </c>
      <c r="J115">
        <v>300</v>
      </c>
      <c r="K115" s="23">
        <v>0.96623695725778</v>
      </c>
      <c r="L115" s="23">
        <v>1.10386827731758</v>
      </c>
      <c r="M115" s="23">
        <v>1</v>
      </c>
      <c r="N115">
        <v>1</v>
      </c>
      <c r="O115">
        <v>1</v>
      </c>
      <c r="P115" s="18">
        <v>49.7664468024278</v>
      </c>
      <c r="Q115" s="24">
        <f>IF($I115="","",IFERROR(INDEX(_玩家曲线!$H$2:$H$286,MATCH($I115,_玩家曲线!$A$2:$A$286,0)),""))</f>
        <v>2130522.35028177</v>
      </c>
      <c r="R115" s="24">
        <f>IF($I115="","",IFERROR(INDEX(_玩家曲线!$I$2:$I$286,MATCH($I115,_玩家曲线!$A$2:$A$286,0)),""))</f>
        <v>2652309.03339959</v>
      </c>
      <c r="S115" s="24">
        <f>IF(OR($J115="",$F115="不适用"),"",IFERROR(INDEX(_怪物模型!$D$2:$D$4501,(INT($J115)-1)*ROWS(_怪物类型!$A$2:$A$10)+MATCH($F115,_怪物类型!$A$2:$A$10,0))*IF($K115="",1,$K115),""))</f>
        <v>45132926.341037</v>
      </c>
      <c r="T115" s="24">
        <f>IF(OR($J115="",$F115="不适用"),"",IFERROR(INDEX(_怪物模型!$E$2:$E$4501,(INT($J115)-1)*ROWS(_怪物类型!$A$2:$A$10)+MATCH($F115,_怪物类型!$A$2:$A$10,0))*IF($L115="",1,$L115),""))</f>
        <v>51519.7402389661</v>
      </c>
      <c r="U115" s="24">
        <f>IF(OR($J115="",$F115="不适用"),"",IFERROR(INDEX(_怪物模型!$F$2:$F$4501,(INT($J115)-1)*ROWS(_怪物类型!$A$2:$A$10)+MATCH($F115,_怪物类型!$A$2:$A$10,0))*IF($M115="",1,$M115),""))</f>
        <v>32382</v>
      </c>
      <c r="V115" s="6">
        <f t="shared" si="32"/>
        <v>0.574332233691604</v>
      </c>
      <c r="W115" s="24">
        <f t="shared" si="33"/>
        <v>106028527.206681</v>
      </c>
      <c r="X115" s="18">
        <f t="shared" si="34"/>
        <v>49.7664468024278</v>
      </c>
      <c r="Y115" s="18">
        <f t="shared" si="35"/>
        <v>51.4814131650757</v>
      </c>
      <c r="Z115" s="18">
        <f t="shared" si="36"/>
        <v>1</v>
      </c>
      <c r="AA115" t="str">
        <f t="shared" si="37"/>
        <v>适中</v>
      </c>
      <c r="AB115" t="str">
        <f t="shared" si="38"/>
        <v>有效</v>
      </c>
      <c r="AC115" t="str">
        <f t="shared" si="39"/>
        <v>不降</v>
      </c>
      <c r="AD115" t="s">
        <v>6005</v>
      </c>
      <c r="AE115" s="4">
        <v>686000</v>
      </c>
      <c r="AF115" s="4">
        <f>INDEX(_统一战力!$B$2:$B$501,J115)</f>
        <v>1470000</v>
      </c>
    </row>
    <row r="116" spans="1:32">
      <c r="A116" t="s">
        <v>5548</v>
      </c>
      <c r="B116" t="s">
        <v>5804</v>
      </c>
      <c r="C116" t="s">
        <v>5963</v>
      </c>
      <c r="D116" t="s">
        <v>5851</v>
      </c>
      <c r="E116" t="s">
        <v>6009</v>
      </c>
      <c r="F116" t="s">
        <v>164</v>
      </c>
      <c r="G116">
        <v>278</v>
      </c>
      <c r="I116">
        <f t="shared" si="31"/>
        <v>278</v>
      </c>
      <c r="J116">
        <v>327</v>
      </c>
      <c r="K116" s="23">
        <v>0.957089165688218</v>
      </c>
      <c r="L116" s="23">
        <v>1.13626378920316</v>
      </c>
      <c r="M116" s="23">
        <v>1</v>
      </c>
      <c r="N116">
        <v>1</v>
      </c>
      <c r="O116">
        <v>1</v>
      </c>
      <c r="P116" s="18">
        <v>58.7862851553518</v>
      </c>
      <c r="Q116" s="24">
        <f>IF($I116="","",IFERROR(INDEX(_玩家曲线!$H$2:$H$286,MATCH($I116,_玩家曲线!$A$2:$A$286,0)),""))</f>
        <v>2485348.50314207</v>
      </c>
      <c r="R116" s="24">
        <f>IF($I116="","",IFERROR(INDEX(_玩家曲线!$I$2:$I$286,MATCH($I116,_玩家曲线!$A$2:$A$286,0)),""))</f>
        <v>2960774.85867836</v>
      </c>
      <c r="S116" s="24">
        <f>IF(OR($J116="",$F116="不适用"),"",IFERROR(INDEX(_怪物模型!$D$2:$D$4501,(INT($J116)-1)*ROWS(_怪物类型!$A$2:$A$10)+MATCH($F116,_怪物类型!$A$2:$A$10,0))*IF($K116="",1,$K116),""))</f>
        <v>58151007.2900046</v>
      </c>
      <c r="T116" s="24">
        <f>IF(OR($J116="",$F116="不适用"),"",IFERROR(INDEX(_怪物模型!$E$2:$E$4501,(INT($J116)-1)*ROWS(_怪物类型!$A$2:$A$10)+MATCH($F116,_怪物类型!$A$2:$A$10,0))*IF($L116="",1,$L116),""))</f>
        <v>63509.1919699322</v>
      </c>
      <c r="U116" s="24">
        <f>IF(OR($J116="",$F116="不适用"),"",IFERROR(INDEX(_怪物模型!$F$2:$F$4501,(INT($J116)-1)*ROWS(_怪物类型!$A$2:$A$10)+MATCH($F116,_怪物类型!$A$2:$A$10,0))*IF($M116="",1,$M116),""))</f>
        <v>36300</v>
      </c>
      <c r="V116" s="6">
        <f t="shared" si="32"/>
        <v>0.601990049751244</v>
      </c>
      <c r="W116" s="24">
        <f t="shared" si="33"/>
        <v>146104405.816136</v>
      </c>
      <c r="X116" s="18">
        <f t="shared" si="34"/>
        <v>58.7862851553518</v>
      </c>
      <c r="Y116" s="18">
        <f t="shared" si="35"/>
        <v>46.6196272829311</v>
      </c>
      <c r="Z116" s="18">
        <f t="shared" si="36"/>
        <v>1</v>
      </c>
      <c r="AA116" t="str">
        <f t="shared" si="37"/>
        <v>生存不成立</v>
      </c>
      <c r="AB116" t="str">
        <f t="shared" si="38"/>
        <v>有效</v>
      </c>
      <c r="AC116" t="str">
        <f t="shared" si="39"/>
        <v>不降</v>
      </c>
      <c r="AD116" t="s">
        <v>6010</v>
      </c>
      <c r="AE116" s="4">
        <v>832000</v>
      </c>
      <c r="AF116" s="4">
        <f>INDEX(_统一战力!$B$2:$B$501,J116)</f>
        <v>1680000</v>
      </c>
    </row>
    <row r="117" spans="1:32">
      <c r="A117" t="s">
        <v>5548</v>
      </c>
      <c r="B117" t="s">
        <v>5804</v>
      </c>
      <c r="C117" t="s">
        <v>5963</v>
      </c>
      <c r="D117" t="s">
        <v>6011</v>
      </c>
      <c r="E117" t="s">
        <v>6012</v>
      </c>
      <c r="F117" t="s">
        <v>164</v>
      </c>
      <c r="G117">
        <v>278</v>
      </c>
      <c r="I117">
        <f t="shared" si="31"/>
        <v>278</v>
      </c>
      <c r="J117">
        <v>327</v>
      </c>
      <c r="K117" s="23">
        <v>0.957089165688218</v>
      </c>
      <c r="L117" s="23">
        <v>1.13626378920316</v>
      </c>
      <c r="M117" s="23">
        <v>1</v>
      </c>
      <c r="N117">
        <v>1</v>
      </c>
      <c r="O117">
        <v>1</v>
      </c>
      <c r="P117" s="18">
        <v>58.7862851553518</v>
      </c>
      <c r="Q117" s="24">
        <f>IF($I117="","",IFERROR(INDEX(_玩家曲线!$H$2:$H$286,MATCH($I117,_玩家曲线!$A$2:$A$286,0)),""))</f>
        <v>2485348.50314207</v>
      </c>
      <c r="R117" s="24">
        <f>IF($I117="","",IFERROR(INDEX(_玩家曲线!$I$2:$I$286,MATCH($I117,_玩家曲线!$A$2:$A$286,0)),""))</f>
        <v>2960774.85867836</v>
      </c>
      <c r="S117" s="24">
        <f>IF(OR($J117="",$F117="不适用"),"",IFERROR(INDEX(_怪物模型!$D$2:$D$4501,(INT($J117)-1)*ROWS(_怪物类型!$A$2:$A$10)+MATCH($F117,_怪物类型!$A$2:$A$10,0))*IF($K117="",1,$K117),""))</f>
        <v>58151007.2900046</v>
      </c>
      <c r="T117" s="24">
        <f>IF(OR($J117="",$F117="不适用"),"",IFERROR(INDEX(_怪物模型!$E$2:$E$4501,(INT($J117)-1)*ROWS(_怪物类型!$A$2:$A$10)+MATCH($F117,_怪物类型!$A$2:$A$10,0))*IF($L117="",1,$L117),""))</f>
        <v>63509.1919699322</v>
      </c>
      <c r="U117" s="24">
        <f>IF(OR($J117="",$F117="不适用"),"",IFERROR(INDEX(_怪物模型!$F$2:$F$4501,(INT($J117)-1)*ROWS(_怪物类型!$A$2:$A$10)+MATCH($F117,_怪物类型!$A$2:$A$10,0))*IF($M117="",1,$M117),""))</f>
        <v>36300</v>
      </c>
      <c r="V117" s="6">
        <f t="shared" si="32"/>
        <v>0.601990049751244</v>
      </c>
      <c r="W117" s="24">
        <f t="shared" si="33"/>
        <v>146104405.816136</v>
      </c>
      <c r="X117" s="18">
        <f t="shared" si="34"/>
        <v>58.7862851553518</v>
      </c>
      <c r="Y117" s="18">
        <f t="shared" si="35"/>
        <v>46.6196272829311</v>
      </c>
      <c r="Z117" s="18">
        <f t="shared" si="36"/>
        <v>1</v>
      </c>
      <c r="AA117" t="str">
        <f t="shared" si="37"/>
        <v>生存不成立</v>
      </c>
      <c r="AB117" t="str">
        <f t="shared" si="38"/>
        <v>有效</v>
      </c>
      <c r="AC117" t="str">
        <f t="shared" si="39"/>
        <v>不降</v>
      </c>
      <c r="AD117" t="s">
        <v>6010</v>
      </c>
      <c r="AE117" s="4">
        <v>832000</v>
      </c>
      <c r="AF117" s="4">
        <f>INDEX(_统一战力!$B$2:$B$501,J117)</f>
        <v>1680000</v>
      </c>
    </row>
    <row r="118" spans="1:32">
      <c r="A118" t="s">
        <v>5548</v>
      </c>
      <c r="B118" t="s">
        <v>5804</v>
      </c>
      <c r="C118" t="s">
        <v>5963</v>
      </c>
      <c r="D118" t="s">
        <v>6013</v>
      </c>
      <c r="E118" t="s">
        <v>6014</v>
      </c>
      <c r="F118" t="s">
        <v>164</v>
      </c>
      <c r="G118">
        <v>278</v>
      </c>
      <c r="I118">
        <f t="shared" si="31"/>
        <v>278</v>
      </c>
      <c r="J118">
        <v>327</v>
      </c>
      <c r="K118" s="23">
        <v>0.957089165688218</v>
      </c>
      <c r="L118" s="23">
        <v>1.13626378920316</v>
      </c>
      <c r="M118" s="23">
        <v>1</v>
      </c>
      <c r="N118">
        <v>1</v>
      </c>
      <c r="O118">
        <v>1</v>
      </c>
      <c r="P118" s="18">
        <v>58.7862851553518</v>
      </c>
      <c r="Q118" s="24">
        <f>IF($I118="","",IFERROR(INDEX(_玩家曲线!$H$2:$H$286,MATCH($I118,_玩家曲线!$A$2:$A$286,0)),""))</f>
        <v>2485348.50314207</v>
      </c>
      <c r="R118" s="24">
        <f>IF($I118="","",IFERROR(INDEX(_玩家曲线!$I$2:$I$286,MATCH($I118,_玩家曲线!$A$2:$A$286,0)),""))</f>
        <v>2960774.85867836</v>
      </c>
      <c r="S118" s="24">
        <f>IF(OR($J118="",$F118="不适用"),"",IFERROR(INDEX(_怪物模型!$D$2:$D$4501,(INT($J118)-1)*ROWS(_怪物类型!$A$2:$A$10)+MATCH($F118,_怪物类型!$A$2:$A$10,0))*IF($K118="",1,$K118),""))</f>
        <v>58151007.2900046</v>
      </c>
      <c r="T118" s="24">
        <f>IF(OR($J118="",$F118="不适用"),"",IFERROR(INDEX(_怪物模型!$E$2:$E$4501,(INT($J118)-1)*ROWS(_怪物类型!$A$2:$A$10)+MATCH($F118,_怪物类型!$A$2:$A$10,0))*IF($L118="",1,$L118),""))</f>
        <v>63509.1919699322</v>
      </c>
      <c r="U118" s="24">
        <f>IF(OR($J118="",$F118="不适用"),"",IFERROR(INDEX(_怪物模型!$F$2:$F$4501,(INT($J118)-1)*ROWS(_怪物类型!$A$2:$A$10)+MATCH($F118,_怪物类型!$A$2:$A$10,0))*IF($M118="",1,$M118),""))</f>
        <v>36300</v>
      </c>
      <c r="V118" s="6">
        <f t="shared" si="32"/>
        <v>0.601990049751244</v>
      </c>
      <c r="W118" s="24">
        <f t="shared" si="33"/>
        <v>146104405.816136</v>
      </c>
      <c r="X118" s="18">
        <f t="shared" si="34"/>
        <v>58.7862851553518</v>
      </c>
      <c r="Y118" s="18">
        <f t="shared" si="35"/>
        <v>46.6196272829311</v>
      </c>
      <c r="Z118" s="18">
        <f t="shared" si="36"/>
        <v>1</v>
      </c>
      <c r="AA118" t="str">
        <f t="shared" si="37"/>
        <v>生存不成立</v>
      </c>
      <c r="AB118" t="str">
        <f t="shared" si="38"/>
        <v>有效</v>
      </c>
      <c r="AC118" t="str">
        <f t="shared" si="39"/>
        <v>不降</v>
      </c>
      <c r="AD118" t="s">
        <v>6010</v>
      </c>
      <c r="AE118" s="4">
        <v>832000</v>
      </c>
      <c r="AF118" s="4">
        <f>INDEX(_统一战力!$B$2:$B$501,J118)</f>
        <v>1680000</v>
      </c>
    </row>
    <row r="119" spans="1:32">
      <c r="A119" t="s">
        <v>5548</v>
      </c>
      <c r="B119" t="s">
        <v>5804</v>
      </c>
      <c r="C119" t="s">
        <v>5963</v>
      </c>
      <c r="D119" t="s">
        <v>6015</v>
      </c>
      <c r="E119" t="s">
        <v>6016</v>
      </c>
      <c r="F119" t="s">
        <v>164</v>
      </c>
      <c r="G119">
        <v>278</v>
      </c>
      <c r="I119">
        <f t="shared" si="31"/>
        <v>278</v>
      </c>
      <c r="J119">
        <v>327</v>
      </c>
      <c r="K119" s="23">
        <v>0.957089165688218</v>
      </c>
      <c r="L119" s="23">
        <v>1.13626378920316</v>
      </c>
      <c r="M119" s="23">
        <v>1</v>
      </c>
      <c r="N119">
        <v>1</v>
      </c>
      <c r="O119">
        <v>1</v>
      </c>
      <c r="P119" s="18">
        <v>58.7862851553518</v>
      </c>
      <c r="Q119" s="24">
        <f>IF($I119="","",IFERROR(INDEX(_玩家曲线!$H$2:$H$286,MATCH($I119,_玩家曲线!$A$2:$A$286,0)),""))</f>
        <v>2485348.50314207</v>
      </c>
      <c r="R119" s="24">
        <f>IF($I119="","",IFERROR(INDEX(_玩家曲线!$I$2:$I$286,MATCH($I119,_玩家曲线!$A$2:$A$286,0)),""))</f>
        <v>2960774.85867836</v>
      </c>
      <c r="S119" s="24">
        <f>IF(OR($J119="",$F119="不适用"),"",IFERROR(INDEX(_怪物模型!$D$2:$D$4501,(INT($J119)-1)*ROWS(_怪物类型!$A$2:$A$10)+MATCH($F119,_怪物类型!$A$2:$A$10,0))*IF($K119="",1,$K119),""))</f>
        <v>58151007.2900046</v>
      </c>
      <c r="T119" s="24">
        <f>IF(OR($J119="",$F119="不适用"),"",IFERROR(INDEX(_怪物模型!$E$2:$E$4501,(INT($J119)-1)*ROWS(_怪物类型!$A$2:$A$10)+MATCH($F119,_怪物类型!$A$2:$A$10,0))*IF($L119="",1,$L119),""))</f>
        <v>63509.1919699322</v>
      </c>
      <c r="U119" s="24">
        <f>IF(OR($J119="",$F119="不适用"),"",IFERROR(INDEX(_怪物模型!$F$2:$F$4501,(INT($J119)-1)*ROWS(_怪物类型!$A$2:$A$10)+MATCH($F119,_怪物类型!$A$2:$A$10,0))*IF($M119="",1,$M119),""))</f>
        <v>36300</v>
      </c>
      <c r="V119" s="6">
        <f t="shared" si="32"/>
        <v>0.601990049751244</v>
      </c>
      <c r="W119" s="24">
        <f t="shared" si="33"/>
        <v>146104405.816136</v>
      </c>
      <c r="X119" s="18">
        <f t="shared" si="34"/>
        <v>58.7862851553518</v>
      </c>
      <c r="Y119" s="18">
        <f t="shared" si="35"/>
        <v>46.6196272829311</v>
      </c>
      <c r="Z119" s="18">
        <f t="shared" si="36"/>
        <v>1</v>
      </c>
      <c r="AA119" t="str">
        <f t="shared" si="37"/>
        <v>生存不成立</v>
      </c>
      <c r="AB119" t="str">
        <f t="shared" si="38"/>
        <v>有效</v>
      </c>
      <c r="AC119" t="str">
        <f t="shared" si="39"/>
        <v>不降</v>
      </c>
      <c r="AD119" t="s">
        <v>6010</v>
      </c>
      <c r="AE119" s="4">
        <v>832000</v>
      </c>
      <c r="AF119" s="4">
        <f>INDEX(_统一战力!$B$2:$B$501,J119)</f>
        <v>1680000</v>
      </c>
    </row>
    <row r="120" spans="1:32">
      <c r="A120" t="s">
        <v>5548</v>
      </c>
      <c r="B120" t="s">
        <v>5804</v>
      </c>
      <c r="C120" t="s">
        <v>5963</v>
      </c>
      <c r="D120" t="s">
        <v>6017</v>
      </c>
      <c r="E120" t="s">
        <v>6018</v>
      </c>
      <c r="F120" t="s">
        <v>164</v>
      </c>
      <c r="G120">
        <v>278</v>
      </c>
      <c r="I120">
        <f t="shared" si="31"/>
        <v>278</v>
      </c>
      <c r="J120">
        <v>327</v>
      </c>
      <c r="K120" s="23">
        <v>0.957089165688218</v>
      </c>
      <c r="L120" s="23">
        <v>1.13626378920316</v>
      </c>
      <c r="M120" s="23">
        <v>1</v>
      </c>
      <c r="N120">
        <v>1</v>
      </c>
      <c r="O120">
        <v>1</v>
      </c>
      <c r="P120" s="18">
        <v>58.7862851553518</v>
      </c>
      <c r="Q120" s="24">
        <f>IF($I120="","",IFERROR(INDEX(_玩家曲线!$H$2:$H$286,MATCH($I120,_玩家曲线!$A$2:$A$286,0)),""))</f>
        <v>2485348.50314207</v>
      </c>
      <c r="R120" s="24">
        <f>IF($I120="","",IFERROR(INDEX(_玩家曲线!$I$2:$I$286,MATCH($I120,_玩家曲线!$A$2:$A$286,0)),""))</f>
        <v>2960774.85867836</v>
      </c>
      <c r="S120" s="24">
        <f>IF(OR($J120="",$F120="不适用"),"",IFERROR(INDEX(_怪物模型!$D$2:$D$4501,(INT($J120)-1)*ROWS(_怪物类型!$A$2:$A$10)+MATCH($F120,_怪物类型!$A$2:$A$10,0))*IF($K120="",1,$K120),""))</f>
        <v>58151007.2900046</v>
      </c>
      <c r="T120" s="24">
        <f>IF(OR($J120="",$F120="不适用"),"",IFERROR(INDEX(_怪物模型!$E$2:$E$4501,(INT($J120)-1)*ROWS(_怪物类型!$A$2:$A$10)+MATCH($F120,_怪物类型!$A$2:$A$10,0))*IF($L120="",1,$L120),""))</f>
        <v>63509.1919699322</v>
      </c>
      <c r="U120" s="24">
        <f>IF(OR($J120="",$F120="不适用"),"",IFERROR(INDEX(_怪物模型!$F$2:$F$4501,(INT($J120)-1)*ROWS(_怪物类型!$A$2:$A$10)+MATCH($F120,_怪物类型!$A$2:$A$10,0))*IF($M120="",1,$M120),""))</f>
        <v>36300</v>
      </c>
      <c r="V120" s="6">
        <f t="shared" si="32"/>
        <v>0.601990049751244</v>
      </c>
      <c r="W120" s="24">
        <f t="shared" si="33"/>
        <v>146104405.816136</v>
      </c>
      <c r="X120" s="18">
        <f t="shared" si="34"/>
        <v>58.7862851553518</v>
      </c>
      <c r="Y120" s="18">
        <f t="shared" si="35"/>
        <v>46.6196272829311</v>
      </c>
      <c r="Z120" s="18">
        <f t="shared" si="36"/>
        <v>1</v>
      </c>
      <c r="AA120" t="str">
        <f t="shared" si="37"/>
        <v>生存不成立</v>
      </c>
      <c r="AB120" t="str">
        <f t="shared" si="38"/>
        <v>有效</v>
      </c>
      <c r="AC120" t="str">
        <f t="shared" si="39"/>
        <v>不降</v>
      </c>
      <c r="AD120" t="s">
        <v>6010</v>
      </c>
      <c r="AE120" s="4">
        <v>832000</v>
      </c>
      <c r="AF120" s="4">
        <f>INDEX(_统一战力!$B$2:$B$501,J120)</f>
        <v>1680000</v>
      </c>
    </row>
    <row r="121" spans="1:32">
      <c r="A121" t="s">
        <v>5548</v>
      </c>
      <c r="B121" t="s">
        <v>5804</v>
      </c>
      <c r="C121" t="s">
        <v>5963</v>
      </c>
      <c r="D121" t="s">
        <v>6019</v>
      </c>
      <c r="E121" t="s">
        <v>6020</v>
      </c>
      <c r="F121" t="s">
        <v>164</v>
      </c>
      <c r="G121">
        <v>278</v>
      </c>
      <c r="I121">
        <f t="shared" si="31"/>
        <v>278</v>
      </c>
      <c r="J121">
        <v>327</v>
      </c>
      <c r="K121" s="23">
        <v>0.957089165688218</v>
      </c>
      <c r="L121" s="23">
        <v>1.13626378920316</v>
      </c>
      <c r="M121" s="23">
        <v>1</v>
      </c>
      <c r="N121">
        <v>1</v>
      </c>
      <c r="O121">
        <v>1</v>
      </c>
      <c r="P121" s="18">
        <v>58.7862851553518</v>
      </c>
      <c r="Q121" s="24">
        <f>IF($I121="","",IFERROR(INDEX(_玩家曲线!$H$2:$H$286,MATCH($I121,_玩家曲线!$A$2:$A$286,0)),""))</f>
        <v>2485348.50314207</v>
      </c>
      <c r="R121" s="24">
        <f>IF($I121="","",IFERROR(INDEX(_玩家曲线!$I$2:$I$286,MATCH($I121,_玩家曲线!$A$2:$A$286,0)),""))</f>
        <v>2960774.85867836</v>
      </c>
      <c r="S121" s="24">
        <f>IF(OR($J121="",$F121="不适用"),"",IFERROR(INDEX(_怪物模型!$D$2:$D$4501,(INT($J121)-1)*ROWS(_怪物类型!$A$2:$A$10)+MATCH($F121,_怪物类型!$A$2:$A$10,0))*IF($K121="",1,$K121),""))</f>
        <v>58151007.2900046</v>
      </c>
      <c r="T121" s="24">
        <f>IF(OR($J121="",$F121="不适用"),"",IFERROR(INDEX(_怪物模型!$E$2:$E$4501,(INT($J121)-1)*ROWS(_怪物类型!$A$2:$A$10)+MATCH($F121,_怪物类型!$A$2:$A$10,0))*IF($L121="",1,$L121),""))</f>
        <v>63509.1919699322</v>
      </c>
      <c r="U121" s="24">
        <f>IF(OR($J121="",$F121="不适用"),"",IFERROR(INDEX(_怪物模型!$F$2:$F$4501,(INT($J121)-1)*ROWS(_怪物类型!$A$2:$A$10)+MATCH($F121,_怪物类型!$A$2:$A$10,0))*IF($M121="",1,$M121),""))</f>
        <v>36300</v>
      </c>
      <c r="V121" s="6">
        <f t="shared" si="32"/>
        <v>0.601990049751244</v>
      </c>
      <c r="W121" s="24">
        <f t="shared" si="33"/>
        <v>146104405.816136</v>
      </c>
      <c r="X121" s="18">
        <f t="shared" si="34"/>
        <v>58.7862851553518</v>
      </c>
      <c r="Y121" s="18">
        <f t="shared" si="35"/>
        <v>46.6196272829311</v>
      </c>
      <c r="Z121" s="18">
        <f t="shared" si="36"/>
        <v>1</v>
      </c>
      <c r="AA121" t="str">
        <f t="shared" si="37"/>
        <v>生存不成立</v>
      </c>
      <c r="AB121" t="str">
        <f t="shared" si="38"/>
        <v>有效</v>
      </c>
      <c r="AC121" t="str">
        <f t="shared" si="39"/>
        <v>不降</v>
      </c>
      <c r="AD121" t="s">
        <v>6010</v>
      </c>
      <c r="AE121" s="4">
        <v>832000</v>
      </c>
      <c r="AF121" s="4">
        <f>INDEX(_统一战力!$B$2:$B$501,J121)</f>
        <v>1680000</v>
      </c>
    </row>
    <row r="122" spans="1:32">
      <c r="A122" t="s">
        <v>5548</v>
      </c>
      <c r="B122" t="s">
        <v>5804</v>
      </c>
      <c r="C122" t="s">
        <v>5963</v>
      </c>
      <c r="D122" t="s">
        <v>6021</v>
      </c>
      <c r="E122" t="s">
        <v>6022</v>
      </c>
      <c r="F122" t="s">
        <v>164</v>
      </c>
      <c r="G122">
        <v>278</v>
      </c>
      <c r="I122">
        <f t="shared" si="31"/>
        <v>278</v>
      </c>
      <c r="J122">
        <v>327</v>
      </c>
      <c r="K122" s="23">
        <v>0.957089165688218</v>
      </c>
      <c r="L122" s="23">
        <v>1.13626378920316</v>
      </c>
      <c r="M122" s="23">
        <v>1</v>
      </c>
      <c r="N122">
        <v>1</v>
      </c>
      <c r="O122">
        <v>1</v>
      </c>
      <c r="P122" s="18">
        <v>58.7862851553518</v>
      </c>
      <c r="Q122" s="24">
        <f>IF($I122="","",IFERROR(INDEX(_玩家曲线!$H$2:$H$286,MATCH($I122,_玩家曲线!$A$2:$A$286,0)),""))</f>
        <v>2485348.50314207</v>
      </c>
      <c r="R122" s="24">
        <f>IF($I122="","",IFERROR(INDEX(_玩家曲线!$I$2:$I$286,MATCH($I122,_玩家曲线!$A$2:$A$286,0)),""))</f>
        <v>2960774.85867836</v>
      </c>
      <c r="S122" s="24">
        <f>IF(OR($J122="",$F122="不适用"),"",IFERROR(INDEX(_怪物模型!$D$2:$D$4501,(INT($J122)-1)*ROWS(_怪物类型!$A$2:$A$10)+MATCH($F122,_怪物类型!$A$2:$A$10,0))*IF($K122="",1,$K122),""))</f>
        <v>58151007.2900046</v>
      </c>
      <c r="T122" s="24">
        <f>IF(OR($J122="",$F122="不适用"),"",IFERROR(INDEX(_怪物模型!$E$2:$E$4501,(INT($J122)-1)*ROWS(_怪物类型!$A$2:$A$10)+MATCH($F122,_怪物类型!$A$2:$A$10,0))*IF($L122="",1,$L122),""))</f>
        <v>63509.1919699322</v>
      </c>
      <c r="U122" s="24">
        <f>IF(OR($J122="",$F122="不适用"),"",IFERROR(INDEX(_怪物模型!$F$2:$F$4501,(INT($J122)-1)*ROWS(_怪物类型!$A$2:$A$10)+MATCH($F122,_怪物类型!$A$2:$A$10,0))*IF($M122="",1,$M122),""))</f>
        <v>36300</v>
      </c>
      <c r="V122" s="6">
        <f t="shared" si="32"/>
        <v>0.601990049751244</v>
      </c>
      <c r="W122" s="24">
        <f t="shared" si="33"/>
        <v>146104405.816136</v>
      </c>
      <c r="X122" s="18">
        <f t="shared" si="34"/>
        <v>58.7862851553518</v>
      </c>
      <c r="Y122" s="18">
        <f t="shared" si="35"/>
        <v>46.6196272829311</v>
      </c>
      <c r="Z122" s="18">
        <f t="shared" si="36"/>
        <v>1</v>
      </c>
      <c r="AA122" t="str">
        <f t="shared" si="37"/>
        <v>生存不成立</v>
      </c>
      <c r="AB122" t="str">
        <f t="shared" si="38"/>
        <v>有效</v>
      </c>
      <c r="AC122" t="str">
        <f t="shared" si="39"/>
        <v>不降</v>
      </c>
      <c r="AD122" t="s">
        <v>6010</v>
      </c>
      <c r="AE122" s="4">
        <v>832000</v>
      </c>
      <c r="AF122" s="4">
        <f>INDEX(_统一战力!$B$2:$B$501,J122)</f>
        <v>1680000</v>
      </c>
    </row>
    <row r="123" spans="1:32">
      <c r="A123" t="s">
        <v>5548</v>
      </c>
      <c r="B123" t="s">
        <v>5804</v>
      </c>
      <c r="C123" t="s">
        <v>5963</v>
      </c>
      <c r="D123" t="s">
        <v>6023</v>
      </c>
      <c r="E123" t="s">
        <v>6024</v>
      </c>
      <c r="F123" t="s">
        <v>164</v>
      </c>
      <c r="G123">
        <v>278</v>
      </c>
      <c r="I123">
        <f t="shared" si="31"/>
        <v>278</v>
      </c>
      <c r="J123">
        <v>327</v>
      </c>
      <c r="K123" s="23">
        <v>0.957089165688218</v>
      </c>
      <c r="L123" s="23">
        <v>1.13626378920316</v>
      </c>
      <c r="M123" s="23">
        <v>1</v>
      </c>
      <c r="N123">
        <v>1</v>
      </c>
      <c r="O123">
        <v>1</v>
      </c>
      <c r="P123" s="18">
        <v>58.7862851553518</v>
      </c>
      <c r="Q123" s="24">
        <f>IF($I123="","",IFERROR(INDEX(_玩家曲线!$H$2:$H$286,MATCH($I123,_玩家曲线!$A$2:$A$286,0)),""))</f>
        <v>2485348.50314207</v>
      </c>
      <c r="R123" s="24">
        <f>IF($I123="","",IFERROR(INDEX(_玩家曲线!$I$2:$I$286,MATCH($I123,_玩家曲线!$A$2:$A$286,0)),""))</f>
        <v>2960774.85867836</v>
      </c>
      <c r="S123" s="24">
        <f>IF(OR($J123="",$F123="不适用"),"",IFERROR(INDEX(_怪物模型!$D$2:$D$4501,(INT($J123)-1)*ROWS(_怪物类型!$A$2:$A$10)+MATCH($F123,_怪物类型!$A$2:$A$10,0))*IF($K123="",1,$K123),""))</f>
        <v>58151007.2900046</v>
      </c>
      <c r="T123" s="24">
        <f>IF(OR($J123="",$F123="不适用"),"",IFERROR(INDEX(_怪物模型!$E$2:$E$4501,(INT($J123)-1)*ROWS(_怪物类型!$A$2:$A$10)+MATCH($F123,_怪物类型!$A$2:$A$10,0))*IF($L123="",1,$L123),""))</f>
        <v>63509.1919699322</v>
      </c>
      <c r="U123" s="24">
        <f>IF(OR($J123="",$F123="不适用"),"",IFERROR(INDEX(_怪物模型!$F$2:$F$4501,(INT($J123)-1)*ROWS(_怪物类型!$A$2:$A$10)+MATCH($F123,_怪物类型!$A$2:$A$10,0))*IF($M123="",1,$M123),""))</f>
        <v>36300</v>
      </c>
      <c r="V123" s="6">
        <f t="shared" si="32"/>
        <v>0.601990049751244</v>
      </c>
      <c r="W123" s="24">
        <f t="shared" si="33"/>
        <v>146104405.816136</v>
      </c>
      <c r="X123" s="18">
        <f t="shared" si="34"/>
        <v>58.7862851553518</v>
      </c>
      <c r="Y123" s="18">
        <f t="shared" si="35"/>
        <v>46.6196272829311</v>
      </c>
      <c r="Z123" s="18">
        <f t="shared" si="36"/>
        <v>1</v>
      </c>
      <c r="AA123" t="str">
        <f t="shared" si="37"/>
        <v>生存不成立</v>
      </c>
      <c r="AB123" t="str">
        <f t="shared" si="38"/>
        <v>有效</v>
      </c>
      <c r="AC123" t="str">
        <f t="shared" si="39"/>
        <v>不降</v>
      </c>
      <c r="AD123" t="s">
        <v>6010</v>
      </c>
      <c r="AE123" s="4">
        <v>832000</v>
      </c>
      <c r="AF123" s="4">
        <f>INDEX(_统一战力!$B$2:$B$501,J123)</f>
        <v>1680000</v>
      </c>
    </row>
    <row r="124" spans="1:32">
      <c r="A124" t="s">
        <v>5548</v>
      </c>
      <c r="B124" t="s">
        <v>5804</v>
      </c>
      <c r="C124" t="s">
        <v>5963</v>
      </c>
      <c r="D124" t="s">
        <v>6025</v>
      </c>
      <c r="E124" t="s">
        <v>6026</v>
      </c>
      <c r="F124" t="s">
        <v>164</v>
      </c>
      <c r="G124">
        <v>278</v>
      </c>
      <c r="I124">
        <f t="shared" si="31"/>
        <v>278</v>
      </c>
      <c r="J124">
        <v>327</v>
      </c>
      <c r="K124" s="23">
        <v>0.957089165688218</v>
      </c>
      <c r="L124" s="23">
        <v>1.13626378920316</v>
      </c>
      <c r="M124" s="23">
        <v>1</v>
      </c>
      <c r="N124">
        <v>1</v>
      </c>
      <c r="O124">
        <v>1</v>
      </c>
      <c r="P124" s="18">
        <v>58.7862851553518</v>
      </c>
      <c r="Q124" s="24">
        <f>IF($I124="","",IFERROR(INDEX(_玩家曲线!$H$2:$H$286,MATCH($I124,_玩家曲线!$A$2:$A$286,0)),""))</f>
        <v>2485348.50314207</v>
      </c>
      <c r="R124" s="24">
        <f>IF($I124="","",IFERROR(INDEX(_玩家曲线!$I$2:$I$286,MATCH($I124,_玩家曲线!$A$2:$A$286,0)),""))</f>
        <v>2960774.85867836</v>
      </c>
      <c r="S124" s="24">
        <f>IF(OR($J124="",$F124="不适用"),"",IFERROR(INDEX(_怪物模型!$D$2:$D$4501,(INT($J124)-1)*ROWS(_怪物类型!$A$2:$A$10)+MATCH($F124,_怪物类型!$A$2:$A$10,0))*IF($K124="",1,$K124),""))</f>
        <v>58151007.2900046</v>
      </c>
      <c r="T124" s="24">
        <f>IF(OR($J124="",$F124="不适用"),"",IFERROR(INDEX(_怪物模型!$E$2:$E$4501,(INT($J124)-1)*ROWS(_怪物类型!$A$2:$A$10)+MATCH($F124,_怪物类型!$A$2:$A$10,0))*IF($L124="",1,$L124),""))</f>
        <v>63509.1919699322</v>
      </c>
      <c r="U124" s="24">
        <f>IF(OR($J124="",$F124="不适用"),"",IFERROR(INDEX(_怪物模型!$F$2:$F$4501,(INT($J124)-1)*ROWS(_怪物类型!$A$2:$A$10)+MATCH($F124,_怪物类型!$A$2:$A$10,0))*IF($M124="",1,$M124),""))</f>
        <v>36300</v>
      </c>
      <c r="V124" s="6">
        <f t="shared" si="32"/>
        <v>0.601990049751244</v>
      </c>
      <c r="W124" s="24">
        <f t="shared" si="33"/>
        <v>146104405.816136</v>
      </c>
      <c r="X124" s="18">
        <f t="shared" si="34"/>
        <v>58.7862851553518</v>
      </c>
      <c r="Y124" s="18">
        <f t="shared" si="35"/>
        <v>46.6196272829311</v>
      </c>
      <c r="Z124" s="18">
        <f t="shared" si="36"/>
        <v>1</v>
      </c>
      <c r="AA124" t="str">
        <f t="shared" si="37"/>
        <v>生存不成立</v>
      </c>
      <c r="AB124" t="str">
        <f t="shared" si="38"/>
        <v>有效</v>
      </c>
      <c r="AC124" t="str">
        <f t="shared" si="39"/>
        <v>不降</v>
      </c>
      <c r="AD124" t="s">
        <v>6010</v>
      </c>
      <c r="AE124" s="4">
        <v>832000</v>
      </c>
      <c r="AF124" s="4">
        <f>INDEX(_统一战力!$B$2:$B$501,J124)</f>
        <v>1680000</v>
      </c>
    </row>
    <row r="125" spans="1:32">
      <c r="A125" t="s">
        <v>5548</v>
      </c>
      <c r="B125" t="s">
        <v>5804</v>
      </c>
      <c r="C125" t="s">
        <v>5963</v>
      </c>
      <c r="D125" t="s">
        <v>6027</v>
      </c>
      <c r="E125" t="s">
        <v>6028</v>
      </c>
      <c r="F125" t="s">
        <v>164</v>
      </c>
      <c r="G125">
        <v>278</v>
      </c>
      <c r="I125">
        <f t="shared" si="31"/>
        <v>278</v>
      </c>
      <c r="J125">
        <v>327</v>
      </c>
      <c r="K125" s="23">
        <v>0.957089165688218</v>
      </c>
      <c r="L125" s="23">
        <v>1.13626378920316</v>
      </c>
      <c r="M125" s="23">
        <v>1</v>
      </c>
      <c r="N125">
        <v>1</v>
      </c>
      <c r="O125">
        <v>1</v>
      </c>
      <c r="P125" s="18">
        <v>58.7862851553518</v>
      </c>
      <c r="Q125" s="24">
        <f>IF($I125="","",IFERROR(INDEX(_玩家曲线!$H$2:$H$286,MATCH($I125,_玩家曲线!$A$2:$A$286,0)),""))</f>
        <v>2485348.50314207</v>
      </c>
      <c r="R125" s="24">
        <f>IF($I125="","",IFERROR(INDEX(_玩家曲线!$I$2:$I$286,MATCH($I125,_玩家曲线!$A$2:$A$286,0)),""))</f>
        <v>2960774.85867836</v>
      </c>
      <c r="S125" s="24">
        <f>IF(OR($J125="",$F125="不适用"),"",IFERROR(INDEX(_怪物模型!$D$2:$D$4501,(INT($J125)-1)*ROWS(_怪物类型!$A$2:$A$10)+MATCH($F125,_怪物类型!$A$2:$A$10,0))*IF($K125="",1,$K125),""))</f>
        <v>58151007.2900046</v>
      </c>
      <c r="T125" s="24">
        <f>IF(OR($J125="",$F125="不适用"),"",IFERROR(INDEX(_怪物模型!$E$2:$E$4501,(INT($J125)-1)*ROWS(_怪物类型!$A$2:$A$10)+MATCH($F125,_怪物类型!$A$2:$A$10,0))*IF($L125="",1,$L125),""))</f>
        <v>63509.1919699322</v>
      </c>
      <c r="U125" s="24">
        <f>IF(OR($J125="",$F125="不适用"),"",IFERROR(INDEX(_怪物模型!$F$2:$F$4501,(INT($J125)-1)*ROWS(_怪物类型!$A$2:$A$10)+MATCH($F125,_怪物类型!$A$2:$A$10,0))*IF($M125="",1,$M125),""))</f>
        <v>36300</v>
      </c>
      <c r="V125" s="6">
        <f t="shared" si="32"/>
        <v>0.601990049751244</v>
      </c>
      <c r="W125" s="24">
        <f t="shared" si="33"/>
        <v>146104405.816136</v>
      </c>
      <c r="X125" s="18">
        <f t="shared" si="34"/>
        <v>58.7862851553518</v>
      </c>
      <c r="Y125" s="18">
        <f t="shared" si="35"/>
        <v>46.6196272829311</v>
      </c>
      <c r="Z125" s="18">
        <f t="shared" si="36"/>
        <v>1</v>
      </c>
      <c r="AA125" t="str">
        <f t="shared" si="37"/>
        <v>生存不成立</v>
      </c>
      <c r="AB125" t="str">
        <f t="shared" si="38"/>
        <v>有效</v>
      </c>
      <c r="AC125" t="str">
        <f t="shared" si="39"/>
        <v>不降</v>
      </c>
      <c r="AD125" t="s">
        <v>6010</v>
      </c>
      <c r="AE125" s="4">
        <v>832000</v>
      </c>
      <c r="AF125" s="4">
        <f>INDEX(_统一战力!$B$2:$B$501,J125)</f>
        <v>1680000</v>
      </c>
    </row>
    <row r="126" spans="1:32">
      <c r="A126" t="s">
        <v>5548</v>
      </c>
      <c r="B126" t="s">
        <v>5804</v>
      </c>
      <c r="C126" t="s">
        <v>5963</v>
      </c>
      <c r="D126" t="s">
        <v>6029</v>
      </c>
      <c r="E126" t="s">
        <v>6030</v>
      </c>
      <c r="F126" t="s">
        <v>164</v>
      </c>
      <c r="G126">
        <v>278</v>
      </c>
      <c r="I126">
        <f t="shared" si="31"/>
        <v>278</v>
      </c>
      <c r="J126">
        <v>327</v>
      </c>
      <c r="K126" s="23">
        <v>0.957089165688218</v>
      </c>
      <c r="L126" s="23">
        <v>1.13626378920316</v>
      </c>
      <c r="M126" s="23">
        <v>1</v>
      </c>
      <c r="N126">
        <v>1</v>
      </c>
      <c r="O126">
        <v>1</v>
      </c>
      <c r="P126" s="18">
        <v>58.7862851553518</v>
      </c>
      <c r="Q126" s="24">
        <f>IF($I126="","",IFERROR(INDEX(_玩家曲线!$H$2:$H$286,MATCH($I126,_玩家曲线!$A$2:$A$286,0)),""))</f>
        <v>2485348.50314207</v>
      </c>
      <c r="R126" s="24">
        <f>IF($I126="","",IFERROR(INDEX(_玩家曲线!$I$2:$I$286,MATCH($I126,_玩家曲线!$A$2:$A$286,0)),""))</f>
        <v>2960774.85867836</v>
      </c>
      <c r="S126" s="24">
        <f>IF(OR($J126="",$F126="不适用"),"",IFERROR(INDEX(_怪物模型!$D$2:$D$4501,(INT($J126)-1)*ROWS(_怪物类型!$A$2:$A$10)+MATCH($F126,_怪物类型!$A$2:$A$10,0))*IF($K126="",1,$K126),""))</f>
        <v>58151007.2900046</v>
      </c>
      <c r="T126" s="24">
        <f>IF(OR($J126="",$F126="不适用"),"",IFERROR(INDEX(_怪物模型!$E$2:$E$4501,(INT($J126)-1)*ROWS(_怪物类型!$A$2:$A$10)+MATCH($F126,_怪物类型!$A$2:$A$10,0))*IF($L126="",1,$L126),""))</f>
        <v>63509.1919699322</v>
      </c>
      <c r="U126" s="24">
        <f>IF(OR($J126="",$F126="不适用"),"",IFERROR(INDEX(_怪物模型!$F$2:$F$4501,(INT($J126)-1)*ROWS(_怪物类型!$A$2:$A$10)+MATCH($F126,_怪物类型!$A$2:$A$10,0))*IF($M126="",1,$M126),""))</f>
        <v>36300</v>
      </c>
      <c r="V126" s="6">
        <f t="shared" si="32"/>
        <v>0.601990049751244</v>
      </c>
      <c r="W126" s="24">
        <f t="shared" si="33"/>
        <v>146104405.816136</v>
      </c>
      <c r="X126" s="18">
        <f t="shared" si="34"/>
        <v>58.7862851553518</v>
      </c>
      <c r="Y126" s="18">
        <f t="shared" si="35"/>
        <v>46.6196272829311</v>
      </c>
      <c r="Z126" s="18">
        <f t="shared" si="36"/>
        <v>1</v>
      </c>
      <c r="AA126" t="str">
        <f t="shared" si="37"/>
        <v>生存不成立</v>
      </c>
      <c r="AB126" t="str">
        <f t="shared" si="38"/>
        <v>有效</v>
      </c>
      <c r="AC126" t="str">
        <f t="shared" si="39"/>
        <v>不降</v>
      </c>
      <c r="AD126" t="s">
        <v>6010</v>
      </c>
      <c r="AE126" s="4">
        <v>832000</v>
      </c>
      <c r="AF126" s="4">
        <f>INDEX(_统一战力!$B$2:$B$501,J126)</f>
        <v>1680000</v>
      </c>
    </row>
    <row r="127" spans="1:32">
      <c r="A127" t="s">
        <v>5548</v>
      </c>
      <c r="B127" t="s">
        <v>5804</v>
      </c>
      <c r="C127" t="s">
        <v>5963</v>
      </c>
      <c r="D127" t="s">
        <v>5854</v>
      </c>
      <c r="E127" t="s">
        <v>6031</v>
      </c>
      <c r="F127" t="s">
        <v>164</v>
      </c>
      <c r="G127">
        <v>278</v>
      </c>
      <c r="I127">
        <f t="shared" si="31"/>
        <v>278</v>
      </c>
      <c r="J127">
        <v>327</v>
      </c>
      <c r="K127" s="23">
        <v>0.957089165688218</v>
      </c>
      <c r="L127" s="23">
        <v>1.13626378920316</v>
      </c>
      <c r="M127" s="23">
        <v>1</v>
      </c>
      <c r="N127">
        <v>1</v>
      </c>
      <c r="O127">
        <v>1</v>
      </c>
      <c r="P127" s="18">
        <v>58.7862851553518</v>
      </c>
      <c r="Q127" s="24">
        <f>IF($I127="","",IFERROR(INDEX(_玩家曲线!$H$2:$H$286,MATCH($I127,_玩家曲线!$A$2:$A$286,0)),""))</f>
        <v>2485348.50314207</v>
      </c>
      <c r="R127" s="24">
        <f>IF($I127="","",IFERROR(INDEX(_玩家曲线!$I$2:$I$286,MATCH($I127,_玩家曲线!$A$2:$A$286,0)),""))</f>
        <v>2960774.85867836</v>
      </c>
      <c r="S127" s="24">
        <f>IF(OR($J127="",$F127="不适用"),"",IFERROR(INDEX(_怪物模型!$D$2:$D$4501,(INT($J127)-1)*ROWS(_怪物类型!$A$2:$A$10)+MATCH($F127,_怪物类型!$A$2:$A$10,0))*IF($K127="",1,$K127),""))</f>
        <v>58151007.2900046</v>
      </c>
      <c r="T127" s="24">
        <f>IF(OR($J127="",$F127="不适用"),"",IFERROR(INDEX(_怪物模型!$E$2:$E$4501,(INT($J127)-1)*ROWS(_怪物类型!$A$2:$A$10)+MATCH($F127,_怪物类型!$A$2:$A$10,0))*IF($L127="",1,$L127),""))</f>
        <v>63509.1919699322</v>
      </c>
      <c r="U127" s="24">
        <f>IF(OR($J127="",$F127="不适用"),"",IFERROR(INDEX(_怪物模型!$F$2:$F$4501,(INT($J127)-1)*ROWS(_怪物类型!$A$2:$A$10)+MATCH($F127,_怪物类型!$A$2:$A$10,0))*IF($M127="",1,$M127),""))</f>
        <v>36300</v>
      </c>
      <c r="V127" s="6">
        <f t="shared" si="32"/>
        <v>0.601990049751244</v>
      </c>
      <c r="W127" s="24">
        <f t="shared" si="33"/>
        <v>146104405.816136</v>
      </c>
      <c r="X127" s="18">
        <f t="shared" si="34"/>
        <v>58.7862851553518</v>
      </c>
      <c r="Y127" s="18">
        <f t="shared" si="35"/>
        <v>46.6196272829311</v>
      </c>
      <c r="Z127" s="18">
        <f t="shared" si="36"/>
        <v>1</v>
      </c>
      <c r="AA127" t="str">
        <f t="shared" si="37"/>
        <v>生存不成立</v>
      </c>
      <c r="AB127" t="str">
        <f t="shared" si="38"/>
        <v>有效</v>
      </c>
      <c r="AC127" t="str">
        <f t="shared" si="39"/>
        <v>不降</v>
      </c>
      <c r="AD127" t="s">
        <v>6010</v>
      </c>
      <c r="AE127" s="4">
        <v>832000</v>
      </c>
      <c r="AF127" s="4">
        <f>INDEX(_统一战力!$B$2:$B$501,J127)</f>
        <v>1680000</v>
      </c>
    </row>
    <row r="128" spans="1:32">
      <c r="A128" t="s">
        <v>5548</v>
      </c>
      <c r="B128" t="s">
        <v>5804</v>
      </c>
      <c r="C128" t="s">
        <v>5963</v>
      </c>
      <c r="D128" t="s">
        <v>6032</v>
      </c>
      <c r="E128" t="s">
        <v>6033</v>
      </c>
      <c r="F128" t="s">
        <v>164</v>
      </c>
      <c r="G128">
        <v>278</v>
      </c>
      <c r="I128">
        <f t="shared" si="31"/>
        <v>278</v>
      </c>
      <c r="J128">
        <v>327</v>
      </c>
      <c r="K128" s="23">
        <v>0.957089165688218</v>
      </c>
      <c r="L128" s="23">
        <v>1.13626378920316</v>
      </c>
      <c r="M128" s="23">
        <v>1</v>
      </c>
      <c r="N128">
        <v>1</v>
      </c>
      <c r="O128">
        <v>1</v>
      </c>
      <c r="P128" s="18">
        <v>58.7862851553518</v>
      </c>
      <c r="Q128" s="24">
        <f>IF($I128="","",IFERROR(INDEX(_玩家曲线!$H$2:$H$286,MATCH($I128,_玩家曲线!$A$2:$A$286,0)),""))</f>
        <v>2485348.50314207</v>
      </c>
      <c r="R128" s="24">
        <f>IF($I128="","",IFERROR(INDEX(_玩家曲线!$I$2:$I$286,MATCH($I128,_玩家曲线!$A$2:$A$286,0)),""))</f>
        <v>2960774.85867836</v>
      </c>
      <c r="S128" s="24">
        <f>IF(OR($J128="",$F128="不适用"),"",IFERROR(INDEX(_怪物模型!$D$2:$D$4501,(INT($J128)-1)*ROWS(_怪物类型!$A$2:$A$10)+MATCH($F128,_怪物类型!$A$2:$A$10,0))*IF($K128="",1,$K128),""))</f>
        <v>58151007.2900046</v>
      </c>
      <c r="T128" s="24">
        <f>IF(OR($J128="",$F128="不适用"),"",IFERROR(INDEX(_怪物模型!$E$2:$E$4501,(INT($J128)-1)*ROWS(_怪物类型!$A$2:$A$10)+MATCH($F128,_怪物类型!$A$2:$A$10,0))*IF($L128="",1,$L128),""))</f>
        <v>63509.1919699322</v>
      </c>
      <c r="U128" s="24">
        <f>IF(OR($J128="",$F128="不适用"),"",IFERROR(INDEX(_怪物模型!$F$2:$F$4501,(INT($J128)-1)*ROWS(_怪物类型!$A$2:$A$10)+MATCH($F128,_怪物类型!$A$2:$A$10,0))*IF($M128="",1,$M128),""))</f>
        <v>36300</v>
      </c>
      <c r="V128" s="6">
        <f t="shared" si="32"/>
        <v>0.601990049751244</v>
      </c>
      <c r="W128" s="24">
        <f t="shared" si="33"/>
        <v>146104405.816136</v>
      </c>
      <c r="X128" s="18">
        <f t="shared" si="34"/>
        <v>58.7862851553518</v>
      </c>
      <c r="Y128" s="18">
        <f t="shared" si="35"/>
        <v>46.6196272829311</v>
      </c>
      <c r="Z128" s="18">
        <f t="shared" si="36"/>
        <v>1</v>
      </c>
      <c r="AA128" t="str">
        <f t="shared" si="37"/>
        <v>生存不成立</v>
      </c>
      <c r="AB128" t="str">
        <f t="shared" si="38"/>
        <v>有效</v>
      </c>
      <c r="AC128" t="str">
        <f t="shared" si="39"/>
        <v>不降</v>
      </c>
      <c r="AD128" t="s">
        <v>6010</v>
      </c>
      <c r="AE128" s="4">
        <v>832000</v>
      </c>
      <c r="AF128" s="4">
        <f>INDEX(_统一战力!$B$2:$B$501,J128)</f>
        <v>1680000</v>
      </c>
    </row>
    <row r="129" spans="1:32">
      <c r="A129" t="s">
        <v>5548</v>
      </c>
      <c r="B129" t="s">
        <v>5804</v>
      </c>
      <c r="C129" t="s">
        <v>5963</v>
      </c>
      <c r="D129" t="s">
        <v>6034</v>
      </c>
      <c r="E129" t="s">
        <v>6035</v>
      </c>
      <c r="F129" t="s">
        <v>164</v>
      </c>
      <c r="G129">
        <v>278</v>
      </c>
      <c r="I129">
        <f t="shared" si="31"/>
        <v>278</v>
      </c>
      <c r="J129">
        <v>327</v>
      </c>
      <c r="K129" s="23">
        <v>0.957089165688218</v>
      </c>
      <c r="L129" s="23">
        <v>1.13626378920316</v>
      </c>
      <c r="M129" s="23">
        <v>1</v>
      </c>
      <c r="N129">
        <v>1</v>
      </c>
      <c r="O129">
        <v>1</v>
      </c>
      <c r="P129" s="18">
        <v>58.7862851553518</v>
      </c>
      <c r="Q129" s="24">
        <f>IF($I129="","",IFERROR(INDEX(_玩家曲线!$H$2:$H$286,MATCH($I129,_玩家曲线!$A$2:$A$286,0)),""))</f>
        <v>2485348.50314207</v>
      </c>
      <c r="R129" s="24">
        <f>IF($I129="","",IFERROR(INDEX(_玩家曲线!$I$2:$I$286,MATCH($I129,_玩家曲线!$A$2:$A$286,0)),""))</f>
        <v>2960774.85867836</v>
      </c>
      <c r="S129" s="24">
        <f>IF(OR($J129="",$F129="不适用"),"",IFERROR(INDEX(_怪物模型!$D$2:$D$4501,(INT($J129)-1)*ROWS(_怪物类型!$A$2:$A$10)+MATCH($F129,_怪物类型!$A$2:$A$10,0))*IF($K129="",1,$K129),""))</f>
        <v>58151007.2900046</v>
      </c>
      <c r="T129" s="24">
        <f>IF(OR($J129="",$F129="不适用"),"",IFERROR(INDEX(_怪物模型!$E$2:$E$4501,(INT($J129)-1)*ROWS(_怪物类型!$A$2:$A$10)+MATCH($F129,_怪物类型!$A$2:$A$10,0))*IF($L129="",1,$L129),""))</f>
        <v>63509.1919699322</v>
      </c>
      <c r="U129" s="24">
        <f>IF(OR($J129="",$F129="不适用"),"",IFERROR(INDEX(_怪物模型!$F$2:$F$4501,(INT($J129)-1)*ROWS(_怪物类型!$A$2:$A$10)+MATCH($F129,_怪物类型!$A$2:$A$10,0))*IF($M129="",1,$M129),""))</f>
        <v>36300</v>
      </c>
      <c r="V129" s="6">
        <f t="shared" si="32"/>
        <v>0.601990049751244</v>
      </c>
      <c r="W129" s="24">
        <f t="shared" si="33"/>
        <v>146104405.816136</v>
      </c>
      <c r="X129" s="18">
        <f t="shared" si="34"/>
        <v>58.7862851553518</v>
      </c>
      <c r="Y129" s="18">
        <f t="shared" si="35"/>
        <v>46.6196272829311</v>
      </c>
      <c r="Z129" s="18">
        <f t="shared" si="36"/>
        <v>1</v>
      </c>
      <c r="AA129" t="str">
        <f t="shared" si="37"/>
        <v>生存不成立</v>
      </c>
      <c r="AB129" t="str">
        <f t="shared" si="38"/>
        <v>有效</v>
      </c>
      <c r="AC129" t="str">
        <f t="shared" si="39"/>
        <v>不降</v>
      </c>
      <c r="AD129" t="s">
        <v>6010</v>
      </c>
      <c r="AE129" s="4">
        <v>832000</v>
      </c>
      <c r="AF129" s="4">
        <f>INDEX(_统一战力!$B$2:$B$501,J129)</f>
        <v>1680000</v>
      </c>
    </row>
    <row r="130" spans="1:32">
      <c r="A130" t="s">
        <v>5548</v>
      </c>
      <c r="B130" t="s">
        <v>5804</v>
      </c>
      <c r="C130" t="s">
        <v>5963</v>
      </c>
      <c r="D130" t="s">
        <v>6036</v>
      </c>
      <c r="E130" t="s">
        <v>6037</v>
      </c>
      <c r="F130" t="s">
        <v>164</v>
      </c>
      <c r="G130">
        <v>278</v>
      </c>
      <c r="I130">
        <f t="shared" si="31"/>
        <v>278</v>
      </c>
      <c r="J130">
        <v>327</v>
      </c>
      <c r="K130" s="23">
        <v>0.957089165688218</v>
      </c>
      <c r="L130" s="23">
        <v>1.13626378920316</v>
      </c>
      <c r="M130" s="23">
        <v>1</v>
      </c>
      <c r="N130">
        <v>1</v>
      </c>
      <c r="O130">
        <v>1</v>
      </c>
      <c r="P130" s="18">
        <v>58.7862851553518</v>
      </c>
      <c r="Q130" s="24">
        <f>IF($I130="","",IFERROR(INDEX(_玩家曲线!$H$2:$H$286,MATCH($I130,_玩家曲线!$A$2:$A$286,0)),""))</f>
        <v>2485348.50314207</v>
      </c>
      <c r="R130" s="24">
        <f>IF($I130="","",IFERROR(INDEX(_玩家曲线!$I$2:$I$286,MATCH($I130,_玩家曲线!$A$2:$A$286,0)),""))</f>
        <v>2960774.85867836</v>
      </c>
      <c r="S130" s="24">
        <f>IF(OR($J130="",$F130="不适用"),"",IFERROR(INDEX(_怪物模型!$D$2:$D$4501,(INT($J130)-1)*ROWS(_怪物类型!$A$2:$A$10)+MATCH($F130,_怪物类型!$A$2:$A$10,0))*IF($K130="",1,$K130),""))</f>
        <v>58151007.2900046</v>
      </c>
      <c r="T130" s="24">
        <f>IF(OR($J130="",$F130="不适用"),"",IFERROR(INDEX(_怪物模型!$E$2:$E$4501,(INT($J130)-1)*ROWS(_怪物类型!$A$2:$A$10)+MATCH($F130,_怪物类型!$A$2:$A$10,0))*IF($L130="",1,$L130),""))</f>
        <v>63509.1919699322</v>
      </c>
      <c r="U130" s="24">
        <f>IF(OR($J130="",$F130="不适用"),"",IFERROR(INDEX(_怪物模型!$F$2:$F$4501,(INT($J130)-1)*ROWS(_怪物类型!$A$2:$A$10)+MATCH($F130,_怪物类型!$A$2:$A$10,0))*IF($M130="",1,$M130),""))</f>
        <v>36300</v>
      </c>
      <c r="V130" s="6">
        <f t="shared" si="32"/>
        <v>0.601990049751244</v>
      </c>
      <c r="W130" s="24">
        <f t="shared" si="33"/>
        <v>146104405.816136</v>
      </c>
      <c r="X130" s="18">
        <f t="shared" si="34"/>
        <v>58.7862851553518</v>
      </c>
      <c r="Y130" s="18">
        <f t="shared" si="35"/>
        <v>46.6196272829311</v>
      </c>
      <c r="Z130" s="18">
        <f t="shared" si="36"/>
        <v>1</v>
      </c>
      <c r="AA130" t="str">
        <f t="shared" si="37"/>
        <v>生存不成立</v>
      </c>
      <c r="AB130" t="str">
        <f t="shared" si="38"/>
        <v>有效</v>
      </c>
      <c r="AC130" t="str">
        <f t="shared" si="39"/>
        <v>不降</v>
      </c>
      <c r="AD130" t="s">
        <v>6010</v>
      </c>
      <c r="AE130" s="4">
        <v>832000</v>
      </c>
      <c r="AF130" s="4">
        <f>INDEX(_统一战力!$B$2:$B$501,J130)</f>
        <v>1680000</v>
      </c>
    </row>
    <row r="131" spans="1:32">
      <c r="A131" t="s">
        <v>5548</v>
      </c>
      <c r="B131" t="s">
        <v>5804</v>
      </c>
      <c r="C131" t="s">
        <v>5963</v>
      </c>
      <c r="D131" t="s">
        <v>6038</v>
      </c>
      <c r="E131" t="s">
        <v>6039</v>
      </c>
      <c r="F131" t="s">
        <v>164</v>
      </c>
      <c r="G131">
        <v>278</v>
      </c>
      <c r="I131">
        <f t="shared" si="31"/>
        <v>278</v>
      </c>
      <c r="J131">
        <v>327</v>
      </c>
      <c r="K131" s="23">
        <v>0.957089165688218</v>
      </c>
      <c r="L131" s="23">
        <v>1.13626378920316</v>
      </c>
      <c r="M131" s="23">
        <v>1</v>
      </c>
      <c r="N131">
        <v>1</v>
      </c>
      <c r="O131">
        <v>1</v>
      </c>
      <c r="P131" s="18">
        <v>58.7862851553518</v>
      </c>
      <c r="Q131" s="24">
        <f>IF($I131="","",IFERROR(INDEX(_玩家曲线!$H$2:$H$286,MATCH($I131,_玩家曲线!$A$2:$A$286,0)),""))</f>
        <v>2485348.50314207</v>
      </c>
      <c r="R131" s="24">
        <f>IF($I131="","",IFERROR(INDEX(_玩家曲线!$I$2:$I$286,MATCH($I131,_玩家曲线!$A$2:$A$286,0)),""))</f>
        <v>2960774.85867836</v>
      </c>
      <c r="S131" s="24">
        <f>IF(OR($J131="",$F131="不适用"),"",IFERROR(INDEX(_怪物模型!$D$2:$D$4501,(INT($J131)-1)*ROWS(_怪物类型!$A$2:$A$10)+MATCH($F131,_怪物类型!$A$2:$A$10,0))*IF($K131="",1,$K131),""))</f>
        <v>58151007.2900046</v>
      </c>
      <c r="T131" s="24">
        <f>IF(OR($J131="",$F131="不适用"),"",IFERROR(INDEX(_怪物模型!$E$2:$E$4501,(INT($J131)-1)*ROWS(_怪物类型!$A$2:$A$10)+MATCH($F131,_怪物类型!$A$2:$A$10,0))*IF($L131="",1,$L131),""))</f>
        <v>63509.1919699322</v>
      </c>
      <c r="U131" s="24">
        <f>IF(OR($J131="",$F131="不适用"),"",IFERROR(INDEX(_怪物模型!$F$2:$F$4501,(INT($J131)-1)*ROWS(_怪物类型!$A$2:$A$10)+MATCH($F131,_怪物类型!$A$2:$A$10,0))*IF($M131="",1,$M131),""))</f>
        <v>36300</v>
      </c>
      <c r="V131" s="6">
        <f t="shared" si="32"/>
        <v>0.601990049751244</v>
      </c>
      <c r="W131" s="24">
        <f t="shared" si="33"/>
        <v>146104405.816136</v>
      </c>
      <c r="X131" s="18">
        <f t="shared" si="34"/>
        <v>58.7862851553518</v>
      </c>
      <c r="Y131" s="18">
        <f t="shared" si="35"/>
        <v>46.6196272829311</v>
      </c>
      <c r="Z131" s="18">
        <f t="shared" si="36"/>
        <v>1</v>
      </c>
      <c r="AA131" t="str">
        <f t="shared" si="37"/>
        <v>生存不成立</v>
      </c>
      <c r="AB131" t="str">
        <f t="shared" si="38"/>
        <v>有效</v>
      </c>
      <c r="AC131" t="str">
        <f t="shared" si="39"/>
        <v>不降</v>
      </c>
      <c r="AD131" t="s">
        <v>6010</v>
      </c>
      <c r="AE131" s="4">
        <v>832000</v>
      </c>
      <c r="AF131" s="4">
        <f>INDEX(_统一战力!$B$2:$B$501,J131)</f>
        <v>1680000</v>
      </c>
    </row>
    <row r="132" spans="1:32">
      <c r="A132" t="s">
        <v>5548</v>
      </c>
      <c r="B132" t="s">
        <v>5804</v>
      </c>
      <c r="C132" t="s">
        <v>5963</v>
      </c>
      <c r="D132" t="s">
        <v>6040</v>
      </c>
      <c r="E132" t="s">
        <v>6041</v>
      </c>
      <c r="F132" t="s">
        <v>164</v>
      </c>
      <c r="G132">
        <v>278</v>
      </c>
      <c r="I132">
        <f t="shared" si="31"/>
        <v>278</v>
      </c>
      <c r="J132">
        <v>327</v>
      </c>
      <c r="K132" s="23">
        <v>0.957089165688218</v>
      </c>
      <c r="L132" s="23">
        <v>1.13626378920316</v>
      </c>
      <c r="M132" s="23">
        <v>1</v>
      </c>
      <c r="N132">
        <v>1</v>
      </c>
      <c r="O132">
        <v>1</v>
      </c>
      <c r="P132" s="18">
        <v>58.7862851553518</v>
      </c>
      <c r="Q132" s="24">
        <f>IF($I132="","",IFERROR(INDEX(_玩家曲线!$H$2:$H$286,MATCH($I132,_玩家曲线!$A$2:$A$286,0)),""))</f>
        <v>2485348.50314207</v>
      </c>
      <c r="R132" s="24">
        <f>IF($I132="","",IFERROR(INDEX(_玩家曲线!$I$2:$I$286,MATCH($I132,_玩家曲线!$A$2:$A$286,0)),""))</f>
        <v>2960774.85867836</v>
      </c>
      <c r="S132" s="24">
        <f>IF(OR($J132="",$F132="不适用"),"",IFERROR(INDEX(_怪物模型!$D$2:$D$4501,(INT($J132)-1)*ROWS(_怪物类型!$A$2:$A$10)+MATCH($F132,_怪物类型!$A$2:$A$10,0))*IF($K132="",1,$K132),""))</f>
        <v>58151007.2900046</v>
      </c>
      <c r="T132" s="24">
        <f>IF(OR($J132="",$F132="不适用"),"",IFERROR(INDEX(_怪物模型!$E$2:$E$4501,(INT($J132)-1)*ROWS(_怪物类型!$A$2:$A$10)+MATCH($F132,_怪物类型!$A$2:$A$10,0))*IF($L132="",1,$L132),""))</f>
        <v>63509.1919699322</v>
      </c>
      <c r="U132" s="24">
        <f>IF(OR($J132="",$F132="不适用"),"",IFERROR(INDEX(_怪物模型!$F$2:$F$4501,(INT($J132)-1)*ROWS(_怪物类型!$A$2:$A$10)+MATCH($F132,_怪物类型!$A$2:$A$10,0))*IF($M132="",1,$M132),""))</f>
        <v>36300</v>
      </c>
      <c r="V132" s="6">
        <f t="shared" si="32"/>
        <v>0.601990049751244</v>
      </c>
      <c r="W132" s="24">
        <f t="shared" si="33"/>
        <v>146104405.816136</v>
      </c>
      <c r="X132" s="18">
        <f t="shared" si="34"/>
        <v>58.7862851553518</v>
      </c>
      <c r="Y132" s="18">
        <f t="shared" si="35"/>
        <v>46.6196272829311</v>
      </c>
      <c r="Z132" s="18">
        <f t="shared" si="36"/>
        <v>1</v>
      </c>
      <c r="AA132" t="str">
        <f t="shared" si="37"/>
        <v>生存不成立</v>
      </c>
      <c r="AB132" t="str">
        <f t="shared" si="38"/>
        <v>有效</v>
      </c>
      <c r="AC132" t="str">
        <f t="shared" si="39"/>
        <v>不降</v>
      </c>
      <c r="AD132" t="s">
        <v>6010</v>
      </c>
      <c r="AE132" s="4">
        <v>832000</v>
      </c>
      <c r="AF132" s="4">
        <f>INDEX(_统一战力!$B$2:$B$501,J132)</f>
        <v>1680000</v>
      </c>
    </row>
    <row r="133" spans="1:32">
      <c r="A133" t="s">
        <v>5548</v>
      </c>
      <c r="B133" t="s">
        <v>5804</v>
      </c>
      <c r="C133" t="s">
        <v>5963</v>
      </c>
      <c r="D133" t="s">
        <v>6042</v>
      </c>
      <c r="E133" t="s">
        <v>6043</v>
      </c>
      <c r="F133" t="s">
        <v>164</v>
      </c>
      <c r="G133">
        <v>278</v>
      </c>
      <c r="I133">
        <f t="shared" si="31"/>
        <v>278</v>
      </c>
      <c r="J133">
        <v>327</v>
      </c>
      <c r="K133" s="23">
        <v>0.957089165688218</v>
      </c>
      <c r="L133" s="23">
        <v>1.13626378920316</v>
      </c>
      <c r="M133" s="23">
        <v>1</v>
      </c>
      <c r="N133">
        <v>1</v>
      </c>
      <c r="O133">
        <v>1</v>
      </c>
      <c r="P133" s="18">
        <v>58.7862851553518</v>
      </c>
      <c r="Q133" s="24">
        <f>IF($I133="","",IFERROR(INDEX(_玩家曲线!$H$2:$H$286,MATCH($I133,_玩家曲线!$A$2:$A$286,0)),""))</f>
        <v>2485348.50314207</v>
      </c>
      <c r="R133" s="24">
        <f>IF($I133="","",IFERROR(INDEX(_玩家曲线!$I$2:$I$286,MATCH($I133,_玩家曲线!$A$2:$A$286,0)),""))</f>
        <v>2960774.85867836</v>
      </c>
      <c r="S133" s="24">
        <f>IF(OR($J133="",$F133="不适用"),"",IFERROR(INDEX(_怪物模型!$D$2:$D$4501,(INT($J133)-1)*ROWS(_怪物类型!$A$2:$A$10)+MATCH($F133,_怪物类型!$A$2:$A$10,0))*IF($K133="",1,$K133),""))</f>
        <v>58151007.2900046</v>
      </c>
      <c r="T133" s="24">
        <f>IF(OR($J133="",$F133="不适用"),"",IFERROR(INDEX(_怪物模型!$E$2:$E$4501,(INT($J133)-1)*ROWS(_怪物类型!$A$2:$A$10)+MATCH($F133,_怪物类型!$A$2:$A$10,0))*IF($L133="",1,$L133),""))</f>
        <v>63509.1919699322</v>
      </c>
      <c r="U133" s="24">
        <f>IF(OR($J133="",$F133="不适用"),"",IFERROR(INDEX(_怪物模型!$F$2:$F$4501,(INT($J133)-1)*ROWS(_怪物类型!$A$2:$A$10)+MATCH($F133,_怪物类型!$A$2:$A$10,0))*IF($M133="",1,$M133),""))</f>
        <v>36300</v>
      </c>
      <c r="V133" s="6">
        <f t="shared" si="32"/>
        <v>0.601990049751244</v>
      </c>
      <c r="W133" s="24">
        <f t="shared" si="33"/>
        <v>146104405.816136</v>
      </c>
      <c r="X133" s="18">
        <f t="shared" si="34"/>
        <v>58.7862851553518</v>
      </c>
      <c r="Y133" s="18">
        <f t="shared" si="35"/>
        <v>46.6196272829311</v>
      </c>
      <c r="Z133" s="18">
        <f t="shared" si="36"/>
        <v>1</v>
      </c>
      <c r="AA133" t="str">
        <f t="shared" si="37"/>
        <v>生存不成立</v>
      </c>
      <c r="AB133" t="str">
        <f t="shared" si="38"/>
        <v>有效</v>
      </c>
      <c r="AC133" t="str">
        <f t="shared" si="39"/>
        <v>不降</v>
      </c>
      <c r="AD133" t="s">
        <v>6010</v>
      </c>
      <c r="AE133" s="4">
        <v>832000</v>
      </c>
      <c r="AF133" s="4">
        <f>INDEX(_统一战力!$B$2:$B$501,J133)</f>
        <v>1680000</v>
      </c>
    </row>
    <row r="134" spans="1:32">
      <c r="A134" t="s">
        <v>5548</v>
      </c>
      <c r="B134" t="s">
        <v>5804</v>
      </c>
      <c r="C134" t="s">
        <v>5963</v>
      </c>
      <c r="D134" t="s">
        <v>6044</v>
      </c>
      <c r="E134" t="s">
        <v>6045</v>
      </c>
      <c r="F134" t="s">
        <v>164</v>
      </c>
      <c r="G134">
        <v>278</v>
      </c>
      <c r="I134">
        <f t="shared" si="31"/>
        <v>278</v>
      </c>
      <c r="J134">
        <v>327</v>
      </c>
      <c r="K134" s="23">
        <v>0.957089165688218</v>
      </c>
      <c r="L134" s="23">
        <v>1.13626378920316</v>
      </c>
      <c r="M134" s="23">
        <v>1</v>
      </c>
      <c r="N134">
        <v>1</v>
      </c>
      <c r="O134">
        <v>1</v>
      </c>
      <c r="P134" s="18">
        <v>58.7862851553518</v>
      </c>
      <c r="Q134" s="24">
        <f>IF($I134="","",IFERROR(INDEX(_玩家曲线!$H$2:$H$286,MATCH($I134,_玩家曲线!$A$2:$A$286,0)),""))</f>
        <v>2485348.50314207</v>
      </c>
      <c r="R134" s="24">
        <f>IF($I134="","",IFERROR(INDEX(_玩家曲线!$I$2:$I$286,MATCH($I134,_玩家曲线!$A$2:$A$286,0)),""))</f>
        <v>2960774.85867836</v>
      </c>
      <c r="S134" s="24">
        <f>IF(OR($J134="",$F134="不适用"),"",IFERROR(INDEX(_怪物模型!$D$2:$D$4501,(INT($J134)-1)*ROWS(_怪物类型!$A$2:$A$10)+MATCH($F134,_怪物类型!$A$2:$A$10,0))*IF($K134="",1,$K134),""))</f>
        <v>58151007.2900046</v>
      </c>
      <c r="T134" s="24">
        <f>IF(OR($J134="",$F134="不适用"),"",IFERROR(INDEX(_怪物模型!$E$2:$E$4501,(INT($J134)-1)*ROWS(_怪物类型!$A$2:$A$10)+MATCH($F134,_怪物类型!$A$2:$A$10,0))*IF($L134="",1,$L134),""))</f>
        <v>63509.1919699322</v>
      </c>
      <c r="U134" s="24">
        <f>IF(OR($J134="",$F134="不适用"),"",IFERROR(INDEX(_怪物模型!$F$2:$F$4501,(INT($J134)-1)*ROWS(_怪物类型!$A$2:$A$10)+MATCH($F134,_怪物类型!$A$2:$A$10,0))*IF($M134="",1,$M134),""))</f>
        <v>36300</v>
      </c>
      <c r="V134" s="6">
        <f t="shared" si="32"/>
        <v>0.601990049751244</v>
      </c>
      <c r="W134" s="24">
        <f t="shared" si="33"/>
        <v>146104405.816136</v>
      </c>
      <c r="X134" s="18">
        <f t="shared" si="34"/>
        <v>58.7862851553518</v>
      </c>
      <c r="Y134" s="18">
        <f t="shared" si="35"/>
        <v>46.6196272829311</v>
      </c>
      <c r="Z134" s="18">
        <f t="shared" si="36"/>
        <v>1</v>
      </c>
      <c r="AA134" t="str">
        <f t="shared" si="37"/>
        <v>生存不成立</v>
      </c>
      <c r="AB134" t="str">
        <f t="shared" si="38"/>
        <v>有效</v>
      </c>
      <c r="AC134" t="str">
        <f t="shared" si="39"/>
        <v>不降</v>
      </c>
      <c r="AD134" t="s">
        <v>6010</v>
      </c>
      <c r="AE134" s="4">
        <v>832000</v>
      </c>
      <c r="AF134" s="4">
        <f>INDEX(_统一战力!$B$2:$B$501,J134)</f>
        <v>1680000</v>
      </c>
    </row>
    <row r="135" spans="1:32">
      <c r="A135" t="s">
        <v>5548</v>
      </c>
      <c r="B135" t="s">
        <v>5804</v>
      </c>
      <c r="C135" t="s">
        <v>5963</v>
      </c>
      <c r="D135" t="s">
        <v>6046</v>
      </c>
      <c r="E135" t="s">
        <v>6047</v>
      </c>
      <c r="F135" t="s">
        <v>164</v>
      </c>
      <c r="G135">
        <v>278</v>
      </c>
      <c r="I135">
        <f t="shared" si="31"/>
        <v>278</v>
      </c>
      <c r="J135">
        <v>327</v>
      </c>
      <c r="K135" s="23">
        <v>0.957089165688218</v>
      </c>
      <c r="L135" s="23">
        <v>1.13626378920316</v>
      </c>
      <c r="M135" s="23">
        <v>1</v>
      </c>
      <c r="N135">
        <v>1</v>
      </c>
      <c r="O135">
        <v>1</v>
      </c>
      <c r="P135" s="18">
        <v>58.7862851553518</v>
      </c>
      <c r="Q135" s="24">
        <f>IF($I135="","",IFERROR(INDEX(_玩家曲线!$H$2:$H$286,MATCH($I135,_玩家曲线!$A$2:$A$286,0)),""))</f>
        <v>2485348.50314207</v>
      </c>
      <c r="R135" s="24">
        <f>IF($I135="","",IFERROR(INDEX(_玩家曲线!$I$2:$I$286,MATCH($I135,_玩家曲线!$A$2:$A$286,0)),""))</f>
        <v>2960774.85867836</v>
      </c>
      <c r="S135" s="24">
        <f>IF(OR($J135="",$F135="不适用"),"",IFERROR(INDEX(_怪物模型!$D$2:$D$4501,(INT($J135)-1)*ROWS(_怪物类型!$A$2:$A$10)+MATCH($F135,_怪物类型!$A$2:$A$10,0))*IF($K135="",1,$K135),""))</f>
        <v>58151007.2900046</v>
      </c>
      <c r="T135" s="24">
        <f>IF(OR($J135="",$F135="不适用"),"",IFERROR(INDEX(_怪物模型!$E$2:$E$4501,(INT($J135)-1)*ROWS(_怪物类型!$A$2:$A$10)+MATCH($F135,_怪物类型!$A$2:$A$10,0))*IF($L135="",1,$L135),""))</f>
        <v>63509.1919699322</v>
      </c>
      <c r="U135" s="24">
        <f>IF(OR($J135="",$F135="不适用"),"",IFERROR(INDEX(_怪物模型!$F$2:$F$4501,(INT($J135)-1)*ROWS(_怪物类型!$A$2:$A$10)+MATCH($F135,_怪物类型!$A$2:$A$10,0))*IF($M135="",1,$M135),""))</f>
        <v>36300</v>
      </c>
      <c r="V135" s="6">
        <f t="shared" si="32"/>
        <v>0.601990049751244</v>
      </c>
      <c r="W135" s="24">
        <f t="shared" si="33"/>
        <v>146104405.816136</v>
      </c>
      <c r="X135" s="18">
        <f t="shared" si="34"/>
        <v>58.7862851553518</v>
      </c>
      <c r="Y135" s="18">
        <f t="shared" si="35"/>
        <v>46.6196272829311</v>
      </c>
      <c r="Z135" s="18">
        <f t="shared" si="36"/>
        <v>1</v>
      </c>
      <c r="AA135" t="str">
        <f t="shared" si="37"/>
        <v>生存不成立</v>
      </c>
      <c r="AB135" t="str">
        <f t="shared" si="38"/>
        <v>有效</v>
      </c>
      <c r="AC135" t="str">
        <f t="shared" si="39"/>
        <v>不降</v>
      </c>
      <c r="AD135" t="s">
        <v>6010</v>
      </c>
      <c r="AE135" s="4">
        <v>832000</v>
      </c>
      <c r="AF135" s="4">
        <f>INDEX(_统一战力!$B$2:$B$501,J135)</f>
        <v>1680000</v>
      </c>
    </row>
    <row r="136" spans="1:32">
      <c r="A136" t="s">
        <v>5548</v>
      </c>
      <c r="B136" t="s">
        <v>5804</v>
      </c>
      <c r="C136" t="s">
        <v>5963</v>
      </c>
      <c r="D136" t="s">
        <v>6048</v>
      </c>
      <c r="E136" t="s">
        <v>6049</v>
      </c>
      <c r="F136" t="s">
        <v>164</v>
      </c>
      <c r="G136">
        <v>278</v>
      </c>
      <c r="I136">
        <f t="shared" si="31"/>
        <v>278</v>
      </c>
      <c r="J136">
        <v>327</v>
      </c>
      <c r="K136" s="23">
        <v>0.957089165688218</v>
      </c>
      <c r="L136" s="23">
        <v>1.13626378920316</v>
      </c>
      <c r="M136" s="23">
        <v>1</v>
      </c>
      <c r="N136">
        <v>1</v>
      </c>
      <c r="O136">
        <v>1</v>
      </c>
      <c r="P136" s="18">
        <v>58.7862851553518</v>
      </c>
      <c r="Q136" s="24">
        <f>IF($I136="","",IFERROR(INDEX(_玩家曲线!$H$2:$H$286,MATCH($I136,_玩家曲线!$A$2:$A$286,0)),""))</f>
        <v>2485348.50314207</v>
      </c>
      <c r="R136" s="24">
        <f>IF($I136="","",IFERROR(INDEX(_玩家曲线!$I$2:$I$286,MATCH($I136,_玩家曲线!$A$2:$A$286,0)),""))</f>
        <v>2960774.85867836</v>
      </c>
      <c r="S136" s="24">
        <f>IF(OR($J136="",$F136="不适用"),"",IFERROR(INDEX(_怪物模型!$D$2:$D$4501,(INT($J136)-1)*ROWS(_怪物类型!$A$2:$A$10)+MATCH($F136,_怪物类型!$A$2:$A$10,0))*IF($K136="",1,$K136),""))</f>
        <v>58151007.2900046</v>
      </c>
      <c r="T136" s="24">
        <f>IF(OR($J136="",$F136="不适用"),"",IFERROR(INDEX(_怪物模型!$E$2:$E$4501,(INT($J136)-1)*ROWS(_怪物类型!$A$2:$A$10)+MATCH($F136,_怪物类型!$A$2:$A$10,0))*IF($L136="",1,$L136),""))</f>
        <v>63509.1919699322</v>
      </c>
      <c r="U136" s="24">
        <f>IF(OR($J136="",$F136="不适用"),"",IFERROR(INDEX(_怪物模型!$F$2:$F$4501,(INT($J136)-1)*ROWS(_怪物类型!$A$2:$A$10)+MATCH($F136,_怪物类型!$A$2:$A$10,0))*IF($M136="",1,$M136),""))</f>
        <v>36300</v>
      </c>
      <c r="V136" s="6">
        <f t="shared" si="32"/>
        <v>0.601990049751244</v>
      </c>
      <c r="W136" s="24">
        <f t="shared" si="33"/>
        <v>146104405.816136</v>
      </c>
      <c r="X136" s="18">
        <f t="shared" si="34"/>
        <v>58.7862851553518</v>
      </c>
      <c r="Y136" s="18">
        <f t="shared" si="35"/>
        <v>46.6196272829311</v>
      </c>
      <c r="Z136" s="18">
        <f t="shared" si="36"/>
        <v>1</v>
      </c>
      <c r="AA136" t="str">
        <f t="shared" si="37"/>
        <v>生存不成立</v>
      </c>
      <c r="AB136" t="str">
        <f t="shared" si="38"/>
        <v>有效</v>
      </c>
      <c r="AC136" t="str">
        <f t="shared" si="39"/>
        <v>不降</v>
      </c>
      <c r="AD136" t="s">
        <v>6010</v>
      </c>
      <c r="AE136" s="4">
        <v>832000</v>
      </c>
      <c r="AF136" s="4">
        <f>INDEX(_统一战力!$B$2:$B$501,J136)</f>
        <v>1680000</v>
      </c>
    </row>
    <row r="137" spans="1:32">
      <c r="A137" t="s">
        <v>5548</v>
      </c>
      <c r="B137" t="s">
        <v>5804</v>
      </c>
      <c r="C137" t="s">
        <v>5963</v>
      </c>
      <c r="D137" t="s">
        <v>6050</v>
      </c>
      <c r="E137" t="s">
        <v>6051</v>
      </c>
      <c r="F137" t="s">
        <v>164</v>
      </c>
      <c r="G137">
        <v>278</v>
      </c>
      <c r="I137">
        <f t="shared" si="31"/>
        <v>278</v>
      </c>
      <c r="J137">
        <v>327</v>
      </c>
      <c r="K137" s="23">
        <v>0.957089165688218</v>
      </c>
      <c r="L137" s="23">
        <v>1.13626378920316</v>
      </c>
      <c r="M137" s="23">
        <v>1</v>
      </c>
      <c r="N137">
        <v>1</v>
      </c>
      <c r="O137">
        <v>1</v>
      </c>
      <c r="P137" s="18">
        <v>58.7862851553518</v>
      </c>
      <c r="Q137" s="24">
        <f>IF($I137="","",IFERROR(INDEX(_玩家曲线!$H$2:$H$286,MATCH($I137,_玩家曲线!$A$2:$A$286,0)),""))</f>
        <v>2485348.50314207</v>
      </c>
      <c r="R137" s="24">
        <f>IF($I137="","",IFERROR(INDEX(_玩家曲线!$I$2:$I$286,MATCH($I137,_玩家曲线!$A$2:$A$286,0)),""))</f>
        <v>2960774.85867836</v>
      </c>
      <c r="S137" s="24">
        <f>IF(OR($J137="",$F137="不适用"),"",IFERROR(INDEX(_怪物模型!$D$2:$D$4501,(INT($J137)-1)*ROWS(_怪物类型!$A$2:$A$10)+MATCH($F137,_怪物类型!$A$2:$A$10,0))*IF($K137="",1,$K137),""))</f>
        <v>58151007.2900046</v>
      </c>
      <c r="T137" s="24">
        <f>IF(OR($J137="",$F137="不适用"),"",IFERROR(INDEX(_怪物模型!$E$2:$E$4501,(INT($J137)-1)*ROWS(_怪物类型!$A$2:$A$10)+MATCH($F137,_怪物类型!$A$2:$A$10,0))*IF($L137="",1,$L137),""))</f>
        <v>63509.1919699322</v>
      </c>
      <c r="U137" s="24">
        <f>IF(OR($J137="",$F137="不适用"),"",IFERROR(INDEX(_怪物模型!$F$2:$F$4501,(INT($J137)-1)*ROWS(_怪物类型!$A$2:$A$10)+MATCH($F137,_怪物类型!$A$2:$A$10,0))*IF($M137="",1,$M137),""))</f>
        <v>36300</v>
      </c>
      <c r="V137" s="6">
        <f t="shared" si="32"/>
        <v>0.601990049751244</v>
      </c>
      <c r="W137" s="24">
        <f t="shared" si="33"/>
        <v>146104405.816136</v>
      </c>
      <c r="X137" s="18">
        <f t="shared" si="34"/>
        <v>58.7862851553518</v>
      </c>
      <c r="Y137" s="18">
        <f t="shared" si="35"/>
        <v>46.6196272829311</v>
      </c>
      <c r="Z137" s="18">
        <f t="shared" si="36"/>
        <v>1</v>
      </c>
      <c r="AA137" t="str">
        <f t="shared" si="37"/>
        <v>生存不成立</v>
      </c>
      <c r="AB137" t="str">
        <f t="shared" si="38"/>
        <v>有效</v>
      </c>
      <c r="AC137" t="str">
        <f t="shared" si="39"/>
        <v>不降</v>
      </c>
      <c r="AD137" t="s">
        <v>6010</v>
      </c>
      <c r="AE137" s="4">
        <v>832000</v>
      </c>
      <c r="AF137" s="4">
        <f>INDEX(_统一战力!$B$2:$B$501,J137)</f>
        <v>1680000</v>
      </c>
    </row>
    <row r="138" spans="1:32">
      <c r="A138" t="s">
        <v>5548</v>
      </c>
      <c r="B138" t="s">
        <v>5804</v>
      </c>
      <c r="C138" t="s">
        <v>5963</v>
      </c>
      <c r="D138" t="s">
        <v>6052</v>
      </c>
      <c r="E138" t="s">
        <v>6053</v>
      </c>
      <c r="F138" t="s">
        <v>164</v>
      </c>
      <c r="G138">
        <v>278</v>
      </c>
      <c r="I138">
        <f t="shared" si="31"/>
        <v>278</v>
      </c>
      <c r="J138">
        <v>327</v>
      </c>
      <c r="K138" s="23">
        <v>0.957089165688218</v>
      </c>
      <c r="L138" s="23">
        <v>1.13626378920316</v>
      </c>
      <c r="M138" s="23">
        <v>1</v>
      </c>
      <c r="N138">
        <v>1</v>
      </c>
      <c r="O138">
        <v>1</v>
      </c>
      <c r="P138" s="18">
        <v>58.7862851553518</v>
      </c>
      <c r="Q138" s="24">
        <f>IF($I138="","",IFERROR(INDEX(_玩家曲线!$H$2:$H$286,MATCH($I138,_玩家曲线!$A$2:$A$286,0)),""))</f>
        <v>2485348.50314207</v>
      </c>
      <c r="R138" s="24">
        <f>IF($I138="","",IFERROR(INDEX(_玩家曲线!$I$2:$I$286,MATCH($I138,_玩家曲线!$A$2:$A$286,0)),""))</f>
        <v>2960774.85867836</v>
      </c>
      <c r="S138" s="24">
        <f>IF(OR($J138="",$F138="不适用"),"",IFERROR(INDEX(_怪物模型!$D$2:$D$4501,(INT($J138)-1)*ROWS(_怪物类型!$A$2:$A$10)+MATCH($F138,_怪物类型!$A$2:$A$10,0))*IF($K138="",1,$K138),""))</f>
        <v>58151007.2900046</v>
      </c>
      <c r="T138" s="24">
        <f>IF(OR($J138="",$F138="不适用"),"",IFERROR(INDEX(_怪物模型!$E$2:$E$4501,(INT($J138)-1)*ROWS(_怪物类型!$A$2:$A$10)+MATCH($F138,_怪物类型!$A$2:$A$10,0))*IF($L138="",1,$L138),""))</f>
        <v>63509.1919699322</v>
      </c>
      <c r="U138" s="24">
        <f>IF(OR($J138="",$F138="不适用"),"",IFERROR(INDEX(_怪物模型!$F$2:$F$4501,(INT($J138)-1)*ROWS(_怪物类型!$A$2:$A$10)+MATCH($F138,_怪物类型!$A$2:$A$10,0))*IF($M138="",1,$M138),""))</f>
        <v>36300</v>
      </c>
      <c r="V138" s="6">
        <f t="shared" si="32"/>
        <v>0.601990049751244</v>
      </c>
      <c r="W138" s="24">
        <f t="shared" si="33"/>
        <v>146104405.816136</v>
      </c>
      <c r="X138" s="18">
        <f t="shared" si="34"/>
        <v>58.7862851553518</v>
      </c>
      <c r="Y138" s="18">
        <f t="shared" si="35"/>
        <v>46.6196272829311</v>
      </c>
      <c r="Z138" s="18">
        <f t="shared" si="36"/>
        <v>1</v>
      </c>
      <c r="AA138" t="str">
        <f t="shared" si="37"/>
        <v>生存不成立</v>
      </c>
      <c r="AB138" t="str">
        <f t="shared" si="38"/>
        <v>有效</v>
      </c>
      <c r="AC138" t="str">
        <f t="shared" si="39"/>
        <v>不降</v>
      </c>
      <c r="AD138" t="s">
        <v>6010</v>
      </c>
      <c r="AE138" s="4">
        <v>832000</v>
      </c>
      <c r="AF138" s="4">
        <f>INDEX(_统一战力!$B$2:$B$501,J138)</f>
        <v>1680000</v>
      </c>
    </row>
    <row r="139" spans="1:32">
      <c r="A139" t="s">
        <v>5548</v>
      </c>
      <c r="B139" t="s">
        <v>5804</v>
      </c>
      <c r="C139" t="s">
        <v>5963</v>
      </c>
      <c r="D139" t="s">
        <v>6054</v>
      </c>
      <c r="E139" t="s">
        <v>6055</v>
      </c>
      <c r="F139" t="s">
        <v>164</v>
      </c>
      <c r="G139">
        <v>278</v>
      </c>
      <c r="I139">
        <f t="shared" si="31"/>
        <v>278</v>
      </c>
      <c r="J139">
        <v>327</v>
      </c>
      <c r="K139" s="23">
        <v>0.957089165688218</v>
      </c>
      <c r="L139" s="23">
        <v>1.13626378920316</v>
      </c>
      <c r="M139" s="23">
        <v>1</v>
      </c>
      <c r="N139">
        <v>1</v>
      </c>
      <c r="O139">
        <v>1</v>
      </c>
      <c r="P139" s="18">
        <v>58.7862851553518</v>
      </c>
      <c r="Q139" s="24">
        <f>IF($I139="","",IFERROR(INDEX(_玩家曲线!$H$2:$H$286,MATCH($I139,_玩家曲线!$A$2:$A$286,0)),""))</f>
        <v>2485348.50314207</v>
      </c>
      <c r="R139" s="24">
        <f>IF($I139="","",IFERROR(INDEX(_玩家曲线!$I$2:$I$286,MATCH($I139,_玩家曲线!$A$2:$A$286,0)),""))</f>
        <v>2960774.85867836</v>
      </c>
      <c r="S139" s="24">
        <f>IF(OR($J139="",$F139="不适用"),"",IFERROR(INDEX(_怪物模型!$D$2:$D$4501,(INT($J139)-1)*ROWS(_怪物类型!$A$2:$A$10)+MATCH($F139,_怪物类型!$A$2:$A$10,0))*IF($K139="",1,$K139),""))</f>
        <v>58151007.2900046</v>
      </c>
      <c r="T139" s="24">
        <f>IF(OR($J139="",$F139="不适用"),"",IFERROR(INDEX(_怪物模型!$E$2:$E$4501,(INT($J139)-1)*ROWS(_怪物类型!$A$2:$A$10)+MATCH($F139,_怪物类型!$A$2:$A$10,0))*IF($L139="",1,$L139),""))</f>
        <v>63509.1919699322</v>
      </c>
      <c r="U139" s="24">
        <f>IF(OR($J139="",$F139="不适用"),"",IFERROR(INDEX(_怪物模型!$F$2:$F$4501,(INT($J139)-1)*ROWS(_怪物类型!$A$2:$A$10)+MATCH($F139,_怪物类型!$A$2:$A$10,0))*IF($M139="",1,$M139),""))</f>
        <v>36300</v>
      </c>
      <c r="V139" s="6">
        <f t="shared" si="32"/>
        <v>0.601990049751244</v>
      </c>
      <c r="W139" s="24">
        <f t="shared" si="33"/>
        <v>146104405.816136</v>
      </c>
      <c r="X139" s="18">
        <f t="shared" si="34"/>
        <v>58.7862851553518</v>
      </c>
      <c r="Y139" s="18">
        <f t="shared" si="35"/>
        <v>46.6196272829311</v>
      </c>
      <c r="Z139" s="18">
        <f t="shared" si="36"/>
        <v>1</v>
      </c>
      <c r="AA139" t="str">
        <f t="shared" si="37"/>
        <v>生存不成立</v>
      </c>
      <c r="AB139" t="str">
        <f t="shared" si="38"/>
        <v>有效</v>
      </c>
      <c r="AC139" t="str">
        <f t="shared" si="39"/>
        <v>不降</v>
      </c>
      <c r="AD139" t="s">
        <v>6010</v>
      </c>
      <c r="AE139" s="4">
        <v>832000</v>
      </c>
      <c r="AF139" s="4">
        <f>INDEX(_统一战力!$B$2:$B$501,J139)</f>
        <v>1680000</v>
      </c>
    </row>
    <row r="140" spans="1:32">
      <c r="A140" t="s">
        <v>5548</v>
      </c>
      <c r="B140" t="s">
        <v>5804</v>
      </c>
      <c r="C140" t="s">
        <v>5963</v>
      </c>
      <c r="D140" t="s">
        <v>6056</v>
      </c>
      <c r="E140" t="s">
        <v>6057</v>
      </c>
      <c r="F140" t="s">
        <v>164</v>
      </c>
      <c r="G140">
        <v>278</v>
      </c>
      <c r="I140">
        <f t="shared" si="31"/>
        <v>278</v>
      </c>
      <c r="J140">
        <v>327</v>
      </c>
      <c r="K140" s="23">
        <v>0.957089165688218</v>
      </c>
      <c r="L140" s="23">
        <v>1.13626378920316</v>
      </c>
      <c r="M140" s="23">
        <v>1</v>
      </c>
      <c r="N140">
        <v>1</v>
      </c>
      <c r="O140">
        <v>1</v>
      </c>
      <c r="P140" s="18">
        <v>58.7862851553518</v>
      </c>
      <c r="Q140" s="24">
        <f>IF($I140="","",IFERROR(INDEX(_玩家曲线!$H$2:$H$286,MATCH($I140,_玩家曲线!$A$2:$A$286,0)),""))</f>
        <v>2485348.50314207</v>
      </c>
      <c r="R140" s="24">
        <f>IF($I140="","",IFERROR(INDEX(_玩家曲线!$I$2:$I$286,MATCH($I140,_玩家曲线!$A$2:$A$286,0)),""))</f>
        <v>2960774.85867836</v>
      </c>
      <c r="S140" s="24">
        <f>IF(OR($J140="",$F140="不适用"),"",IFERROR(INDEX(_怪物模型!$D$2:$D$4501,(INT($J140)-1)*ROWS(_怪物类型!$A$2:$A$10)+MATCH($F140,_怪物类型!$A$2:$A$10,0))*IF($K140="",1,$K140),""))</f>
        <v>58151007.2900046</v>
      </c>
      <c r="T140" s="24">
        <f>IF(OR($J140="",$F140="不适用"),"",IFERROR(INDEX(_怪物模型!$E$2:$E$4501,(INT($J140)-1)*ROWS(_怪物类型!$A$2:$A$10)+MATCH($F140,_怪物类型!$A$2:$A$10,0))*IF($L140="",1,$L140),""))</f>
        <v>63509.1919699322</v>
      </c>
      <c r="U140" s="24">
        <f>IF(OR($J140="",$F140="不适用"),"",IFERROR(INDEX(_怪物模型!$F$2:$F$4501,(INT($J140)-1)*ROWS(_怪物类型!$A$2:$A$10)+MATCH($F140,_怪物类型!$A$2:$A$10,0))*IF($M140="",1,$M140),""))</f>
        <v>36300</v>
      </c>
      <c r="V140" s="6">
        <f t="shared" si="32"/>
        <v>0.601990049751244</v>
      </c>
      <c r="W140" s="24">
        <f t="shared" si="33"/>
        <v>146104405.816136</v>
      </c>
      <c r="X140" s="18">
        <f t="shared" si="34"/>
        <v>58.7862851553518</v>
      </c>
      <c r="Y140" s="18">
        <f t="shared" si="35"/>
        <v>46.6196272829311</v>
      </c>
      <c r="Z140" s="18">
        <f t="shared" si="36"/>
        <v>1</v>
      </c>
      <c r="AA140" t="str">
        <f t="shared" si="37"/>
        <v>生存不成立</v>
      </c>
      <c r="AB140" t="str">
        <f t="shared" si="38"/>
        <v>有效</v>
      </c>
      <c r="AC140" t="str">
        <f t="shared" si="39"/>
        <v>不降</v>
      </c>
      <c r="AD140" t="s">
        <v>6010</v>
      </c>
      <c r="AE140" s="4">
        <v>832000</v>
      </c>
      <c r="AF140" s="4">
        <f>INDEX(_统一战力!$B$2:$B$501,J140)</f>
        <v>1680000</v>
      </c>
    </row>
    <row r="141" spans="1:32">
      <c r="A141" t="s">
        <v>5548</v>
      </c>
      <c r="B141" t="s">
        <v>5804</v>
      </c>
      <c r="C141" t="s">
        <v>5963</v>
      </c>
      <c r="D141" t="s">
        <v>6058</v>
      </c>
      <c r="E141" t="s">
        <v>6059</v>
      </c>
      <c r="F141" t="s">
        <v>164</v>
      </c>
      <c r="G141">
        <v>278</v>
      </c>
      <c r="I141">
        <f t="shared" si="31"/>
        <v>278</v>
      </c>
      <c r="J141">
        <v>327</v>
      </c>
      <c r="K141" s="23">
        <v>0.957089165688218</v>
      </c>
      <c r="L141" s="23">
        <v>1.13626378920316</v>
      </c>
      <c r="M141" s="23">
        <v>1</v>
      </c>
      <c r="N141">
        <v>1</v>
      </c>
      <c r="O141">
        <v>1</v>
      </c>
      <c r="P141" s="18">
        <v>58.7862851553518</v>
      </c>
      <c r="Q141" s="24">
        <f>IF($I141="","",IFERROR(INDEX(_玩家曲线!$H$2:$H$286,MATCH($I141,_玩家曲线!$A$2:$A$286,0)),""))</f>
        <v>2485348.50314207</v>
      </c>
      <c r="R141" s="24">
        <f>IF($I141="","",IFERROR(INDEX(_玩家曲线!$I$2:$I$286,MATCH($I141,_玩家曲线!$A$2:$A$286,0)),""))</f>
        <v>2960774.85867836</v>
      </c>
      <c r="S141" s="24">
        <f>IF(OR($J141="",$F141="不适用"),"",IFERROR(INDEX(_怪物模型!$D$2:$D$4501,(INT($J141)-1)*ROWS(_怪物类型!$A$2:$A$10)+MATCH($F141,_怪物类型!$A$2:$A$10,0))*IF($K141="",1,$K141),""))</f>
        <v>58151007.2900046</v>
      </c>
      <c r="T141" s="24">
        <f>IF(OR($J141="",$F141="不适用"),"",IFERROR(INDEX(_怪物模型!$E$2:$E$4501,(INT($J141)-1)*ROWS(_怪物类型!$A$2:$A$10)+MATCH($F141,_怪物类型!$A$2:$A$10,0))*IF($L141="",1,$L141),""))</f>
        <v>63509.1919699322</v>
      </c>
      <c r="U141" s="24">
        <f>IF(OR($J141="",$F141="不适用"),"",IFERROR(INDEX(_怪物模型!$F$2:$F$4501,(INT($J141)-1)*ROWS(_怪物类型!$A$2:$A$10)+MATCH($F141,_怪物类型!$A$2:$A$10,0))*IF($M141="",1,$M141),""))</f>
        <v>36300</v>
      </c>
      <c r="V141" s="6">
        <f t="shared" si="32"/>
        <v>0.601990049751244</v>
      </c>
      <c r="W141" s="24">
        <f t="shared" si="33"/>
        <v>146104405.816136</v>
      </c>
      <c r="X141" s="18">
        <f t="shared" si="34"/>
        <v>58.7862851553518</v>
      </c>
      <c r="Y141" s="18">
        <f t="shared" si="35"/>
        <v>46.6196272829311</v>
      </c>
      <c r="Z141" s="18">
        <f t="shared" si="36"/>
        <v>1</v>
      </c>
      <c r="AA141" t="str">
        <f t="shared" si="37"/>
        <v>生存不成立</v>
      </c>
      <c r="AB141" t="str">
        <f t="shared" si="38"/>
        <v>有效</v>
      </c>
      <c r="AC141" t="str">
        <f t="shared" si="39"/>
        <v>不降</v>
      </c>
      <c r="AD141" t="s">
        <v>6010</v>
      </c>
      <c r="AE141" s="4">
        <v>832000</v>
      </c>
      <c r="AF141" s="4">
        <f>INDEX(_统一战力!$B$2:$B$501,J141)</f>
        <v>1680000</v>
      </c>
    </row>
    <row r="142" spans="1:32">
      <c r="A142" t="s">
        <v>5548</v>
      </c>
      <c r="B142" t="s">
        <v>5804</v>
      </c>
      <c r="C142" t="s">
        <v>5963</v>
      </c>
      <c r="D142" t="s">
        <v>6060</v>
      </c>
      <c r="E142" t="s">
        <v>6061</v>
      </c>
      <c r="F142" t="s">
        <v>164</v>
      </c>
      <c r="G142">
        <v>278</v>
      </c>
      <c r="I142">
        <f t="shared" si="31"/>
        <v>278</v>
      </c>
      <c r="J142">
        <v>327</v>
      </c>
      <c r="K142" s="23">
        <v>0.957089165688218</v>
      </c>
      <c r="L142" s="23">
        <v>1.13626378920316</v>
      </c>
      <c r="M142" s="23">
        <v>1</v>
      </c>
      <c r="N142">
        <v>1</v>
      </c>
      <c r="O142">
        <v>1</v>
      </c>
      <c r="P142" s="18">
        <v>58.7862851553518</v>
      </c>
      <c r="Q142" s="24">
        <f>IF($I142="","",IFERROR(INDEX(_玩家曲线!$H$2:$H$286,MATCH($I142,_玩家曲线!$A$2:$A$286,0)),""))</f>
        <v>2485348.50314207</v>
      </c>
      <c r="R142" s="24">
        <f>IF($I142="","",IFERROR(INDEX(_玩家曲线!$I$2:$I$286,MATCH($I142,_玩家曲线!$A$2:$A$286,0)),""))</f>
        <v>2960774.85867836</v>
      </c>
      <c r="S142" s="24">
        <f>IF(OR($J142="",$F142="不适用"),"",IFERROR(INDEX(_怪物模型!$D$2:$D$4501,(INT($J142)-1)*ROWS(_怪物类型!$A$2:$A$10)+MATCH($F142,_怪物类型!$A$2:$A$10,0))*IF($K142="",1,$K142),""))</f>
        <v>58151007.2900046</v>
      </c>
      <c r="T142" s="24">
        <f>IF(OR($J142="",$F142="不适用"),"",IFERROR(INDEX(_怪物模型!$E$2:$E$4501,(INT($J142)-1)*ROWS(_怪物类型!$A$2:$A$10)+MATCH($F142,_怪物类型!$A$2:$A$10,0))*IF($L142="",1,$L142),""))</f>
        <v>63509.1919699322</v>
      </c>
      <c r="U142" s="24">
        <f>IF(OR($J142="",$F142="不适用"),"",IFERROR(INDEX(_怪物模型!$F$2:$F$4501,(INT($J142)-1)*ROWS(_怪物类型!$A$2:$A$10)+MATCH($F142,_怪物类型!$A$2:$A$10,0))*IF($M142="",1,$M142),""))</f>
        <v>36300</v>
      </c>
      <c r="V142" s="6">
        <f t="shared" si="32"/>
        <v>0.601990049751244</v>
      </c>
      <c r="W142" s="24">
        <f t="shared" si="33"/>
        <v>146104405.816136</v>
      </c>
      <c r="X142" s="18">
        <f t="shared" si="34"/>
        <v>58.7862851553518</v>
      </c>
      <c r="Y142" s="18">
        <f t="shared" si="35"/>
        <v>46.6196272829311</v>
      </c>
      <c r="Z142" s="18">
        <f t="shared" si="36"/>
        <v>1</v>
      </c>
      <c r="AA142" t="str">
        <f t="shared" si="37"/>
        <v>生存不成立</v>
      </c>
      <c r="AB142" t="str">
        <f t="shared" si="38"/>
        <v>有效</v>
      </c>
      <c r="AC142" t="str">
        <f t="shared" si="39"/>
        <v>不降</v>
      </c>
      <c r="AD142" t="s">
        <v>6010</v>
      </c>
      <c r="AE142" s="4">
        <v>832000</v>
      </c>
      <c r="AF142" s="4">
        <f>INDEX(_统一战力!$B$2:$B$501,J142)</f>
        <v>1680000</v>
      </c>
    </row>
    <row r="143" spans="1:32">
      <c r="A143" t="s">
        <v>5548</v>
      </c>
      <c r="B143" t="s">
        <v>5804</v>
      </c>
      <c r="C143" t="s">
        <v>5963</v>
      </c>
      <c r="D143" t="s">
        <v>6062</v>
      </c>
      <c r="E143" t="s">
        <v>6063</v>
      </c>
      <c r="F143" t="s">
        <v>164</v>
      </c>
      <c r="G143">
        <v>278</v>
      </c>
      <c r="I143">
        <f t="shared" si="31"/>
        <v>278</v>
      </c>
      <c r="J143">
        <v>327</v>
      </c>
      <c r="K143" s="23">
        <v>0.957089165688218</v>
      </c>
      <c r="L143" s="23">
        <v>1.13626378920316</v>
      </c>
      <c r="M143" s="23">
        <v>1</v>
      </c>
      <c r="N143">
        <v>1</v>
      </c>
      <c r="O143">
        <v>1</v>
      </c>
      <c r="P143" s="18">
        <v>58.7862851553518</v>
      </c>
      <c r="Q143" s="24">
        <f>IF($I143="","",IFERROR(INDEX(_玩家曲线!$H$2:$H$286,MATCH($I143,_玩家曲线!$A$2:$A$286,0)),""))</f>
        <v>2485348.50314207</v>
      </c>
      <c r="R143" s="24">
        <f>IF($I143="","",IFERROR(INDEX(_玩家曲线!$I$2:$I$286,MATCH($I143,_玩家曲线!$A$2:$A$286,0)),""))</f>
        <v>2960774.85867836</v>
      </c>
      <c r="S143" s="24">
        <f>IF(OR($J143="",$F143="不适用"),"",IFERROR(INDEX(_怪物模型!$D$2:$D$4501,(INT($J143)-1)*ROWS(_怪物类型!$A$2:$A$10)+MATCH($F143,_怪物类型!$A$2:$A$10,0))*IF($K143="",1,$K143),""))</f>
        <v>58151007.2900046</v>
      </c>
      <c r="T143" s="24">
        <f>IF(OR($J143="",$F143="不适用"),"",IFERROR(INDEX(_怪物模型!$E$2:$E$4501,(INT($J143)-1)*ROWS(_怪物类型!$A$2:$A$10)+MATCH($F143,_怪物类型!$A$2:$A$10,0))*IF($L143="",1,$L143),""))</f>
        <v>63509.1919699322</v>
      </c>
      <c r="U143" s="24">
        <f>IF(OR($J143="",$F143="不适用"),"",IFERROR(INDEX(_怪物模型!$F$2:$F$4501,(INT($J143)-1)*ROWS(_怪物类型!$A$2:$A$10)+MATCH($F143,_怪物类型!$A$2:$A$10,0))*IF($M143="",1,$M143),""))</f>
        <v>36300</v>
      </c>
      <c r="V143" s="6">
        <f t="shared" si="32"/>
        <v>0.601990049751244</v>
      </c>
      <c r="W143" s="24">
        <f t="shared" si="33"/>
        <v>146104405.816136</v>
      </c>
      <c r="X143" s="18">
        <f t="shared" si="34"/>
        <v>58.7862851553518</v>
      </c>
      <c r="Y143" s="18">
        <f t="shared" si="35"/>
        <v>46.6196272829311</v>
      </c>
      <c r="Z143" s="18">
        <f t="shared" si="36"/>
        <v>1</v>
      </c>
      <c r="AA143" t="str">
        <f t="shared" si="37"/>
        <v>生存不成立</v>
      </c>
      <c r="AB143" t="str">
        <f t="shared" si="38"/>
        <v>有效</v>
      </c>
      <c r="AC143" t="str">
        <f t="shared" si="39"/>
        <v>不降</v>
      </c>
      <c r="AD143" t="s">
        <v>6010</v>
      </c>
      <c r="AE143" s="4">
        <v>832000</v>
      </c>
      <c r="AF143" s="4">
        <f>INDEX(_统一战力!$B$2:$B$501,J143)</f>
        <v>1680000</v>
      </c>
    </row>
    <row r="144" spans="1:32">
      <c r="A144" t="s">
        <v>5548</v>
      </c>
      <c r="B144" t="s">
        <v>5804</v>
      </c>
      <c r="C144" t="s">
        <v>5963</v>
      </c>
      <c r="D144" t="s">
        <v>6064</v>
      </c>
      <c r="E144" t="s">
        <v>6065</v>
      </c>
      <c r="F144" t="s">
        <v>164</v>
      </c>
      <c r="G144">
        <v>278</v>
      </c>
      <c r="I144">
        <f t="shared" si="31"/>
        <v>278</v>
      </c>
      <c r="J144">
        <v>327</v>
      </c>
      <c r="K144" s="23">
        <v>0.957089165688218</v>
      </c>
      <c r="L144" s="23">
        <v>1.13626378920316</v>
      </c>
      <c r="M144" s="23">
        <v>1</v>
      </c>
      <c r="N144">
        <v>1</v>
      </c>
      <c r="O144">
        <v>1</v>
      </c>
      <c r="P144" s="18">
        <v>58.7862851553518</v>
      </c>
      <c r="Q144" s="24">
        <f>IF($I144="","",IFERROR(INDEX(_玩家曲线!$H$2:$H$286,MATCH($I144,_玩家曲线!$A$2:$A$286,0)),""))</f>
        <v>2485348.50314207</v>
      </c>
      <c r="R144" s="24">
        <f>IF($I144="","",IFERROR(INDEX(_玩家曲线!$I$2:$I$286,MATCH($I144,_玩家曲线!$A$2:$A$286,0)),""))</f>
        <v>2960774.85867836</v>
      </c>
      <c r="S144" s="24">
        <f>IF(OR($J144="",$F144="不适用"),"",IFERROR(INDEX(_怪物模型!$D$2:$D$4501,(INT($J144)-1)*ROWS(_怪物类型!$A$2:$A$10)+MATCH($F144,_怪物类型!$A$2:$A$10,0))*IF($K144="",1,$K144),""))</f>
        <v>58151007.2900046</v>
      </c>
      <c r="T144" s="24">
        <f>IF(OR($J144="",$F144="不适用"),"",IFERROR(INDEX(_怪物模型!$E$2:$E$4501,(INT($J144)-1)*ROWS(_怪物类型!$A$2:$A$10)+MATCH($F144,_怪物类型!$A$2:$A$10,0))*IF($L144="",1,$L144),""))</f>
        <v>63509.1919699322</v>
      </c>
      <c r="U144" s="24">
        <f>IF(OR($J144="",$F144="不适用"),"",IFERROR(INDEX(_怪物模型!$F$2:$F$4501,(INT($J144)-1)*ROWS(_怪物类型!$A$2:$A$10)+MATCH($F144,_怪物类型!$A$2:$A$10,0))*IF($M144="",1,$M144),""))</f>
        <v>36300</v>
      </c>
      <c r="V144" s="6">
        <f t="shared" si="32"/>
        <v>0.601990049751244</v>
      </c>
      <c r="W144" s="24">
        <f t="shared" si="33"/>
        <v>146104405.816136</v>
      </c>
      <c r="X144" s="18">
        <f t="shared" si="34"/>
        <v>58.7862851553518</v>
      </c>
      <c r="Y144" s="18">
        <f t="shared" si="35"/>
        <v>46.6196272829311</v>
      </c>
      <c r="Z144" s="18">
        <f t="shared" si="36"/>
        <v>1</v>
      </c>
      <c r="AA144" t="str">
        <f t="shared" si="37"/>
        <v>生存不成立</v>
      </c>
      <c r="AB144" t="str">
        <f t="shared" si="38"/>
        <v>有效</v>
      </c>
      <c r="AC144" t="str">
        <f t="shared" si="39"/>
        <v>不降</v>
      </c>
      <c r="AD144" t="s">
        <v>6010</v>
      </c>
      <c r="AE144" s="4">
        <v>832000</v>
      </c>
      <c r="AF144" s="4">
        <f>INDEX(_统一战力!$B$2:$B$501,J144)</f>
        <v>1680000</v>
      </c>
    </row>
    <row r="145" spans="1:32">
      <c r="A145" t="s">
        <v>5548</v>
      </c>
      <c r="B145" t="s">
        <v>5804</v>
      </c>
      <c r="C145" t="s">
        <v>5963</v>
      </c>
      <c r="D145" t="s">
        <v>6066</v>
      </c>
      <c r="E145" t="s">
        <v>6067</v>
      </c>
      <c r="F145" t="s">
        <v>164</v>
      </c>
      <c r="G145">
        <v>278</v>
      </c>
      <c r="I145">
        <f t="shared" si="31"/>
        <v>278</v>
      </c>
      <c r="J145">
        <v>327</v>
      </c>
      <c r="K145" s="23">
        <v>0.957089165688218</v>
      </c>
      <c r="L145" s="23">
        <v>1.13626378920316</v>
      </c>
      <c r="M145" s="23">
        <v>1</v>
      </c>
      <c r="N145">
        <v>1</v>
      </c>
      <c r="O145">
        <v>1</v>
      </c>
      <c r="P145" s="18">
        <v>58.7862851553518</v>
      </c>
      <c r="Q145" s="24">
        <f>IF($I145="","",IFERROR(INDEX(_玩家曲线!$H$2:$H$286,MATCH($I145,_玩家曲线!$A$2:$A$286,0)),""))</f>
        <v>2485348.50314207</v>
      </c>
      <c r="R145" s="24">
        <f>IF($I145="","",IFERROR(INDEX(_玩家曲线!$I$2:$I$286,MATCH($I145,_玩家曲线!$A$2:$A$286,0)),""))</f>
        <v>2960774.85867836</v>
      </c>
      <c r="S145" s="24">
        <f>IF(OR($J145="",$F145="不适用"),"",IFERROR(INDEX(_怪物模型!$D$2:$D$4501,(INT($J145)-1)*ROWS(_怪物类型!$A$2:$A$10)+MATCH($F145,_怪物类型!$A$2:$A$10,0))*IF($K145="",1,$K145),""))</f>
        <v>58151007.2900046</v>
      </c>
      <c r="T145" s="24">
        <f>IF(OR($J145="",$F145="不适用"),"",IFERROR(INDEX(_怪物模型!$E$2:$E$4501,(INT($J145)-1)*ROWS(_怪物类型!$A$2:$A$10)+MATCH($F145,_怪物类型!$A$2:$A$10,0))*IF($L145="",1,$L145),""))</f>
        <v>63509.1919699322</v>
      </c>
      <c r="U145" s="24">
        <f>IF(OR($J145="",$F145="不适用"),"",IFERROR(INDEX(_怪物模型!$F$2:$F$4501,(INT($J145)-1)*ROWS(_怪物类型!$A$2:$A$10)+MATCH($F145,_怪物类型!$A$2:$A$10,0))*IF($M145="",1,$M145),""))</f>
        <v>36300</v>
      </c>
      <c r="V145" s="6">
        <f t="shared" si="32"/>
        <v>0.601990049751244</v>
      </c>
      <c r="W145" s="24">
        <f t="shared" si="33"/>
        <v>146104405.816136</v>
      </c>
      <c r="X145" s="18">
        <f t="shared" si="34"/>
        <v>58.7862851553518</v>
      </c>
      <c r="Y145" s="18">
        <f t="shared" si="35"/>
        <v>46.6196272829311</v>
      </c>
      <c r="Z145" s="18">
        <f t="shared" si="36"/>
        <v>1</v>
      </c>
      <c r="AA145" t="str">
        <f t="shared" si="37"/>
        <v>生存不成立</v>
      </c>
      <c r="AB145" t="str">
        <f t="shared" si="38"/>
        <v>有效</v>
      </c>
      <c r="AC145" t="str">
        <f t="shared" si="39"/>
        <v>不降</v>
      </c>
      <c r="AD145" t="s">
        <v>6010</v>
      </c>
      <c r="AE145" s="4">
        <v>832000</v>
      </c>
      <c r="AF145" s="4">
        <f>INDEX(_统一战力!$B$2:$B$501,J145)</f>
        <v>1680000</v>
      </c>
    </row>
    <row r="146" spans="1:32">
      <c r="A146" t="s">
        <v>5548</v>
      </c>
      <c r="B146" t="s">
        <v>5804</v>
      </c>
      <c r="C146" t="s">
        <v>5963</v>
      </c>
      <c r="D146" t="s">
        <v>6068</v>
      </c>
      <c r="E146" t="s">
        <v>6069</v>
      </c>
      <c r="F146" t="s">
        <v>164</v>
      </c>
      <c r="G146">
        <v>278</v>
      </c>
      <c r="I146">
        <f t="shared" si="31"/>
        <v>278</v>
      </c>
      <c r="J146">
        <v>327</v>
      </c>
      <c r="K146" s="23">
        <v>0.957089165688218</v>
      </c>
      <c r="L146" s="23">
        <v>1.13626378920316</v>
      </c>
      <c r="M146" s="23">
        <v>1</v>
      </c>
      <c r="N146">
        <v>1</v>
      </c>
      <c r="O146">
        <v>1</v>
      </c>
      <c r="P146" s="18">
        <v>58.7862851553518</v>
      </c>
      <c r="Q146" s="24">
        <f>IF($I146="","",IFERROR(INDEX(_玩家曲线!$H$2:$H$286,MATCH($I146,_玩家曲线!$A$2:$A$286,0)),""))</f>
        <v>2485348.50314207</v>
      </c>
      <c r="R146" s="24">
        <f>IF($I146="","",IFERROR(INDEX(_玩家曲线!$I$2:$I$286,MATCH($I146,_玩家曲线!$A$2:$A$286,0)),""))</f>
        <v>2960774.85867836</v>
      </c>
      <c r="S146" s="24">
        <f>IF(OR($J146="",$F146="不适用"),"",IFERROR(INDEX(_怪物模型!$D$2:$D$4501,(INT($J146)-1)*ROWS(_怪物类型!$A$2:$A$10)+MATCH($F146,_怪物类型!$A$2:$A$10,0))*IF($K146="",1,$K146),""))</f>
        <v>58151007.2900046</v>
      </c>
      <c r="T146" s="24">
        <f>IF(OR($J146="",$F146="不适用"),"",IFERROR(INDEX(_怪物模型!$E$2:$E$4501,(INT($J146)-1)*ROWS(_怪物类型!$A$2:$A$10)+MATCH($F146,_怪物类型!$A$2:$A$10,0))*IF($L146="",1,$L146),""))</f>
        <v>63509.1919699322</v>
      </c>
      <c r="U146" s="24">
        <f>IF(OR($J146="",$F146="不适用"),"",IFERROR(INDEX(_怪物模型!$F$2:$F$4501,(INT($J146)-1)*ROWS(_怪物类型!$A$2:$A$10)+MATCH($F146,_怪物类型!$A$2:$A$10,0))*IF($M146="",1,$M146),""))</f>
        <v>36300</v>
      </c>
      <c r="V146" s="6">
        <f t="shared" si="32"/>
        <v>0.601990049751244</v>
      </c>
      <c r="W146" s="24">
        <f t="shared" si="33"/>
        <v>146104405.816136</v>
      </c>
      <c r="X146" s="18">
        <f t="shared" si="34"/>
        <v>58.7862851553518</v>
      </c>
      <c r="Y146" s="18">
        <f t="shared" si="35"/>
        <v>46.6196272829311</v>
      </c>
      <c r="Z146" s="18">
        <f t="shared" si="36"/>
        <v>1</v>
      </c>
      <c r="AA146" t="str">
        <f t="shared" si="37"/>
        <v>生存不成立</v>
      </c>
      <c r="AB146" t="str">
        <f t="shared" si="38"/>
        <v>有效</v>
      </c>
      <c r="AC146" t="str">
        <f t="shared" si="39"/>
        <v>不降</v>
      </c>
      <c r="AD146" t="s">
        <v>6010</v>
      </c>
      <c r="AE146" s="4">
        <v>832000</v>
      </c>
      <c r="AF146" s="4">
        <f>INDEX(_统一战力!$B$2:$B$501,J146)</f>
        <v>1680000</v>
      </c>
    </row>
    <row r="147" spans="1:32">
      <c r="A147" t="s">
        <v>5548</v>
      </c>
      <c r="B147" t="s">
        <v>5804</v>
      </c>
      <c r="C147" t="s">
        <v>5963</v>
      </c>
      <c r="D147" t="s">
        <v>6070</v>
      </c>
      <c r="E147" t="s">
        <v>6071</v>
      </c>
      <c r="F147" t="s">
        <v>164</v>
      </c>
      <c r="G147">
        <v>278</v>
      </c>
      <c r="I147">
        <f t="shared" si="31"/>
        <v>278</v>
      </c>
      <c r="J147">
        <v>327</v>
      </c>
      <c r="K147" s="23">
        <v>0.957089165688218</v>
      </c>
      <c r="L147" s="23">
        <v>1.13626378920316</v>
      </c>
      <c r="M147" s="23">
        <v>1</v>
      </c>
      <c r="N147">
        <v>1</v>
      </c>
      <c r="O147">
        <v>1</v>
      </c>
      <c r="P147" s="18">
        <v>58.7862851553518</v>
      </c>
      <c r="Q147" s="24">
        <f>IF($I147="","",IFERROR(INDEX(_玩家曲线!$H$2:$H$286,MATCH($I147,_玩家曲线!$A$2:$A$286,0)),""))</f>
        <v>2485348.50314207</v>
      </c>
      <c r="R147" s="24">
        <f>IF($I147="","",IFERROR(INDEX(_玩家曲线!$I$2:$I$286,MATCH($I147,_玩家曲线!$A$2:$A$286,0)),""))</f>
        <v>2960774.85867836</v>
      </c>
      <c r="S147" s="24">
        <f>IF(OR($J147="",$F147="不适用"),"",IFERROR(INDEX(_怪物模型!$D$2:$D$4501,(INT($J147)-1)*ROWS(_怪物类型!$A$2:$A$10)+MATCH($F147,_怪物类型!$A$2:$A$10,0))*IF($K147="",1,$K147),""))</f>
        <v>58151007.2900046</v>
      </c>
      <c r="T147" s="24">
        <f>IF(OR($J147="",$F147="不适用"),"",IFERROR(INDEX(_怪物模型!$E$2:$E$4501,(INT($J147)-1)*ROWS(_怪物类型!$A$2:$A$10)+MATCH($F147,_怪物类型!$A$2:$A$10,0))*IF($L147="",1,$L147),""))</f>
        <v>63509.1919699322</v>
      </c>
      <c r="U147" s="24">
        <f>IF(OR($J147="",$F147="不适用"),"",IFERROR(INDEX(_怪物模型!$F$2:$F$4501,(INT($J147)-1)*ROWS(_怪物类型!$A$2:$A$10)+MATCH($F147,_怪物类型!$A$2:$A$10,0))*IF($M147="",1,$M147),""))</f>
        <v>36300</v>
      </c>
      <c r="V147" s="6">
        <f t="shared" si="32"/>
        <v>0.601990049751244</v>
      </c>
      <c r="W147" s="24">
        <f t="shared" si="33"/>
        <v>146104405.816136</v>
      </c>
      <c r="X147" s="18">
        <f t="shared" si="34"/>
        <v>58.7862851553518</v>
      </c>
      <c r="Y147" s="18">
        <f t="shared" si="35"/>
        <v>46.6196272829311</v>
      </c>
      <c r="Z147" s="18">
        <f t="shared" si="36"/>
        <v>1</v>
      </c>
      <c r="AA147" t="str">
        <f t="shared" si="37"/>
        <v>生存不成立</v>
      </c>
      <c r="AB147" t="str">
        <f t="shared" si="38"/>
        <v>有效</v>
      </c>
      <c r="AC147" t="str">
        <f t="shared" si="39"/>
        <v>不降</v>
      </c>
      <c r="AD147" t="s">
        <v>6010</v>
      </c>
      <c r="AE147" s="4">
        <v>832000</v>
      </c>
      <c r="AF147" s="4">
        <f>INDEX(_统一战力!$B$2:$B$501,J147)</f>
        <v>1680000</v>
      </c>
    </row>
    <row r="148" spans="1:32">
      <c r="A148" t="s">
        <v>5548</v>
      </c>
      <c r="B148" t="s">
        <v>5804</v>
      </c>
      <c r="C148" t="s">
        <v>5963</v>
      </c>
      <c r="D148" t="s">
        <v>6072</v>
      </c>
      <c r="E148" t="s">
        <v>6073</v>
      </c>
      <c r="F148" t="s">
        <v>164</v>
      </c>
      <c r="G148">
        <v>278</v>
      </c>
      <c r="I148">
        <f t="shared" si="31"/>
        <v>278</v>
      </c>
      <c r="J148">
        <v>327</v>
      </c>
      <c r="K148" s="23">
        <v>0.957089165688218</v>
      </c>
      <c r="L148" s="23">
        <v>1.13626378920316</v>
      </c>
      <c r="M148" s="23">
        <v>1</v>
      </c>
      <c r="N148">
        <v>1</v>
      </c>
      <c r="O148">
        <v>1</v>
      </c>
      <c r="P148" s="18">
        <v>58.7862851553518</v>
      </c>
      <c r="Q148" s="24">
        <f>IF($I148="","",IFERROR(INDEX(_玩家曲线!$H$2:$H$286,MATCH($I148,_玩家曲线!$A$2:$A$286,0)),""))</f>
        <v>2485348.50314207</v>
      </c>
      <c r="R148" s="24">
        <f>IF($I148="","",IFERROR(INDEX(_玩家曲线!$I$2:$I$286,MATCH($I148,_玩家曲线!$A$2:$A$286,0)),""))</f>
        <v>2960774.85867836</v>
      </c>
      <c r="S148" s="24">
        <f>IF(OR($J148="",$F148="不适用"),"",IFERROR(INDEX(_怪物模型!$D$2:$D$4501,(INT($J148)-1)*ROWS(_怪物类型!$A$2:$A$10)+MATCH($F148,_怪物类型!$A$2:$A$10,0))*IF($K148="",1,$K148),""))</f>
        <v>58151007.2900046</v>
      </c>
      <c r="T148" s="24">
        <f>IF(OR($J148="",$F148="不适用"),"",IFERROR(INDEX(_怪物模型!$E$2:$E$4501,(INT($J148)-1)*ROWS(_怪物类型!$A$2:$A$10)+MATCH($F148,_怪物类型!$A$2:$A$10,0))*IF($L148="",1,$L148),""))</f>
        <v>63509.1919699322</v>
      </c>
      <c r="U148" s="24">
        <f>IF(OR($J148="",$F148="不适用"),"",IFERROR(INDEX(_怪物模型!$F$2:$F$4501,(INT($J148)-1)*ROWS(_怪物类型!$A$2:$A$10)+MATCH($F148,_怪物类型!$A$2:$A$10,0))*IF($M148="",1,$M148),""))</f>
        <v>36300</v>
      </c>
      <c r="V148" s="6">
        <f t="shared" si="32"/>
        <v>0.601990049751244</v>
      </c>
      <c r="W148" s="24">
        <f t="shared" si="33"/>
        <v>146104405.816136</v>
      </c>
      <c r="X148" s="18">
        <f t="shared" si="34"/>
        <v>58.7862851553518</v>
      </c>
      <c r="Y148" s="18">
        <f t="shared" si="35"/>
        <v>46.6196272829311</v>
      </c>
      <c r="Z148" s="18">
        <f t="shared" si="36"/>
        <v>1</v>
      </c>
      <c r="AA148" t="str">
        <f t="shared" si="37"/>
        <v>生存不成立</v>
      </c>
      <c r="AB148" t="str">
        <f t="shared" si="38"/>
        <v>有效</v>
      </c>
      <c r="AC148" t="str">
        <f t="shared" si="39"/>
        <v>不降</v>
      </c>
      <c r="AD148" t="s">
        <v>6010</v>
      </c>
      <c r="AE148" s="4">
        <v>832000</v>
      </c>
      <c r="AF148" s="4">
        <f>INDEX(_统一战力!$B$2:$B$501,J148)</f>
        <v>1680000</v>
      </c>
    </row>
    <row r="149" spans="1:32">
      <c r="A149" t="s">
        <v>5548</v>
      </c>
      <c r="B149" t="s">
        <v>5804</v>
      </c>
      <c r="C149" t="s">
        <v>6074</v>
      </c>
      <c r="D149" t="s">
        <v>5866</v>
      </c>
      <c r="E149" t="s">
        <v>6075</v>
      </c>
      <c r="F149" t="s">
        <v>154</v>
      </c>
      <c r="G149">
        <v>14</v>
      </c>
      <c r="I149">
        <f t="shared" si="31"/>
        <v>14</v>
      </c>
      <c r="J149">
        <v>15</v>
      </c>
      <c r="K149" s="23">
        <v>1.1</v>
      </c>
      <c r="L149" s="23">
        <v>1.1</v>
      </c>
      <c r="M149" s="23">
        <v>1</v>
      </c>
      <c r="N149">
        <v>1</v>
      </c>
      <c r="O149">
        <v>1</v>
      </c>
      <c r="P149" s="18">
        <v>0.43158465215541</v>
      </c>
      <c r="Q149" s="24">
        <f>IF($I149="","",IFERROR(INDEX(_玩家曲线!$H$2:$H$286,MATCH($I149,_玩家曲线!$A$2:$A$286,0)),""))</f>
        <v>10947.8652713966</v>
      </c>
      <c r="R149" s="24">
        <f>IF($I149="","",IFERROR(INDEX(_玩家曲线!$I$2:$I$286,MATCH($I149,_玩家曲线!$A$2:$A$286,0)),""))</f>
        <v>38293.4883702837</v>
      </c>
      <c r="S149" s="24">
        <f>IF(OR($J149="",$F149="不适用"),"",IFERROR(INDEX(_怪物模型!$D$2:$D$4501,(INT($J149)-1)*ROWS(_怪物类型!$A$2:$A$10)+MATCH($F149,_怪物类型!$A$2:$A$10,0))*IF($K149="",1,$K149),""))</f>
        <v>2275.9</v>
      </c>
      <c r="T149" s="24">
        <f>IF(OR($J149="",$F149="不适用"),"",IFERROR(INDEX(_怪物模型!$E$2:$E$4501,(INT($J149)-1)*ROWS(_怪物类型!$A$2:$A$10)+MATCH($F149,_怪物类型!$A$2:$A$10,0))*IF($L149="",1,$L149),""))</f>
        <v>775.5</v>
      </c>
      <c r="U149" s="24">
        <f>IF(OR($J149="",$F149="不适用"),"",IFERROR(INDEX(_怪物模型!$F$2:$F$4501,(INT($J149)-1)*ROWS(_怪物类型!$A$2:$A$10)+MATCH($F149,_怪物类型!$A$2:$A$10,0))*IF($M149="",1,$M149),""))</f>
        <v>1133</v>
      </c>
      <c r="V149" s="6">
        <f t="shared" si="32"/>
        <v>0.0450801734771018</v>
      </c>
      <c r="W149" s="24">
        <f t="shared" si="33"/>
        <v>2383.34144583333</v>
      </c>
      <c r="X149" s="18">
        <f t="shared" si="34"/>
        <v>0.217699194020981</v>
      </c>
      <c r="Y149" s="18">
        <f t="shared" si="35"/>
        <v>49.3790952550402</v>
      </c>
      <c r="Z149" s="18">
        <f t="shared" si="36"/>
        <v>0.504418294148676</v>
      </c>
      <c r="AA149" t="str">
        <f t="shared" si="37"/>
        <v>偏简单</v>
      </c>
      <c r="AB149" t="str">
        <f t="shared" si="38"/>
        <v>有效</v>
      </c>
      <c r="AC149" t="str">
        <f t="shared" si="39"/>
        <v>新玩法组</v>
      </c>
      <c r="AD149" t="s">
        <v>6076</v>
      </c>
      <c r="AE149" s="4">
        <v>7220</v>
      </c>
      <c r="AF149" s="4">
        <f>INDEX(_统一战力!$B$2:$B$501,J149)</f>
        <v>7220</v>
      </c>
    </row>
    <row r="150" spans="1:32">
      <c r="A150" t="s">
        <v>5548</v>
      </c>
      <c r="B150" t="s">
        <v>5804</v>
      </c>
      <c r="C150" t="s">
        <v>6074</v>
      </c>
      <c r="D150" t="s">
        <v>5866</v>
      </c>
      <c r="E150" t="s">
        <v>6077</v>
      </c>
      <c r="F150" t="s">
        <v>154</v>
      </c>
      <c r="G150">
        <v>14</v>
      </c>
      <c r="I150">
        <f t="shared" si="31"/>
        <v>14</v>
      </c>
      <c r="J150">
        <v>22</v>
      </c>
      <c r="K150" s="23">
        <v>1.1</v>
      </c>
      <c r="L150" s="23">
        <v>1.1</v>
      </c>
      <c r="M150" s="23">
        <v>1</v>
      </c>
      <c r="N150">
        <v>1</v>
      </c>
      <c r="O150">
        <v>1</v>
      </c>
      <c r="P150" s="18">
        <v>0.43158465215541</v>
      </c>
      <c r="Q150" s="24">
        <f>IF($I150="","",IFERROR(INDEX(_玩家曲线!$H$2:$H$286,MATCH($I150,_玩家曲线!$A$2:$A$286,0)),""))</f>
        <v>10947.8652713966</v>
      </c>
      <c r="R150" s="24">
        <f>IF($I150="","",IFERROR(INDEX(_玩家曲线!$I$2:$I$286,MATCH($I150,_玩家曲线!$A$2:$A$286,0)),""))</f>
        <v>38293.4883702837</v>
      </c>
      <c r="S150" s="24">
        <f>IF(OR($J150="",$F150="不适用"),"",IFERROR(INDEX(_怪物模型!$D$2:$D$4501,(INT($J150)-1)*ROWS(_怪物类型!$A$2:$A$10)+MATCH($F150,_怪物类型!$A$2:$A$10,0))*IF($K150="",1,$K150),""))</f>
        <v>3778.5</v>
      </c>
      <c r="T150" s="24">
        <f>IF(OR($J150="",$F150="不适用"),"",IFERROR(INDEX(_怪物模型!$E$2:$E$4501,(INT($J150)-1)*ROWS(_怪物类型!$A$2:$A$10)+MATCH($F150,_怪物类型!$A$2:$A$10,0))*IF($L150="",1,$L150),""))</f>
        <v>1170.4</v>
      </c>
      <c r="U150" s="24">
        <f>IF(OR($J150="",$F150="不适用"),"",IFERROR(INDEX(_怪物模型!$F$2:$F$4501,(INT($J150)-1)*ROWS(_怪物类型!$A$2:$A$10)+MATCH($F150,_怪物类型!$A$2:$A$10,0))*IF($M150="",1,$M150),""))</f>
        <v>1679</v>
      </c>
      <c r="V150" s="6">
        <f t="shared" si="32"/>
        <v>0.0653841660500798</v>
      </c>
      <c r="W150" s="24">
        <f t="shared" si="33"/>
        <v>4042.8375625</v>
      </c>
      <c r="X150" s="18">
        <f t="shared" si="34"/>
        <v>0.369280902009517</v>
      </c>
      <c r="Y150" s="18">
        <f t="shared" si="35"/>
        <v>32.7182914988753</v>
      </c>
      <c r="Z150" s="18">
        <f t="shared" si="36"/>
        <v>0.855639560316297</v>
      </c>
      <c r="AA150" t="str">
        <f t="shared" si="37"/>
        <v>适中</v>
      </c>
      <c r="AB150" t="str">
        <f t="shared" si="38"/>
        <v>有效</v>
      </c>
      <c r="AC150" t="str">
        <f t="shared" si="39"/>
        <v>不降</v>
      </c>
      <c r="AD150" t="s">
        <v>6076</v>
      </c>
      <c r="AE150" s="4">
        <v>10100</v>
      </c>
      <c r="AF150" s="4">
        <f>INDEX(_统一战力!$B$2:$B$501,J150)</f>
        <v>12300</v>
      </c>
    </row>
    <row r="151" spans="1:32">
      <c r="A151" t="s">
        <v>5548</v>
      </c>
      <c r="B151" t="s">
        <v>5804</v>
      </c>
      <c r="C151" t="s">
        <v>6074</v>
      </c>
      <c r="D151" t="s">
        <v>5866</v>
      </c>
      <c r="E151" t="s">
        <v>6078</v>
      </c>
      <c r="F151" t="s">
        <v>154</v>
      </c>
      <c r="G151">
        <v>14</v>
      </c>
      <c r="I151">
        <f t="shared" si="31"/>
        <v>14</v>
      </c>
      <c r="J151">
        <v>30</v>
      </c>
      <c r="K151" s="23">
        <v>1.1</v>
      </c>
      <c r="L151" s="23">
        <v>1.1</v>
      </c>
      <c r="M151" s="23">
        <v>1</v>
      </c>
      <c r="N151">
        <v>1</v>
      </c>
      <c r="O151">
        <v>1</v>
      </c>
      <c r="P151" s="18">
        <v>0.43158465215541</v>
      </c>
      <c r="Q151" s="24">
        <f>IF($I151="","",IFERROR(INDEX(_玩家曲线!$H$2:$H$286,MATCH($I151,_玩家曲线!$A$2:$A$286,0)),""))</f>
        <v>10947.8652713966</v>
      </c>
      <c r="R151" s="24">
        <f>IF($I151="","",IFERROR(INDEX(_玩家曲线!$I$2:$I$286,MATCH($I151,_玩家曲线!$A$2:$A$286,0)),""))</f>
        <v>38293.4883702837</v>
      </c>
      <c r="S151" s="24">
        <f>IF(OR($J151="",$F151="不适用"),"",IFERROR(INDEX(_怪物模型!$D$2:$D$4501,(INT($J151)-1)*ROWS(_怪物类型!$A$2:$A$10)+MATCH($F151,_怪物类型!$A$2:$A$10,0))*IF($K151="",1,$K151),""))</f>
        <v>5826.7</v>
      </c>
      <c r="T151" s="24">
        <f>IF(OR($J151="",$F151="不适用"),"",IFERROR(INDEX(_怪物模型!$E$2:$E$4501,(INT($J151)-1)*ROWS(_怪物类型!$A$2:$A$10)+MATCH($F151,_怪物类型!$A$2:$A$10,0))*IF($L151="",1,$L151),""))</f>
        <v>1650</v>
      </c>
      <c r="U151" s="24">
        <f>IF(OR($J151="",$F151="不适用"),"",IFERROR(INDEX(_怪物模型!$F$2:$F$4501,(INT($J151)-1)*ROWS(_怪物类型!$A$2:$A$10)+MATCH($F151,_怪物类型!$A$2:$A$10,0))*IF($M151="",1,$M151),""))</f>
        <v>2317</v>
      </c>
      <c r="V151" s="6">
        <f t="shared" si="32"/>
        <v>0.0880419500702968</v>
      </c>
      <c r="W151" s="24">
        <f t="shared" si="33"/>
        <v>6389.21932916667</v>
      </c>
      <c r="X151" s="18">
        <f t="shared" si="34"/>
        <v>0.583604124710936</v>
      </c>
      <c r="Y151" s="18">
        <f t="shared" si="35"/>
        <v>23.2081747698689</v>
      </c>
      <c r="Z151" s="18">
        <f t="shared" si="36"/>
        <v>1.35223558529321</v>
      </c>
      <c r="AA151" t="str">
        <f t="shared" si="37"/>
        <v>偏难</v>
      </c>
      <c r="AB151" t="str">
        <f t="shared" si="38"/>
        <v>有效</v>
      </c>
      <c r="AC151" t="str">
        <f t="shared" si="39"/>
        <v>不降</v>
      </c>
      <c r="AD151" t="s">
        <v>6076</v>
      </c>
      <c r="AE151" s="4">
        <v>14700</v>
      </c>
      <c r="AF151" s="4">
        <f>INDEX(_统一战力!$B$2:$B$501,J151)</f>
        <v>18200</v>
      </c>
    </row>
    <row r="152" spans="1:32">
      <c r="A152" t="s">
        <v>5548</v>
      </c>
      <c r="B152" t="s">
        <v>5804</v>
      </c>
      <c r="C152" t="s">
        <v>6074</v>
      </c>
      <c r="D152" t="s">
        <v>5866</v>
      </c>
      <c r="E152" t="s">
        <v>6079</v>
      </c>
      <c r="F152" t="s">
        <v>154</v>
      </c>
      <c r="G152">
        <v>14</v>
      </c>
      <c r="I152">
        <f t="shared" si="31"/>
        <v>14</v>
      </c>
      <c r="J152">
        <v>49</v>
      </c>
      <c r="K152" s="23">
        <v>1.1</v>
      </c>
      <c r="L152" s="23">
        <v>1.1</v>
      </c>
      <c r="M152" s="23">
        <v>1</v>
      </c>
      <c r="N152">
        <v>1</v>
      </c>
      <c r="O152">
        <v>1</v>
      </c>
      <c r="P152" s="18">
        <v>0.43158465215541</v>
      </c>
      <c r="Q152" s="24">
        <f>IF($I152="","",IFERROR(INDEX(_玩家曲线!$H$2:$H$286,MATCH($I152,_玩家曲线!$A$2:$A$286,0)),""))</f>
        <v>10947.8652713966</v>
      </c>
      <c r="R152" s="24">
        <f>IF($I152="","",IFERROR(INDEX(_玩家曲线!$I$2:$I$286,MATCH($I152,_玩家曲线!$A$2:$A$286,0)),""))</f>
        <v>38293.4883702837</v>
      </c>
      <c r="S152" s="24">
        <f>IF(OR($J152="",$F152="不适用"),"",IFERROR(INDEX(_怪物模型!$D$2:$D$4501,(INT($J152)-1)*ROWS(_怪物类型!$A$2:$A$10)+MATCH($F152,_怪物类型!$A$2:$A$10,0))*IF($K152="",1,$K152),""))</f>
        <v>12136.3</v>
      </c>
      <c r="T152" s="24">
        <f>IF(OR($J152="",$F152="不适用"),"",IFERROR(INDEX(_怪物模型!$E$2:$E$4501,(INT($J152)-1)*ROWS(_怪物类型!$A$2:$A$10)+MATCH($F152,_怪物类型!$A$2:$A$10,0))*IF($L152="",1,$L152),""))</f>
        <v>2911.7</v>
      </c>
      <c r="U152" s="24">
        <f>IF(OR($J152="",$F152="不适用"),"",IFERROR(INDEX(_怪物模型!$F$2:$F$4501,(INT($J152)-1)*ROWS(_怪物类型!$A$2:$A$10)+MATCH($F152,_怪物类型!$A$2:$A$10,0))*IF($M152="",1,$M152),""))</f>
        <v>3890</v>
      </c>
      <c r="V152" s="6">
        <f t="shared" si="32"/>
        <v>0.139476514879885</v>
      </c>
      <c r="W152" s="24">
        <f t="shared" si="33"/>
        <v>14103.3919583333</v>
      </c>
      <c r="X152" s="18">
        <f t="shared" si="34"/>
        <v>1.28823214468862</v>
      </c>
      <c r="Y152" s="18">
        <f t="shared" si="35"/>
        <v>13.1515912938434</v>
      </c>
      <c r="Z152" s="18">
        <f t="shared" si="36"/>
        <v>2.98488868465309</v>
      </c>
      <c r="AA152" t="str">
        <f t="shared" si="37"/>
        <v>过难</v>
      </c>
      <c r="AB152" t="str">
        <f t="shared" si="38"/>
        <v>有效</v>
      </c>
      <c r="AC152" t="str">
        <f t="shared" si="39"/>
        <v>不降</v>
      </c>
      <c r="AD152" t="s">
        <v>6076</v>
      </c>
      <c r="AE152" s="4">
        <v>25400</v>
      </c>
      <c r="AF152" s="4">
        <f>INDEX(_统一战力!$B$2:$B$501,J152)</f>
        <v>43300</v>
      </c>
    </row>
    <row r="153" spans="1:32">
      <c r="A153" t="s">
        <v>5548</v>
      </c>
      <c r="B153" t="s">
        <v>5804</v>
      </c>
      <c r="C153" t="s">
        <v>6074</v>
      </c>
      <c r="D153" t="s">
        <v>5866</v>
      </c>
      <c r="E153" t="s">
        <v>6080</v>
      </c>
      <c r="F153" t="s">
        <v>154</v>
      </c>
      <c r="G153">
        <v>14</v>
      </c>
      <c r="I153">
        <f t="shared" si="31"/>
        <v>14</v>
      </c>
      <c r="J153">
        <v>59</v>
      </c>
      <c r="K153" s="23">
        <v>1.1</v>
      </c>
      <c r="L153" s="23">
        <v>1.1</v>
      </c>
      <c r="M153" s="23">
        <v>1</v>
      </c>
      <c r="N153">
        <v>1</v>
      </c>
      <c r="O153">
        <v>1</v>
      </c>
      <c r="P153" s="18">
        <v>0.43158465215541</v>
      </c>
      <c r="Q153" s="24">
        <f>IF($I153="","",IFERROR(INDEX(_玩家曲线!$H$2:$H$286,MATCH($I153,_玩家曲线!$A$2:$A$286,0)),""))</f>
        <v>10947.8652713966</v>
      </c>
      <c r="R153" s="24">
        <f>IF($I153="","",IFERROR(INDEX(_玩家曲线!$I$2:$I$286,MATCH($I153,_玩家曲线!$A$2:$A$286,0)),""))</f>
        <v>38293.4883702837</v>
      </c>
      <c r="S153" s="24">
        <f>IF(OR($J153="",$F153="不适用"),"",IFERROR(INDEX(_怪物模型!$D$2:$D$4501,(INT($J153)-1)*ROWS(_怪物类型!$A$2:$A$10)+MATCH($F153,_怪物类型!$A$2:$A$10,0))*IF($K153="",1,$K153),""))</f>
        <v>16333.9</v>
      </c>
      <c r="T153" s="24">
        <f>IF(OR($J153="",$F153="不适用"),"",IFERROR(INDEX(_怪物模型!$E$2:$E$4501,(INT($J153)-1)*ROWS(_怪物类型!$A$2:$A$10)+MATCH($F153,_怪物类型!$A$2:$A$10,0))*IF($L153="",1,$L153),""))</f>
        <v>3650.9</v>
      </c>
      <c r="U153" s="24">
        <f>IF(OR($J153="",$F153="不适用"),"",IFERROR(INDEX(_怪物模型!$F$2:$F$4501,(INT($J153)-1)*ROWS(_怪物类型!$A$2:$A$10)+MATCH($F153,_怪物类型!$A$2:$A$10,0))*IF($M153="",1,$M153),""))</f>
        <v>4751</v>
      </c>
      <c r="V153" s="6">
        <f t="shared" si="32"/>
        <v>0.165246426211262</v>
      </c>
      <c r="W153" s="24">
        <f t="shared" si="33"/>
        <v>19567.3316208333</v>
      </c>
      <c r="X153" s="18">
        <f t="shared" si="34"/>
        <v>1.78731936644825</v>
      </c>
      <c r="Y153" s="18">
        <f t="shared" si="35"/>
        <v>10.4887804021703</v>
      </c>
      <c r="Z153" s="18">
        <f t="shared" si="36"/>
        <v>4.1412950101957</v>
      </c>
      <c r="AA153" t="str">
        <f t="shared" si="37"/>
        <v>过难</v>
      </c>
      <c r="AB153" t="str">
        <f t="shared" si="38"/>
        <v>有效</v>
      </c>
      <c r="AC153" t="str">
        <f t="shared" si="39"/>
        <v>不降</v>
      </c>
      <c r="AD153" t="s">
        <v>6076</v>
      </c>
      <c r="AE153" s="4">
        <v>32800</v>
      </c>
      <c r="AF153" s="4">
        <f>INDEX(_统一战力!$B$2:$B$501,J153)</f>
        <v>62400</v>
      </c>
    </row>
    <row r="154" spans="1:32">
      <c r="A154" t="s">
        <v>5548</v>
      </c>
      <c r="B154" t="s">
        <v>5804</v>
      </c>
      <c r="C154" t="s">
        <v>6074</v>
      </c>
      <c r="D154" t="s">
        <v>5866</v>
      </c>
      <c r="E154" t="s">
        <v>6081</v>
      </c>
      <c r="F154" t="s">
        <v>154</v>
      </c>
      <c r="G154">
        <v>14</v>
      </c>
      <c r="I154">
        <f t="shared" si="31"/>
        <v>14</v>
      </c>
      <c r="J154">
        <v>70</v>
      </c>
      <c r="K154" s="23">
        <v>1.1</v>
      </c>
      <c r="L154" s="23">
        <v>1.1</v>
      </c>
      <c r="M154" s="23">
        <v>1</v>
      </c>
      <c r="N154">
        <v>1</v>
      </c>
      <c r="O154">
        <v>1</v>
      </c>
      <c r="P154" s="18">
        <v>0.43158465215541</v>
      </c>
      <c r="Q154" s="24">
        <f>IF($I154="","",IFERROR(INDEX(_玩家曲线!$H$2:$H$286,MATCH($I154,_玩家曲线!$A$2:$A$286,0)),""))</f>
        <v>10947.8652713966</v>
      </c>
      <c r="R154" s="24">
        <f>IF($I154="","",IFERROR(INDEX(_玩家曲线!$I$2:$I$286,MATCH($I154,_玩家曲线!$A$2:$A$286,0)),""))</f>
        <v>38293.4883702837</v>
      </c>
      <c r="S154" s="24">
        <f>IF(OR($J154="",$F154="不适用"),"",IFERROR(INDEX(_怪物模型!$D$2:$D$4501,(INT($J154)-1)*ROWS(_怪物类型!$A$2:$A$10)+MATCH($F154,_怪物类型!$A$2:$A$10,0))*IF($K154="",1,$K154),""))</f>
        <v>21726.1</v>
      </c>
      <c r="T154" s="24">
        <f>IF(OR($J154="",$F154="不适用"),"",IFERROR(INDEX(_怪物模型!$E$2:$E$4501,(INT($J154)-1)*ROWS(_怪物类型!$A$2:$A$10)+MATCH($F154,_怪物类型!$A$2:$A$10,0))*IF($L154="",1,$L154),""))</f>
        <v>4526.5</v>
      </c>
      <c r="U154" s="24">
        <f>IF(OR($J154="",$F154="不适用"),"",IFERROR(INDEX(_怪物模型!$F$2:$F$4501,(INT($J154)-1)*ROWS(_怪物类型!$A$2:$A$10)+MATCH($F154,_怪物类型!$A$2:$A$10,0))*IF($M154="",1,$M154),""))</f>
        <v>5725</v>
      </c>
      <c r="V154" s="6">
        <f t="shared" si="32"/>
        <v>0.19259882253995</v>
      </c>
      <c r="W154" s="24">
        <f t="shared" si="33"/>
        <v>26908.6801041667</v>
      </c>
      <c r="X154" s="18">
        <f t="shared" si="34"/>
        <v>2.45789288021938</v>
      </c>
      <c r="Y154" s="18">
        <f t="shared" si="35"/>
        <v>8.45984499509195</v>
      </c>
      <c r="Z154" s="18">
        <f t="shared" si="36"/>
        <v>5.69504236989018</v>
      </c>
      <c r="AA154" t="str">
        <f t="shared" si="37"/>
        <v>过难</v>
      </c>
      <c r="AB154" t="str">
        <f t="shared" si="38"/>
        <v>有效</v>
      </c>
      <c r="AC154" t="str">
        <f t="shared" si="39"/>
        <v>不降</v>
      </c>
      <c r="AD154" t="s">
        <v>6076</v>
      </c>
      <c r="AE154" s="4">
        <v>41300</v>
      </c>
      <c r="AF154" s="4">
        <f>INDEX(_统一战力!$B$2:$B$501,J154)</f>
        <v>87000</v>
      </c>
    </row>
    <row r="155" spans="1:32">
      <c r="A155" t="s">
        <v>5548</v>
      </c>
      <c r="B155" t="s">
        <v>5804</v>
      </c>
      <c r="C155" t="s">
        <v>6074</v>
      </c>
      <c r="D155" t="s">
        <v>5866</v>
      </c>
      <c r="E155" t="s">
        <v>6082</v>
      </c>
      <c r="F155" t="s">
        <v>154</v>
      </c>
      <c r="G155">
        <v>14</v>
      </c>
      <c r="I155">
        <f t="shared" si="31"/>
        <v>14</v>
      </c>
      <c r="J155">
        <v>83</v>
      </c>
      <c r="K155" s="23">
        <v>1.1</v>
      </c>
      <c r="L155" s="23">
        <v>1.1</v>
      </c>
      <c r="M155" s="23">
        <v>1</v>
      </c>
      <c r="N155">
        <v>1</v>
      </c>
      <c r="O155">
        <v>1</v>
      </c>
      <c r="P155" s="18">
        <v>0.43158465215541</v>
      </c>
      <c r="Q155" s="24">
        <f>IF($I155="","",IFERROR(INDEX(_玩家曲线!$H$2:$H$286,MATCH($I155,_玩家曲线!$A$2:$A$286,0)),""))</f>
        <v>10947.8652713966</v>
      </c>
      <c r="R155" s="24">
        <f>IF($I155="","",IFERROR(INDEX(_玩家曲线!$I$2:$I$286,MATCH($I155,_玩家曲线!$A$2:$A$286,0)),""))</f>
        <v>38293.4883702837</v>
      </c>
      <c r="S155" s="24">
        <f>IF(OR($J155="",$F155="不适用"),"",IFERROR(INDEX(_怪物模型!$D$2:$D$4501,(INT($J155)-1)*ROWS(_怪物类型!$A$2:$A$10)+MATCH($F155,_怪物类型!$A$2:$A$10,0))*IF($K155="",1,$K155),""))</f>
        <v>29257.8</v>
      </c>
      <c r="T155" s="24">
        <f>IF(OR($J155="",$F155="不适用"),"",IFERROR(INDEX(_怪物模型!$E$2:$E$4501,(INT($J155)-1)*ROWS(_怪物类型!$A$2:$A$10)+MATCH($F155,_怪物类型!$A$2:$A$10,0))*IF($L155="",1,$L155),""))</f>
        <v>5651.8</v>
      </c>
      <c r="U155" s="24">
        <f>IF(OR($J155="",$F155="不适用"),"",IFERROR(INDEX(_怪物模型!$F$2:$F$4501,(INT($J155)-1)*ROWS(_怪物类型!$A$2:$A$10)+MATCH($F155,_怪物类型!$A$2:$A$10,0))*IF($M155="",1,$M155),""))</f>
        <v>6911</v>
      </c>
      <c r="V155" s="6">
        <f t="shared" si="32"/>
        <v>0.223577367280256</v>
      </c>
      <c r="W155" s="24">
        <f t="shared" si="33"/>
        <v>37682.827325</v>
      </c>
      <c r="X155" s="18">
        <f t="shared" si="34"/>
        <v>3.4420251246107</v>
      </c>
      <c r="Y155" s="18">
        <f t="shared" si="35"/>
        <v>6.77545001066628</v>
      </c>
      <c r="Z155" s="18">
        <f t="shared" si="36"/>
        <v>7.97531864819709</v>
      </c>
      <c r="AA155" t="str">
        <f t="shared" si="37"/>
        <v>过难</v>
      </c>
      <c r="AB155" t="str">
        <f t="shared" si="38"/>
        <v>有效</v>
      </c>
      <c r="AC155" t="str">
        <f t="shared" si="39"/>
        <v>不降</v>
      </c>
      <c r="AD155" t="s">
        <v>6076</v>
      </c>
      <c r="AE155" s="4">
        <v>54100</v>
      </c>
      <c r="AF155" s="4">
        <f>INDEX(_统一战力!$B$2:$B$501,J155)</f>
        <v>125000</v>
      </c>
    </row>
    <row r="156" spans="1:32">
      <c r="A156" t="s">
        <v>5548</v>
      </c>
      <c r="B156" t="s">
        <v>5804</v>
      </c>
      <c r="C156" t="s">
        <v>6074</v>
      </c>
      <c r="D156" t="s">
        <v>5866</v>
      </c>
      <c r="E156" t="s">
        <v>6083</v>
      </c>
      <c r="F156" t="s">
        <v>154</v>
      </c>
      <c r="G156">
        <v>14</v>
      </c>
      <c r="I156">
        <f t="shared" si="31"/>
        <v>14</v>
      </c>
      <c r="J156">
        <v>94</v>
      </c>
      <c r="K156" s="23">
        <v>1.1</v>
      </c>
      <c r="L156" s="23">
        <v>1.1</v>
      </c>
      <c r="M156" s="23">
        <v>1</v>
      </c>
      <c r="N156">
        <v>1</v>
      </c>
      <c r="O156">
        <v>1</v>
      </c>
      <c r="P156" s="18">
        <v>0.43158465215541</v>
      </c>
      <c r="Q156" s="24">
        <f>IF($I156="","",IFERROR(INDEX(_玩家曲线!$H$2:$H$286,MATCH($I156,_玩家曲线!$A$2:$A$286,0)),""))</f>
        <v>10947.8652713966</v>
      </c>
      <c r="R156" s="24">
        <f>IF($I156="","",IFERROR(INDEX(_玩家曲线!$I$2:$I$286,MATCH($I156,_玩家曲线!$A$2:$A$286,0)),""))</f>
        <v>38293.4883702837</v>
      </c>
      <c r="S156" s="24">
        <f>IF(OR($J156="",$F156="不适用"),"",IFERROR(INDEX(_怪物模型!$D$2:$D$4501,(INT($J156)-1)*ROWS(_怪物类型!$A$2:$A$10)+MATCH($F156,_怪物类型!$A$2:$A$10,0))*IF($K156="",1,$K156),""))</f>
        <v>36721.3</v>
      </c>
      <c r="T156" s="24">
        <f>IF(OR($J156="",$F156="不适用"),"",IFERROR(INDEX(_怪物模型!$E$2:$E$4501,(INT($J156)-1)*ROWS(_怪物类型!$A$2:$A$10)+MATCH($F156,_怪物类型!$A$2:$A$10,0))*IF($L156="",1,$L156),""))</f>
        <v>6686.9</v>
      </c>
      <c r="U156" s="24">
        <f>IF(OR($J156="",$F156="不适用"),"",IFERROR(INDEX(_怪物模型!$F$2:$F$4501,(INT($J156)-1)*ROWS(_怪物类型!$A$2:$A$10)+MATCH($F156,_怪物类型!$A$2:$A$10,0))*IF($M156="",1,$M156),""))</f>
        <v>7944</v>
      </c>
      <c r="V156" s="6">
        <f t="shared" si="32"/>
        <v>0.248685199098422</v>
      </c>
      <c r="W156" s="24">
        <f t="shared" si="33"/>
        <v>48876.0503</v>
      </c>
      <c r="X156" s="18">
        <f t="shared" si="34"/>
        <v>4.46443658999879</v>
      </c>
      <c r="Y156" s="18">
        <f t="shared" si="35"/>
        <v>5.72664289435818</v>
      </c>
      <c r="Z156" s="18">
        <f t="shared" si="36"/>
        <v>10.3442895100709</v>
      </c>
      <c r="AA156" t="str">
        <f t="shared" si="37"/>
        <v>过难</v>
      </c>
      <c r="AB156" t="str">
        <f t="shared" si="38"/>
        <v>有效</v>
      </c>
      <c r="AC156" t="str">
        <f t="shared" si="39"/>
        <v>不降</v>
      </c>
      <c r="AD156" t="s">
        <v>6076</v>
      </c>
      <c r="AE156" s="4">
        <v>65300</v>
      </c>
      <c r="AF156" s="4">
        <f>INDEX(_统一战力!$B$2:$B$501,J156)</f>
        <v>161000</v>
      </c>
    </row>
    <row r="157" spans="1:32">
      <c r="A157" t="s">
        <v>5548</v>
      </c>
      <c r="B157" t="s">
        <v>5804</v>
      </c>
      <c r="C157" t="s">
        <v>6074</v>
      </c>
      <c r="D157" t="s">
        <v>5866</v>
      </c>
      <c r="E157" t="s">
        <v>6084</v>
      </c>
      <c r="F157" t="s">
        <v>154</v>
      </c>
      <c r="G157">
        <v>14</v>
      </c>
      <c r="I157">
        <f t="shared" si="31"/>
        <v>14</v>
      </c>
      <c r="J157">
        <v>105</v>
      </c>
      <c r="K157" s="23">
        <v>1.1</v>
      </c>
      <c r="L157" s="23">
        <v>1.1</v>
      </c>
      <c r="M157" s="23">
        <v>1</v>
      </c>
      <c r="N157">
        <v>1</v>
      </c>
      <c r="O157">
        <v>1</v>
      </c>
      <c r="P157" s="18">
        <v>0.43158465215541</v>
      </c>
      <c r="Q157" s="24">
        <f>IF($I157="","",IFERROR(INDEX(_玩家曲线!$H$2:$H$286,MATCH($I157,_玩家曲线!$A$2:$A$286,0)),""))</f>
        <v>10947.8652713966</v>
      </c>
      <c r="R157" s="24">
        <f>IF($I157="","",IFERROR(INDEX(_玩家曲线!$I$2:$I$286,MATCH($I157,_玩家曲线!$A$2:$A$286,0)),""))</f>
        <v>38293.4883702837</v>
      </c>
      <c r="S157" s="24">
        <f>IF(OR($J157="",$F157="不适用"),"",IFERROR(INDEX(_怪物模型!$D$2:$D$4501,(INT($J157)-1)*ROWS(_怪物类型!$A$2:$A$10)+MATCH($F157,_怪物类型!$A$2:$A$10,0))*IF($K157="",1,$K157),""))</f>
        <v>45294.7</v>
      </c>
      <c r="T157" s="24">
        <f>IF(OR($J157="",$F157="不适用"),"",IFERROR(INDEX(_怪物模型!$E$2:$E$4501,(INT($J157)-1)*ROWS(_怪物类型!$A$2:$A$10)+MATCH($F157,_怪物类型!$A$2:$A$10,0))*IF($L157="",1,$L157),""))</f>
        <v>7800.1</v>
      </c>
      <c r="U157" s="24">
        <f>IF(OR($J157="",$F157="不适用"),"",IFERROR(INDEX(_怪物模型!$F$2:$F$4501,(INT($J157)-1)*ROWS(_怪物类型!$A$2:$A$10)+MATCH($F157,_怪物类型!$A$2:$A$10,0))*IF($M157="",1,$M157),""))</f>
        <v>9005</v>
      </c>
      <c r="V157" s="6">
        <f t="shared" si="32"/>
        <v>0.272837448871383</v>
      </c>
      <c r="W157" s="24">
        <f t="shared" si="33"/>
        <v>62289.6488958333</v>
      </c>
      <c r="X157" s="18">
        <f t="shared" si="34"/>
        <v>5.68966162367535</v>
      </c>
      <c r="Y157" s="18">
        <f t="shared" si="35"/>
        <v>4.90935864543835</v>
      </c>
      <c r="Z157" s="18">
        <f t="shared" si="36"/>
        <v>13.1831880379902</v>
      </c>
      <c r="AA157" t="str">
        <f t="shared" si="37"/>
        <v>生存不成立</v>
      </c>
      <c r="AB157" t="str">
        <f t="shared" si="38"/>
        <v>有效</v>
      </c>
      <c r="AC157" t="str">
        <f t="shared" si="39"/>
        <v>不降</v>
      </c>
      <c r="AD157" t="s">
        <v>6076</v>
      </c>
      <c r="AE157" s="4">
        <v>78600</v>
      </c>
      <c r="AF157" s="4">
        <f>INDEX(_统一战力!$B$2:$B$501,J157)</f>
        <v>204000</v>
      </c>
    </row>
    <row r="158" spans="1:32">
      <c r="A158" t="s">
        <v>5548</v>
      </c>
      <c r="B158" t="s">
        <v>5804</v>
      </c>
      <c r="C158" t="s">
        <v>6074</v>
      </c>
      <c r="D158" t="s">
        <v>5866</v>
      </c>
      <c r="E158" t="s">
        <v>6085</v>
      </c>
      <c r="F158" t="s">
        <v>154</v>
      </c>
      <c r="G158">
        <v>14</v>
      </c>
      <c r="I158">
        <f t="shared" si="31"/>
        <v>14</v>
      </c>
      <c r="J158">
        <v>115</v>
      </c>
      <c r="K158" s="23">
        <v>1.1</v>
      </c>
      <c r="L158" s="23">
        <v>1.1</v>
      </c>
      <c r="M158" s="23">
        <v>1</v>
      </c>
      <c r="N158">
        <v>1</v>
      </c>
      <c r="O158">
        <v>1</v>
      </c>
      <c r="P158" s="18">
        <v>0.43158465215541</v>
      </c>
      <c r="Q158" s="24">
        <f>IF($I158="","",IFERROR(INDEX(_玩家曲线!$H$2:$H$286,MATCH($I158,_玩家曲线!$A$2:$A$286,0)),""))</f>
        <v>10947.8652713966</v>
      </c>
      <c r="R158" s="24">
        <f>IF($I158="","",IFERROR(INDEX(_玩家曲线!$I$2:$I$286,MATCH($I158,_玩家曲线!$A$2:$A$286,0)),""))</f>
        <v>38293.4883702837</v>
      </c>
      <c r="S158" s="24">
        <f>IF(OR($J158="",$F158="不适用"),"",IFERROR(INDEX(_怪物模型!$D$2:$D$4501,(INT($J158)-1)*ROWS(_怪物类型!$A$2:$A$10)+MATCH($F158,_怪物类型!$A$2:$A$10,0))*IF($K158="",1,$K158),""))</f>
        <v>54144.2</v>
      </c>
      <c r="T158" s="24">
        <f>IF(OR($J158="",$F158="不适用"),"",IFERROR(INDEX(_怪物模型!$E$2:$E$4501,(INT($J158)-1)*ROWS(_怪物类型!$A$2:$A$10)+MATCH($F158,_怪物类型!$A$2:$A$10,0))*IF($L158="",1,$L158),""))</f>
        <v>8884.7</v>
      </c>
      <c r="U158" s="24">
        <f>IF(OR($J158="",$F158="不适用"),"",IFERROR(INDEX(_怪物模型!$F$2:$F$4501,(INT($J158)-1)*ROWS(_怪物类型!$A$2:$A$10)+MATCH($F158,_怪物类型!$A$2:$A$10,0))*IF($M158="",1,$M158),""))</f>
        <v>9993</v>
      </c>
      <c r="V158" s="6">
        <f t="shared" si="32"/>
        <v>0.29397228841232</v>
      </c>
      <c r="W158" s="24">
        <f t="shared" si="33"/>
        <v>76688.491275</v>
      </c>
      <c r="X158" s="18">
        <f t="shared" si="34"/>
        <v>7.00488080314282</v>
      </c>
      <c r="Y158" s="18">
        <f t="shared" si="35"/>
        <v>4.31004855203706</v>
      </c>
      <c r="Z158" s="18">
        <f t="shared" si="36"/>
        <v>16.2306068303384</v>
      </c>
      <c r="AA158" t="str">
        <f t="shared" si="37"/>
        <v>生存不成立</v>
      </c>
      <c r="AB158" t="str">
        <f t="shared" si="38"/>
        <v>有效</v>
      </c>
      <c r="AC158" t="str">
        <f t="shared" si="39"/>
        <v>不降</v>
      </c>
      <c r="AD158" t="s">
        <v>6076</v>
      </c>
      <c r="AE158" s="4">
        <v>91400</v>
      </c>
      <c r="AF158" s="4">
        <f>INDEX(_统一战力!$B$2:$B$501,J158)</f>
        <v>249000</v>
      </c>
    </row>
    <row r="159" spans="1:32">
      <c r="A159" t="s">
        <v>5548</v>
      </c>
      <c r="B159" t="s">
        <v>5804</v>
      </c>
      <c r="C159" t="s">
        <v>6074</v>
      </c>
      <c r="D159" t="s">
        <v>5866</v>
      </c>
      <c r="E159" t="s">
        <v>6086</v>
      </c>
      <c r="F159" t="s">
        <v>154</v>
      </c>
      <c r="G159">
        <v>14</v>
      </c>
      <c r="I159">
        <f t="shared" si="31"/>
        <v>14</v>
      </c>
      <c r="J159">
        <v>125</v>
      </c>
      <c r="K159" s="23">
        <v>1.1</v>
      </c>
      <c r="L159" s="23">
        <v>1.1</v>
      </c>
      <c r="M159" s="23">
        <v>1</v>
      </c>
      <c r="N159">
        <v>1</v>
      </c>
      <c r="O159">
        <v>1</v>
      </c>
      <c r="P159" s="18">
        <v>0.43158465215541</v>
      </c>
      <c r="Q159" s="24">
        <f>IF($I159="","",IFERROR(INDEX(_玩家曲线!$H$2:$H$286,MATCH($I159,_玩家曲线!$A$2:$A$286,0)),""))</f>
        <v>10947.8652713966</v>
      </c>
      <c r="R159" s="24">
        <f>IF($I159="","",IFERROR(INDEX(_玩家曲线!$I$2:$I$286,MATCH($I159,_玩家曲线!$A$2:$A$286,0)),""))</f>
        <v>38293.4883702837</v>
      </c>
      <c r="S159" s="24">
        <f>IF(OR($J159="",$F159="不适用"),"",IFERROR(INDEX(_怪物模型!$D$2:$D$4501,(INT($J159)-1)*ROWS(_怪物类型!$A$2:$A$10)+MATCH($F159,_怪物类型!$A$2:$A$10,0))*IF($K159="",1,$K159),""))</f>
        <v>64090.4</v>
      </c>
      <c r="T159" s="24">
        <f>IF(OR($J159="",$F159="不适用"),"",IFERROR(INDEX(_怪物模型!$E$2:$E$4501,(INT($J159)-1)*ROWS(_怪物类型!$A$2:$A$10)+MATCH($F159,_怪物类型!$A$2:$A$10,0))*IF($L159="",1,$L159),""))</f>
        <v>10043</v>
      </c>
      <c r="U159" s="24">
        <f>IF(OR($J159="",$F159="不适用"),"",IFERROR(INDEX(_怪物模型!$F$2:$F$4501,(INT($J159)-1)*ROWS(_怪物类型!$A$2:$A$10)+MATCH($F159,_怪物类型!$A$2:$A$10,0))*IF($M159="",1,$M159),""))</f>
        <v>11005</v>
      </c>
      <c r="V159" s="6">
        <f t="shared" si="32"/>
        <v>0.314383659477218</v>
      </c>
      <c r="W159" s="24">
        <f t="shared" si="33"/>
        <v>93478.5188333333</v>
      </c>
      <c r="X159" s="18">
        <f t="shared" si="34"/>
        <v>8.53851563898616</v>
      </c>
      <c r="Y159" s="18">
        <f t="shared" si="35"/>
        <v>3.81295313853268</v>
      </c>
      <c r="Z159" s="18">
        <f t="shared" si="36"/>
        <v>19.7841039905921</v>
      </c>
      <c r="AA159" t="str">
        <f t="shared" si="37"/>
        <v>生存不成立</v>
      </c>
      <c r="AB159" t="str">
        <f t="shared" si="38"/>
        <v>有效</v>
      </c>
      <c r="AC159" t="str">
        <f t="shared" si="39"/>
        <v>不降</v>
      </c>
      <c r="AD159" t="s">
        <v>6076</v>
      </c>
      <c r="AE159" s="4">
        <v>105000</v>
      </c>
      <c r="AF159" s="4">
        <f>INDEX(_统一战力!$B$2:$B$501,J159)</f>
        <v>300000</v>
      </c>
    </row>
    <row r="160" spans="1:32">
      <c r="A160" t="s">
        <v>5548</v>
      </c>
      <c r="B160" t="s">
        <v>5804</v>
      </c>
      <c r="C160" t="s">
        <v>6074</v>
      </c>
      <c r="D160" t="s">
        <v>5866</v>
      </c>
      <c r="E160" t="s">
        <v>6087</v>
      </c>
      <c r="F160" t="s">
        <v>154</v>
      </c>
      <c r="G160">
        <v>14</v>
      </c>
      <c r="I160">
        <f t="shared" si="31"/>
        <v>14</v>
      </c>
      <c r="J160">
        <v>133</v>
      </c>
      <c r="K160" s="23">
        <v>1.1</v>
      </c>
      <c r="L160" s="23">
        <v>1.1</v>
      </c>
      <c r="M160" s="23">
        <v>1</v>
      </c>
      <c r="N160">
        <v>1</v>
      </c>
      <c r="O160">
        <v>1</v>
      </c>
      <c r="P160" s="18">
        <v>0.43158465215541</v>
      </c>
      <c r="Q160" s="24">
        <f>IF($I160="","",IFERROR(INDEX(_玩家曲线!$H$2:$H$286,MATCH($I160,_玩家曲线!$A$2:$A$286,0)),""))</f>
        <v>10947.8652713966</v>
      </c>
      <c r="R160" s="24">
        <f>IF($I160="","",IFERROR(INDEX(_玩家曲线!$I$2:$I$286,MATCH($I160,_玩家曲线!$A$2:$A$286,0)),""))</f>
        <v>38293.4883702837</v>
      </c>
      <c r="S160" s="24">
        <f>IF(OR($J160="",$F160="不适用"),"",IFERROR(INDEX(_怪物模型!$D$2:$D$4501,(INT($J160)-1)*ROWS(_怪物类型!$A$2:$A$10)+MATCH($F160,_怪物类型!$A$2:$A$10,0))*IF($K160="",1,$K160),""))</f>
        <v>72898.1</v>
      </c>
      <c r="T160" s="24">
        <f>IF(OR($J160="",$F160="不适用"),"",IFERROR(INDEX(_怪物模型!$E$2:$E$4501,(INT($J160)-1)*ROWS(_怪物类型!$A$2:$A$10)+MATCH($F160,_怪物类型!$A$2:$A$10,0))*IF($L160="",1,$L160),""))</f>
        <v>11024.2</v>
      </c>
      <c r="U160" s="24">
        <f>IF(OR($J160="",$F160="不适用"),"",IFERROR(INDEX(_怪物模型!$F$2:$F$4501,(INT($J160)-1)*ROWS(_怪物类型!$A$2:$A$10)+MATCH($F160,_怪物类型!$A$2:$A$10,0))*IF($M160="",1,$M160),""))</f>
        <v>11830</v>
      </c>
      <c r="V160" s="6">
        <f t="shared" si="32"/>
        <v>0.3301702483952</v>
      </c>
      <c r="W160" s="24">
        <f t="shared" si="33"/>
        <v>108830.788458333</v>
      </c>
      <c r="X160" s="18">
        <f t="shared" si="34"/>
        <v>9.94082277781356</v>
      </c>
      <c r="Y160" s="18">
        <f t="shared" si="35"/>
        <v>3.47358432995444</v>
      </c>
      <c r="Z160" s="18">
        <f t="shared" si="36"/>
        <v>23.0333092897705</v>
      </c>
      <c r="AA160" t="str">
        <f t="shared" si="37"/>
        <v>生存不成立</v>
      </c>
      <c r="AB160" t="str">
        <f t="shared" si="38"/>
        <v>有效</v>
      </c>
      <c r="AC160" t="str">
        <f t="shared" si="39"/>
        <v>不降</v>
      </c>
      <c r="AD160" t="s">
        <v>6076</v>
      </c>
      <c r="AE160" s="4">
        <v>115000</v>
      </c>
      <c r="AF160" s="4">
        <f>INDEX(_统一战力!$B$2:$B$501,J160)</f>
        <v>320000</v>
      </c>
    </row>
    <row r="161" spans="1:32">
      <c r="A161" t="s">
        <v>5548</v>
      </c>
      <c r="B161" t="s">
        <v>5804</v>
      </c>
      <c r="C161" t="s">
        <v>6074</v>
      </c>
      <c r="D161" t="s">
        <v>5866</v>
      </c>
      <c r="E161" t="s">
        <v>6088</v>
      </c>
      <c r="F161" t="s">
        <v>154</v>
      </c>
      <c r="G161">
        <v>14</v>
      </c>
      <c r="I161">
        <f t="shared" si="31"/>
        <v>14</v>
      </c>
      <c r="J161">
        <v>141</v>
      </c>
      <c r="K161" s="23">
        <v>1.1</v>
      </c>
      <c r="L161" s="23">
        <v>1.1</v>
      </c>
      <c r="M161" s="23">
        <v>1</v>
      </c>
      <c r="N161">
        <v>1</v>
      </c>
      <c r="O161">
        <v>1</v>
      </c>
      <c r="P161" s="18">
        <v>0.43158465215541</v>
      </c>
      <c r="Q161" s="24">
        <f>IF($I161="","",IFERROR(INDEX(_玩家曲线!$H$2:$H$286,MATCH($I161,_玩家曲线!$A$2:$A$286,0)),""))</f>
        <v>10947.8652713966</v>
      </c>
      <c r="R161" s="24">
        <f>IF($I161="","",IFERROR(INDEX(_玩家曲线!$I$2:$I$286,MATCH($I161,_玩家曲线!$A$2:$A$286,0)),""))</f>
        <v>38293.4883702837</v>
      </c>
      <c r="S161" s="24">
        <f>IF(OR($J161="",$F161="不适用"),"",IFERROR(INDEX(_怪物模型!$D$2:$D$4501,(INT($J161)-1)*ROWS(_怪物类型!$A$2:$A$10)+MATCH($F161,_怪物类型!$A$2:$A$10,0))*IF($K161="",1,$K161),""))</f>
        <v>82513.2</v>
      </c>
      <c r="T161" s="24">
        <f>IF(OR($J161="",$F161="不适用"),"",IFERROR(INDEX(_怪物模型!$E$2:$E$4501,(INT($J161)-1)*ROWS(_怪物类型!$A$2:$A$10)+MATCH($F161,_怪物类型!$A$2:$A$10,0))*IF($L161="",1,$L161),""))</f>
        <v>12057.1</v>
      </c>
      <c r="U161" s="24">
        <f>IF(OR($J161="",$F161="不适用"),"",IFERROR(INDEX(_怪物模型!$F$2:$F$4501,(INT($J161)-1)*ROWS(_怪物类型!$A$2:$A$10)+MATCH($F161,_怪物类型!$A$2:$A$10,0))*IF($M161="",1,$M161),""))</f>
        <v>12670</v>
      </c>
      <c r="V161" s="6">
        <f t="shared" si="32"/>
        <v>0.345514044177802</v>
      </c>
      <c r="W161" s="24">
        <f t="shared" si="33"/>
        <v>126073.2935</v>
      </c>
      <c r="X161" s="18">
        <f t="shared" si="34"/>
        <v>11.515787815675</v>
      </c>
      <c r="Y161" s="18">
        <f t="shared" si="35"/>
        <v>3.17601150942463</v>
      </c>
      <c r="Z161" s="18">
        <f t="shared" si="36"/>
        <v>26.6825702864156</v>
      </c>
      <c r="AA161" t="str">
        <f t="shared" si="37"/>
        <v>生存不成立</v>
      </c>
      <c r="AB161" t="str">
        <f t="shared" si="38"/>
        <v>有效</v>
      </c>
      <c r="AC161" t="str">
        <f t="shared" si="39"/>
        <v>不降</v>
      </c>
      <c r="AD161" t="s">
        <v>6076</v>
      </c>
      <c r="AE161" s="4">
        <v>125000</v>
      </c>
      <c r="AF161" s="4">
        <f>INDEX(_统一战力!$B$2:$B$501,J161)</f>
        <v>381000</v>
      </c>
    </row>
    <row r="162" spans="1:32">
      <c r="A162" t="s">
        <v>5548</v>
      </c>
      <c r="B162" t="s">
        <v>5804</v>
      </c>
      <c r="C162" t="s">
        <v>6089</v>
      </c>
      <c r="D162" t="s">
        <v>6090</v>
      </c>
      <c r="E162" t="s">
        <v>6091</v>
      </c>
      <c r="F162" t="s">
        <v>154</v>
      </c>
      <c r="G162">
        <v>7</v>
      </c>
      <c r="I162">
        <f t="shared" si="31"/>
        <v>7</v>
      </c>
      <c r="J162">
        <v>14</v>
      </c>
      <c r="K162" s="23">
        <v>1.04759016676984</v>
      </c>
      <c r="L162" s="23">
        <v>0.82469512195122</v>
      </c>
      <c r="M162" s="23">
        <v>1</v>
      </c>
      <c r="N162">
        <v>1</v>
      </c>
      <c r="O162">
        <v>1</v>
      </c>
      <c r="P162" s="18">
        <v>0.418858868567819</v>
      </c>
      <c r="Q162" s="24">
        <f>IF($I162="","",IFERROR(INDEX(_玩家曲线!$H$2:$H$286,MATCH($I162,_玩家曲线!$A$2:$A$286,0)),""))</f>
        <v>4945.43127875686</v>
      </c>
      <c r="R162" s="24">
        <f>IF($I162="","",IFERROR(INDEX(_玩家曲线!$I$2:$I$286,MATCH($I162,_玩家曲线!$A$2:$A$286,0)),""))</f>
        <v>17028.3595053211</v>
      </c>
      <c r="S162" s="24">
        <f>IF(OR($J162="",$F162="不适用"),"",IFERROR(INDEX(_怪物模型!$D$2:$D$4501,(INT($J162)-1)*ROWS(_怪物类型!$A$2:$A$10)+MATCH($F162,_怪物类型!$A$2:$A$10,0))*IF($K162="",1,$K162),""))</f>
        <v>1984.13577586208</v>
      </c>
      <c r="T162" s="24">
        <f>IF(OR($J162="",$F162="不适用"),"",IFERROR(INDEX(_怪物模型!$E$2:$E$4501,(INT($J162)-1)*ROWS(_怪物类型!$A$2:$A$10)+MATCH($F162,_怪物类型!$A$2:$A$10,0))*IF($L162="",1,$L162),""))</f>
        <v>541</v>
      </c>
      <c r="U162" s="24">
        <f>IF(OR($J162="",$F162="不适用"),"",IFERROR(INDEX(_怪物模型!$F$2:$F$4501,(INT($J162)-1)*ROWS(_怪物类型!$A$2:$A$10)+MATCH($F162,_怪物类型!$A$2:$A$10,0))*IF($M162="",1,$M162),""))</f>
        <v>1056</v>
      </c>
      <c r="V162" s="6">
        <f t="shared" si="32"/>
        <v>0.0421455938697318</v>
      </c>
      <c r="W162" s="24">
        <f t="shared" si="33"/>
        <v>2071.43775000001</v>
      </c>
      <c r="X162" s="18">
        <f t="shared" si="34"/>
        <v>0.418858868567821</v>
      </c>
      <c r="Y162" s="18">
        <f t="shared" si="35"/>
        <v>31.4757107307229</v>
      </c>
      <c r="Z162" s="18">
        <f t="shared" si="36"/>
        <v>1</v>
      </c>
      <c r="AA162" t="str">
        <f t="shared" si="37"/>
        <v>适中</v>
      </c>
      <c r="AB162" t="str">
        <f t="shared" si="38"/>
        <v>有效</v>
      </c>
      <c r="AC162" t="str">
        <f t="shared" si="39"/>
        <v>新玩法组</v>
      </c>
      <c r="AD162" t="s">
        <v>5862</v>
      </c>
      <c r="AE162" s="4">
        <v>4930</v>
      </c>
      <c r="AF162" s="4">
        <f>INDEX(_统一战力!$B$2:$B$501,J162)</f>
        <v>7220</v>
      </c>
    </row>
    <row r="163" spans="1:32">
      <c r="A163" t="s">
        <v>5548</v>
      </c>
      <c r="B163" t="s">
        <v>5804</v>
      </c>
      <c r="C163" t="s">
        <v>6089</v>
      </c>
      <c r="D163" t="s">
        <v>6090</v>
      </c>
      <c r="E163" t="s">
        <v>6092</v>
      </c>
      <c r="F163" t="s">
        <v>154</v>
      </c>
      <c r="G163">
        <v>7</v>
      </c>
      <c r="I163">
        <f t="shared" ref="I163:I209" si="40">IF($H163="",$G163,$H163)</f>
        <v>7</v>
      </c>
      <c r="J163">
        <v>14</v>
      </c>
      <c r="K163" s="23">
        <v>1.04759016676984</v>
      </c>
      <c r="L163" s="23">
        <v>0.82469512195122</v>
      </c>
      <c r="M163" s="23">
        <v>1</v>
      </c>
      <c r="N163">
        <v>1</v>
      </c>
      <c r="O163">
        <v>1</v>
      </c>
      <c r="P163" s="18">
        <v>0.418858868567819</v>
      </c>
      <c r="Q163" s="24">
        <f>IF($I163="","",IFERROR(INDEX(_玩家曲线!$H$2:$H$286,MATCH($I163,_玩家曲线!$A$2:$A$286,0)),""))</f>
        <v>4945.43127875686</v>
      </c>
      <c r="R163" s="24">
        <f>IF($I163="","",IFERROR(INDEX(_玩家曲线!$I$2:$I$286,MATCH($I163,_玩家曲线!$A$2:$A$286,0)),""))</f>
        <v>17028.3595053211</v>
      </c>
      <c r="S163" s="24">
        <f>IF(OR($J163="",$F163="不适用"),"",IFERROR(INDEX(_怪物模型!$D$2:$D$4501,(INT($J163)-1)*ROWS(_怪物类型!$A$2:$A$10)+MATCH($F163,_怪物类型!$A$2:$A$10,0))*IF($K163="",1,$K163),""))</f>
        <v>1984.13577586208</v>
      </c>
      <c r="T163" s="24">
        <f>IF(OR($J163="",$F163="不适用"),"",IFERROR(INDEX(_怪物模型!$E$2:$E$4501,(INT($J163)-1)*ROWS(_怪物类型!$A$2:$A$10)+MATCH($F163,_怪物类型!$A$2:$A$10,0))*IF($L163="",1,$L163),""))</f>
        <v>541</v>
      </c>
      <c r="U163" s="24">
        <f>IF(OR($J163="",$F163="不适用"),"",IFERROR(INDEX(_怪物模型!$F$2:$F$4501,(INT($J163)-1)*ROWS(_怪物类型!$A$2:$A$10)+MATCH($F163,_怪物类型!$A$2:$A$10,0))*IF($M163="",1,$M163),""))</f>
        <v>1056</v>
      </c>
      <c r="V163" s="6">
        <f t="shared" ref="V163:V209" si="41">IF($U163="","",MIN(0.75,$U163/($U163+24000)))</f>
        <v>0.0421455938697318</v>
      </c>
      <c r="W163" s="24">
        <f t="shared" ref="W163:W209" si="42">IF($S163="","",$S163/(1-$V163)*IF($N163="",1,$N163))</f>
        <v>2071.43775000001</v>
      </c>
      <c r="X163" s="18">
        <f t="shared" ref="X163:X209" si="43">IF(OR($W163="",$Q163="",$Q163=0),"",$W163/$Q163)</f>
        <v>0.418858868567821</v>
      </c>
      <c r="Y163" s="18">
        <f t="shared" ref="Y163:Y209" si="44">IF(OR($R163="",$T163="",$T163=0),"",$R163/($T163*IF($O163="",1,$O163)))</f>
        <v>31.4757107307229</v>
      </c>
      <c r="Z163" s="18">
        <f t="shared" ref="Z163:Z209" si="45">IF(OR($X163="",$P163="",$P163=0),"",$X163/$P163)</f>
        <v>1</v>
      </c>
      <c r="AA163" t="str">
        <f t="shared" ref="AA163:AA209" si="46">IF($J163="","待填怪物等级",IF(OR($I163="",$Q163=""),"待填对照关卡",IF($P163="","已计算",IF(AND($Y163&lt;&gt;"",$Y163&lt;$X163),"生存不成立",IF($Z163&lt;0.5,"碾压",IF($Z163&lt;0.8,"偏简单",IF($Z163&lt;=1.2,"适中",IF($Z163&lt;=1.5,"偏难","过难"))))))))</f>
        <v>适中</v>
      </c>
      <c r="AB163" t="str">
        <f t="shared" ref="AB163:AB209" si="47">IF($J163="","待填",IF(AND(ISNUMBER($J163),$J163&gt;=1,$J163&lt;=500,MOD($J163,1)=0),"有效","超范围"))</f>
        <v>有效</v>
      </c>
      <c r="AC163" t="str">
        <f t="shared" si="39"/>
        <v>不降</v>
      </c>
      <c r="AD163" t="s">
        <v>5862</v>
      </c>
      <c r="AE163" s="4">
        <v>4930</v>
      </c>
      <c r="AF163" s="4">
        <f>INDEX(_统一战力!$B$2:$B$501,J163)</f>
        <v>7220</v>
      </c>
    </row>
    <row r="164" spans="1:32">
      <c r="A164" t="s">
        <v>5548</v>
      </c>
      <c r="B164" t="s">
        <v>5804</v>
      </c>
      <c r="C164" t="s">
        <v>6089</v>
      </c>
      <c r="D164" t="s">
        <v>6090</v>
      </c>
      <c r="E164" t="s">
        <v>6093</v>
      </c>
      <c r="F164" t="s">
        <v>154</v>
      </c>
      <c r="G164">
        <v>7</v>
      </c>
      <c r="I164">
        <f t="shared" si="40"/>
        <v>7</v>
      </c>
      <c r="J164">
        <v>14</v>
      </c>
      <c r="K164" s="23">
        <v>1.04759016676984</v>
      </c>
      <c r="L164" s="23">
        <v>0.82469512195122</v>
      </c>
      <c r="M164" s="23">
        <v>1</v>
      </c>
      <c r="N164">
        <v>1</v>
      </c>
      <c r="O164">
        <v>1</v>
      </c>
      <c r="P164" s="18">
        <v>0.418858868567819</v>
      </c>
      <c r="Q164" s="24">
        <f>IF($I164="","",IFERROR(INDEX(_玩家曲线!$H$2:$H$286,MATCH($I164,_玩家曲线!$A$2:$A$286,0)),""))</f>
        <v>4945.43127875686</v>
      </c>
      <c r="R164" s="24">
        <f>IF($I164="","",IFERROR(INDEX(_玩家曲线!$I$2:$I$286,MATCH($I164,_玩家曲线!$A$2:$A$286,0)),""))</f>
        <v>17028.3595053211</v>
      </c>
      <c r="S164" s="24">
        <f>IF(OR($J164="",$F164="不适用"),"",IFERROR(INDEX(_怪物模型!$D$2:$D$4501,(INT($J164)-1)*ROWS(_怪物类型!$A$2:$A$10)+MATCH($F164,_怪物类型!$A$2:$A$10,0))*IF($K164="",1,$K164),""))</f>
        <v>1984.13577586208</v>
      </c>
      <c r="T164" s="24">
        <f>IF(OR($J164="",$F164="不适用"),"",IFERROR(INDEX(_怪物模型!$E$2:$E$4501,(INT($J164)-1)*ROWS(_怪物类型!$A$2:$A$10)+MATCH($F164,_怪物类型!$A$2:$A$10,0))*IF($L164="",1,$L164),""))</f>
        <v>541</v>
      </c>
      <c r="U164" s="24">
        <f>IF(OR($J164="",$F164="不适用"),"",IFERROR(INDEX(_怪物模型!$F$2:$F$4501,(INT($J164)-1)*ROWS(_怪物类型!$A$2:$A$10)+MATCH($F164,_怪物类型!$A$2:$A$10,0))*IF($M164="",1,$M164),""))</f>
        <v>1056</v>
      </c>
      <c r="V164" s="6">
        <f t="shared" si="41"/>
        <v>0.0421455938697318</v>
      </c>
      <c r="W164" s="24">
        <f t="shared" si="42"/>
        <v>2071.43775000001</v>
      </c>
      <c r="X164" s="18">
        <f t="shared" si="43"/>
        <v>0.418858868567821</v>
      </c>
      <c r="Y164" s="18">
        <f t="shared" si="44"/>
        <v>31.4757107307229</v>
      </c>
      <c r="Z164" s="18">
        <f t="shared" si="45"/>
        <v>1</v>
      </c>
      <c r="AA164" t="str">
        <f t="shared" si="46"/>
        <v>适中</v>
      </c>
      <c r="AB164" t="str">
        <f t="shared" si="47"/>
        <v>有效</v>
      </c>
      <c r="AC164" t="str">
        <f t="shared" ref="AC164:AC209" si="48">IF(C164&lt;&gt;C163,"新玩法组",IF(J164&gt;=J163,"不降","回退"))</f>
        <v>不降</v>
      </c>
      <c r="AD164" t="s">
        <v>5862</v>
      </c>
      <c r="AE164" s="4">
        <v>4930</v>
      </c>
      <c r="AF164" s="4">
        <f>INDEX(_统一战力!$B$2:$B$501,J164)</f>
        <v>7220</v>
      </c>
    </row>
    <row r="165" spans="1:32">
      <c r="A165" t="s">
        <v>5548</v>
      </c>
      <c r="B165" t="s">
        <v>5804</v>
      </c>
      <c r="C165" t="s">
        <v>6089</v>
      </c>
      <c r="D165" t="s">
        <v>6090</v>
      </c>
      <c r="E165" t="s">
        <v>6094</v>
      </c>
      <c r="F165" t="s">
        <v>154</v>
      </c>
      <c r="G165">
        <v>7</v>
      </c>
      <c r="I165">
        <f t="shared" si="40"/>
        <v>7</v>
      </c>
      <c r="J165">
        <v>14</v>
      </c>
      <c r="K165" s="23">
        <v>1.04759016676984</v>
      </c>
      <c r="L165" s="23">
        <v>0.82469512195122</v>
      </c>
      <c r="M165" s="23">
        <v>1</v>
      </c>
      <c r="N165">
        <v>1</v>
      </c>
      <c r="O165">
        <v>1</v>
      </c>
      <c r="P165" s="18">
        <v>0.418858868567819</v>
      </c>
      <c r="Q165" s="24">
        <f>IF($I165="","",IFERROR(INDEX(_玩家曲线!$H$2:$H$286,MATCH($I165,_玩家曲线!$A$2:$A$286,0)),""))</f>
        <v>4945.43127875686</v>
      </c>
      <c r="R165" s="24">
        <f>IF($I165="","",IFERROR(INDEX(_玩家曲线!$I$2:$I$286,MATCH($I165,_玩家曲线!$A$2:$A$286,0)),""))</f>
        <v>17028.3595053211</v>
      </c>
      <c r="S165" s="24">
        <f>IF(OR($J165="",$F165="不适用"),"",IFERROR(INDEX(_怪物模型!$D$2:$D$4501,(INT($J165)-1)*ROWS(_怪物类型!$A$2:$A$10)+MATCH($F165,_怪物类型!$A$2:$A$10,0))*IF($K165="",1,$K165),""))</f>
        <v>1984.13577586208</v>
      </c>
      <c r="T165" s="24">
        <f>IF(OR($J165="",$F165="不适用"),"",IFERROR(INDEX(_怪物模型!$E$2:$E$4501,(INT($J165)-1)*ROWS(_怪物类型!$A$2:$A$10)+MATCH($F165,_怪物类型!$A$2:$A$10,0))*IF($L165="",1,$L165),""))</f>
        <v>541</v>
      </c>
      <c r="U165" s="24">
        <f>IF(OR($J165="",$F165="不适用"),"",IFERROR(INDEX(_怪物模型!$F$2:$F$4501,(INT($J165)-1)*ROWS(_怪物类型!$A$2:$A$10)+MATCH($F165,_怪物类型!$A$2:$A$10,0))*IF($M165="",1,$M165),""))</f>
        <v>1056</v>
      </c>
      <c r="V165" s="6">
        <f t="shared" si="41"/>
        <v>0.0421455938697318</v>
      </c>
      <c r="W165" s="24">
        <f t="shared" si="42"/>
        <v>2071.43775000001</v>
      </c>
      <c r="X165" s="18">
        <f t="shared" si="43"/>
        <v>0.418858868567821</v>
      </c>
      <c r="Y165" s="18">
        <f t="shared" si="44"/>
        <v>31.4757107307229</v>
      </c>
      <c r="Z165" s="18">
        <f t="shared" si="45"/>
        <v>1</v>
      </c>
      <c r="AA165" t="str">
        <f t="shared" si="46"/>
        <v>适中</v>
      </c>
      <c r="AB165" t="str">
        <f t="shared" si="47"/>
        <v>有效</v>
      </c>
      <c r="AC165" t="str">
        <f t="shared" si="48"/>
        <v>不降</v>
      </c>
      <c r="AD165" t="s">
        <v>5862</v>
      </c>
      <c r="AE165" s="4">
        <v>4930</v>
      </c>
      <c r="AF165" s="4">
        <f>INDEX(_统一战力!$B$2:$B$501,J165)</f>
        <v>7220</v>
      </c>
    </row>
    <row r="166" spans="1:32">
      <c r="A166" t="s">
        <v>5548</v>
      </c>
      <c r="B166" t="s">
        <v>5804</v>
      </c>
      <c r="C166" t="s">
        <v>6089</v>
      </c>
      <c r="D166" t="s">
        <v>6090</v>
      </c>
      <c r="E166" t="s">
        <v>6095</v>
      </c>
      <c r="F166" t="s">
        <v>154</v>
      </c>
      <c r="G166">
        <v>7</v>
      </c>
      <c r="I166">
        <f t="shared" si="40"/>
        <v>7</v>
      </c>
      <c r="J166">
        <v>14</v>
      </c>
      <c r="K166" s="23">
        <v>1.04759016676984</v>
      </c>
      <c r="L166" s="23">
        <v>0.82469512195122</v>
      </c>
      <c r="M166" s="23">
        <v>1</v>
      </c>
      <c r="N166">
        <v>1</v>
      </c>
      <c r="O166">
        <v>1</v>
      </c>
      <c r="P166" s="18">
        <v>0.418858868567819</v>
      </c>
      <c r="Q166" s="24">
        <f>IF($I166="","",IFERROR(INDEX(_玩家曲线!$H$2:$H$286,MATCH($I166,_玩家曲线!$A$2:$A$286,0)),""))</f>
        <v>4945.43127875686</v>
      </c>
      <c r="R166" s="24">
        <f>IF($I166="","",IFERROR(INDEX(_玩家曲线!$I$2:$I$286,MATCH($I166,_玩家曲线!$A$2:$A$286,0)),""))</f>
        <v>17028.3595053211</v>
      </c>
      <c r="S166" s="24">
        <f>IF(OR($J166="",$F166="不适用"),"",IFERROR(INDEX(_怪物模型!$D$2:$D$4501,(INT($J166)-1)*ROWS(_怪物类型!$A$2:$A$10)+MATCH($F166,_怪物类型!$A$2:$A$10,0))*IF($K166="",1,$K166),""))</f>
        <v>1984.13577586208</v>
      </c>
      <c r="T166" s="24">
        <f>IF(OR($J166="",$F166="不适用"),"",IFERROR(INDEX(_怪物模型!$E$2:$E$4501,(INT($J166)-1)*ROWS(_怪物类型!$A$2:$A$10)+MATCH($F166,_怪物类型!$A$2:$A$10,0))*IF($L166="",1,$L166),""))</f>
        <v>541</v>
      </c>
      <c r="U166" s="24">
        <f>IF(OR($J166="",$F166="不适用"),"",IFERROR(INDEX(_怪物模型!$F$2:$F$4501,(INT($J166)-1)*ROWS(_怪物类型!$A$2:$A$10)+MATCH($F166,_怪物类型!$A$2:$A$10,0))*IF($M166="",1,$M166),""))</f>
        <v>1056</v>
      </c>
      <c r="V166" s="6">
        <f t="shared" si="41"/>
        <v>0.0421455938697318</v>
      </c>
      <c r="W166" s="24">
        <f t="shared" si="42"/>
        <v>2071.43775000001</v>
      </c>
      <c r="X166" s="18">
        <f t="shared" si="43"/>
        <v>0.418858868567821</v>
      </c>
      <c r="Y166" s="18">
        <f t="shared" si="44"/>
        <v>31.4757107307229</v>
      </c>
      <c r="Z166" s="18">
        <f t="shared" si="45"/>
        <v>1</v>
      </c>
      <c r="AA166" t="str">
        <f t="shared" si="46"/>
        <v>适中</v>
      </c>
      <c r="AB166" t="str">
        <f t="shared" si="47"/>
        <v>有效</v>
      </c>
      <c r="AC166" t="str">
        <f t="shared" si="48"/>
        <v>不降</v>
      </c>
      <c r="AD166" t="s">
        <v>5862</v>
      </c>
      <c r="AE166" s="4">
        <v>4930</v>
      </c>
      <c r="AF166" s="4">
        <f>INDEX(_统一战力!$B$2:$B$501,J166)</f>
        <v>7220</v>
      </c>
    </row>
    <row r="167" spans="1:32">
      <c r="A167" t="s">
        <v>5548</v>
      </c>
      <c r="B167" t="s">
        <v>5804</v>
      </c>
      <c r="C167" t="s">
        <v>6089</v>
      </c>
      <c r="D167" t="s">
        <v>6090</v>
      </c>
      <c r="E167" t="s">
        <v>6096</v>
      </c>
      <c r="F167" t="s">
        <v>154</v>
      </c>
      <c r="G167">
        <v>7</v>
      </c>
      <c r="I167">
        <f t="shared" si="40"/>
        <v>7</v>
      </c>
      <c r="J167">
        <v>14</v>
      </c>
      <c r="K167" s="23">
        <v>1.04759016676984</v>
      </c>
      <c r="L167" s="23">
        <v>0.82469512195122</v>
      </c>
      <c r="M167" s="23">
        <v>1</v>
      </c>
      <c r="N167">
        <v>1</v>
      </c>
      <c r="O167">
        <v>1</v>
      </c>
      <c r="P167" s="18">
        <v>0.418858868567819</v>
      </c>
      <c r="Q167" s="24">
        <f>IF($I167="","",IFERROR(INDEX(_玩家曲线!$H$2:$H$286,MATCH($I167,_玩家曲线!$A$2:$A$286,0)),""))</f>
        <v>4945.43127875686</v>
      </c>
      <c r="R167" s="24">
        <f>IF($I167="","",IFERROR(INDEX(_玩家曲线!$I$2:$I$286,MATCH($I167,_玩家曲线!$A$2:$A$286,0)),""))</f>
        <v>17028.3595053211</v>
      </c>
      <c r="S167" s="24">
        <f>IF(OR($J167="",$F167="不适用"),"",IFERROR(INDEX(_怪物模型!$D$2:$D$4501,(INT($J167)-1)*ROWS(_怪物类型!$A$2:$A$10)+MATCH($F167,_怪物类型!$A$2:$A$10,0))*IF($K167="",1,$K167),""))</f>
        <v>1984.13577586208</v>
      </c>
      <c r="T167" s="24">
        <f>IF(OR($J167="",$F167="不适用"),"",IFERROR(INDEX(_怪物模型!$E$2:$E$4501,(INT($J167)-1)*ROWS(_怪物类型!$A$2:$A$10)+MATCH($F167,_怪物类型!$A$2:$A$10,0))*IF($L167="",1,$L167),""))</f>
        <v>541</v>
      </c>
      <c r="U167" s="24">
        <f>IF(OR($J167="",$F167="不适用"),"",IFERROR(INDEX(_怪物模型!$F$2:$F$4501,(INT($J167)-1)*ROWS(_怪物类型!$A$2:$A$10)+MATCH($F167,_怪物类型!$A$2:$A$10,0))*IF($M167="",1,$M167),""))</f>
        <v>1056</v>
      </c>
      <c r="V167" s="6">
        <f t="shared" si="41"/>
        <v>0.0421455938697318</v>
      </c>
      <c r="W167" s="24">
        <f t="shared" si="42"/>
        <v>2071.43775000001</v>
      </c>
      <c r="X167" s="18">
        <f t="shared" si="43"/>
        <v>0.418858868567821</v>
      </c>
      <c r="Y167" s="18">
        <f t="shared" si="44"/>
        <v>31.4757107307229</v>
      </c>
      <c r="Z167" s="18">
        <f t="shared" si="45"/>
        <v>1</v>
      </c>
      <c r="AA167" t="str">
        <f t="shared" si="46"/>
        <v>适中</v>
      </c>
      <c r="AB167" t="str">
        <f t="shared" si="47"/>
        <v>有效</v>
      </c>
      <c r="AC167" t="str">
        <f t="shared" si="48"/>
        <v>不降</v>
      </c>
      <c r="AD167" t="s">
        <v>5862</v>
      </c>
      <c r="AE167" s="4">
        <v>4930</v>
      </c>
      <c r="AF167" s="4">
        <f>INDEX(_统一战力!$B$2:$B$501,J167)</f>
        <v>7220</v>
      </c>
    </row>
    <row r="168" spans="1:32">
      <c r="A168" t="s">
        <v>5548</v>
      </c>
      <c r="B168" t="s">
        <v>5804</v>
      </c>
      <c r="C168" t="s">
        <v>6089</v>
      </c>
      <c r="D168" t="s">
        <v>6097</v>
      </c>
      <c r="E168" t="s">
        <v>6098</v>
      </c>
      <c r="F168" t="s">
        <v>154</v>
      </c>
      <c r="G168">
        <v>7</v>
      </c>
      <c r="I168">
        <f t="shared" si="40"/>
        <v>7</v>
      </c>
      <c r="J168">
        <v>14</v>
      </c>
      <c r="K168" s="23">
        <v>1.04759016676984</v>
      </c>
      <c r="L168" s="23">
        <v>0.82469512195122</v>
      </c>
      <c r="M168" s="23">
        <v>1</v>
      </c>
      <c r="N168">
        <v>1</v>
      </c>
      <c r="O168">
        <v>1</v>
      </c>
      <c r="P168" s="18">
        <v>0.418858868567819</v>
      </c>
      <c r="Q168" s="24">
        <f>IF($I168="","",IFERROR(INDEX(_玩家曲线!$H$2:$H$286,MATCH($I168,_玩家曲线!$A$2:$A$286,0)),""))</f>
        <v>4945.43127875686</v>
      </c>
      <c r="R168" s="24">
        <f>IF($I168="","",IFERROR(INDEX(_玩家曲线!$I$2:$I$286,MATCH($I168,_玩家曲线!$A$2:$A$286,0)),""))</f>
        <v>17028.3595053211</v>
      </c>
      <c r="S168" s="24">
        <f>IF(OR($J168="",$F168="不适用"),"",IFERROR(INDEX(_怪物模型!$D$2:$D$4501,(INT($J168)-1)*ROWS(_怪物类型!$A$2:$A$10)+MATCH($F168,_怪物类型!$A$2:$A$10,0))*IF($K168="",1,$K168),""))</f>
        <v>1984.13577586208</v>
      </c>
      <c r="T168" s="24">
        <f>IF(OR($J168="",$F168="不适用"),"",IFERROR(INDEX(_怪物模型!$E$2:$E$4501,(INT($J168)-1)*ROWS(_怪物类型!$A$2:$A$10)+MATCH($F168,_怪物类型!$A$2:$A$10,0))*IF($L168="",1,$L168),""))</f>
        <v>541</v>
      </c>
      <c r="U168" s="24">
        <f>IF(OR($J168="",$F168="不适用"),"",IFERROR(INDEX(_怪物模型!$F$2:$F$4501,(INT($J168)-1)*ROWS(_怪物类型!$A$2:$A$10)+MATCH($F168,_怪物类型!$A$2:$A$10,0))*IF($M168="",1,$M168),""))</f>
        <v>1056</v>
      </c>
      <c r="V168" s="6">
        <f t="shared" si="41"/>
        <v>0.0421455938697318</v>
      </c>
      <c r="W168" s="24">
        <f t="shared" si="42"/>
        <v>2071.43775000001</v>
      </c>
      <c r="X168" s="18">
        <f t="shared" si="43"/>
        <v>0.418858868567821</v>
      </c>
      <c r="Y168" s="18">
        <f t="shared" si="44"/>
        <v>31.4757107307229</v>
      </c>
      <c r="Z168" s="18">
        <f t="shared" si="45"/>
        <v>1</v>
      </c>
      <c r="AA168" t="str">
        <f t="shared" si="46"/>
        <v>适中</v>
      </c>
      <c r="AB168" t="str">
        <f t="shared" si="47"/>
        <v>有效</v>
      </c>
      <c r="AC168" t="str">
        <f t="shared" si="48"/>
        <v>不降</v>
      </c>
      <c r="AD168" t="s">
        <v>5862</v>
      </c>
      <c r="AE168" s="4">
        <v>4930</v>
      </c>
      <c r="AF168" s="4">
        <f>INDEX(_统一战力!$B$2:$B$501,J168)</f>
        <v>7220</v>
      </c>
    </row>
    <row r="169" spans="1:32">
      <c r="A169" t="s">
        <v>5548</v>
      </c>
      <c r="B169" t="s">
        <v>5804</v>
      </c>
      <c r="C169" t="s">
        <v>6089</v>
      </c>
      <c r="D169" t="s">
        <v>6097</v>
      </c>
      <c r="E169" t="s">
        <v>6099</v>
      </c>
      <c r="F169" t="s">
        <v>154</v>
      </c>
      <c r="G169">
        <v>7</v>
      </c>
      <c r="I169">
        <f t="shared" si="40"/>
        <v>7</v>
      </c>
      <c r="J169">
        <v>14</v>
      </c>
      <c r="K169" s="23">
        <v>1.04759016676984</v>
      </c>
      <c r="L169" s="23">
        <v>0.82469512195122</v>
      </c>
      <c r="M169" s="23">
        <v>1</v>
      </c>
      <c r="N169">
        <v>1</v>
      </c>
      <c r="O169">
        <v>1</v>
      </c>
      <c r="P169" s="18">
        <v>0.418858868567819</v>
      </c>
      <c r="Q169" s="24">
        <f>IF($I169="","",IFERROR(INDEX(_玩家曲线!$H$2:$H$286,MATCH($I169,_玩家曲线!$A$2:$A$286,0)),""))</f>
        <v>4945.43127875686</v>
      </c>
      <c r="R169" s="24">
        <f>IF($I169="","",IFERROR(INDEX(_玩家曲线!$I$2:$I$286,MATCH($I169,_玩家曲线!$A$2:$A$286,0)),""))</f>
        <v>17028.3595053211</v>
      </c>
      <c r="S169" s="24">
        <f>IF(OR($J169="",$F169="不适用"),"",IFERROR(INDEX(_怪物模型!$D$2:$D$4501,(INT($J169)-1)*ROWS(_怪物类型!$A$2:$A$10)+MATCH($F169,_怪物类型!$A$2:$A$10,0))*IF($K169="",1,$K169),""))</f>
        <v>1984.13577586208</v>
      </c>
      <c r="T169" s="24">
        <f>IF(OR($J169="",$F169="不适用"),"",IFERROR(INDEX(_怪物模型!$E$2:$E$4501,(INT($J169)-1)*ROWS(_怪物类型!$A$2:$A$10)+MATCH($F169,_怪物类型!$A$2:$A$10,0))*IF($L169="",1,$L169),""))</f>
        <v>541</v>
      </c>
      <c r="U169" s="24">
        <f>IF(OR($J169="",$F169="不适用"),"",IFERROR(INDEX(_怪物模型!$F$2:$F$4501,(INT($J169)-1)*ROWS(_怪物类型!$A$2:$A$10)+MATCH($F169,_怪物类型!$A$2:$A$10,0))*IF($M169="",1,$M169),""))</f>
        <v>1056</v>
      </c>
      <c r="V169" s="6">
        <f t="shared" si="41"/>
        <v>0.0421455938697318</v>
      </c>
      <c r="W169" s="24">
        <f t="shared" si="42"/>
        <v>2071.43775000001</v>
      </c>
      <c r="X169" s="18">
        <f t="shared" si="43"/>
        <v>0.418858868567821</v>
      </c>
      <c r="Y169" s="18">
        <f t="shared" si="44"/>
        <v>31.4757107307229</v>
      </c>
      <c r="Z169" s="18">
        <f t="shared" si="45"/>
        <v>1</v>
      </c>
      <c r="AA169" t="str">
        <f t="shared" si="46"/>
        <v>适中</v>
      </c>
      <c r="AB169" t="str">
        <f t="shared" si="47"/>
        <v>有效</v>
      </c>
      <c r="AC169" t="str">
        <f t="shared" si="48"/>
        <v>不降</v>
      </c>
      <c r="AD169" t="s">
        <v>5862</v>
      </c>
      <c r="AE169" s="4">
        <v>4930</v>
      </c>
      <c r="AF169" s="4">
        <f>INDEX(_统一战力!$B$2:$B$501,J169)</f>
        <v>7220</v>
      </c>
    </row>
    <row r="170" spans="1:32">
      <c r="A170" t="s">
        <v>5548</v>
      </c>
      <c r="B170" t="s">
        <v>5804</v>
      </c>
      <c r="C170" t="s">
        <v>6089</v>
      </c>
      <c r="D170" t="s">
        <v>6090</v>
      </c>
      <c r="E170" t="s">
        <v>6100</v>
      </c>
      <c r="F170" t="s">
        <v>154</v>
      </c>
      <c r="G170">
        <v>7</v>
      </c>
      <c r="I170">
        <f t="shared" si="40"/>
        <v>7</v>
      </c>
      <c r="J170">
        <v>14</v>
      </c>
      <c r="K170" s="23">
        <v>1.04759016676984</v>
      </c>
      <c r="L170" s="23">
        <v>0.82469512195122</v>
      </c>
      <c r="M170" s="23">
        <v>1</v>
      </c>
      <c r="N170">
        <v>1</v>
      </c>
      <c r="O170">
        <v>1</v>
      </c>
      <c r="P170" s="18">
        <v>0.418858868567819</v>
      </c>
      <c r="Q170" s="24">
        <f>IF($I170="","",IFERROR(INDEX(_玩家曲线!$H$2:$H$286,MATCH($I170,_玩家曲线!$A$2:$A$286,0)),""))</f>
        <v>4945.43127875686</v>
      </c>
      <c r="R170" s="24">
        <f>IF($I170="","",IFERROR(INDEX(_玩家曲线!$I$2:$I$286,MATCH($I170,_玩家曲线!$A$2:$A$286,0)),""))</f>
        <v>17028.3595053211</v>
      </c>
      <c r="S170" s="24">
        <f>IF(OR($J170="",$F170="不适用"),"",IFERROR(INDEX(_怪物模型!$D$2:$D$4501,(INT($J170)-1)*ROWS(_怪物类型!$A$2:$A$10)+MATCH($F170,_怪物类型!$A$2:$A$10,0))*IF($K170="",1,$K170),""))</f>
        <v>1984.13577586208</v>
      </c>
      <c r="T170" s="24">
        <f>IF(OR($J170="",$F170="不适用"),"",IFERROR(INDEX(_怪物模型!$E$2:$E$4501,(INT($J170)-1)*ROWS(_怪物类型!$A$2:$A$10)+MATCH($F170,_怪物类型!$A$2:$A$10,0))*IF($L170="",1,$L170),""))</f>
        <v>541</v>
      </c>
      <c r="U170" s="24">
        <f>IF(OR($J170="",$F170="不适用"),"",IFERROR(INDEX(_怪物模型!$F$2:$F$4501,(INT($J170)-1)*ROWS(_怪物类型!$A$2:$A$10)+MATCH($F170,_怪物类型!$A$2:$A$10,0))*IF($M170="",1,$M170),""))</f>
        <v>1056</v>
      </c>
      <c r="V170" s="6">
        <f t="shared" si="41"/>
        <v>0.0421455938697318</v>
      </c>
      <c r="W170" s="24">
        <f t="shared" si="42"/>
        <v>2071.43775000001</v>
      </c>
      <c r="X170" s="18">
        <f t="shared" si="43"/>
        <v>0.418858868567821</v>
      </c>
      <c r="Y170" s="18">
        <f t="shared" si="44"/>
        <v>31.4757107307229</v>
      </c>
      <c r="Z170" s="18">
        <f t="shared" si="45"/>
        <v>1</v>
      </c>
      <c r="AA170" t="str">
        <f t="shared" si="46"/>
        <v>适中</v>
      </c>
      <c r="AB170" t="str">
        <f t="shared" si="47"/>
        <v>有效</v>
      </c>
      <c r="AC170" t="str">
        <f t="shared" si="48"/>
        <v>不降</v>
      </c>
      <c r="AD170" t="s">
        <v>5862</v>
      </c>
      <c r="AE170" s="4">
        <v>4930</v>
      </c>
      <c r="AF170" s="4">
        <f>INDEX(_统一战力!$B$2:$B$501,J170)</f>
        <v>7220</v>
      </c>
    </row>
    <row r="171" spans="1:32">
      <c r="A171" t="s">
        <v>5548</v>
      </c>
      <c r="B171" t="s">
        <v>5804</v>
      </c>
      <c r="C171" t="s">
        <v>6089</v>
      </c>
      <c r="D171" t="s">
        <v>6090</v>
      </c>
      <c r="E171" t="s">
        <v>6101</v>
      </c>
      <c r="F171" t="s">
        <v>154</v>
      </c>
      <c r="G171">
        <v>7</v>
      </c>
      <c r="I171">
        <f t="shared" si="40"/>
        <v>7</v>
      </c>
      <c r="J171">
        <v>14</v>
      </c>
      <c r="K171" s="23">
        <v>1.04759016676984</v>
      </c>
      <c r="L171" s="23">
        <v>0.82469512195122</v>
      </c>
      <c r="M171" s="23">
        <v>1</v>
      </c>
      <c r="N171">
        <v>1</v>
      </c>
      <c r="O171">
        <v>1</v>
      </c>
      <c r="P171" s="18">
        <v>0.418858868567819</v>
      </c>
      <c r="Q171" s="24">
        <f>IF($I171="","",IFERROR(INDEX(_玩家曲线!$H$2:$H$286,MATCH($I171,_玩家曲线!$A$2:$A$286,0)),""))</f>
        <v>4945.43127875686</v>
      </c>
      <c r="R171" s="24">
        <f>IF($I171="","",IFERROR(INDEX(_玩家曲线!$I$2:$I$286,MATCH($I171,_玩家曲线!$A$2:$A$286,0)),""))</f>
        <v>17028.3595053211</v>
      </c>
      <c r="S171" s="24">
        <f>IF(OR($J171="",$F171="不适用"),"",IFERROR(INDEX(_怪物模型!$D$2:$D$4501,(INT($J171)-1)*ROWS(_怪物类型!$A$2:$A$10)+MATCH($F171,_怪物类型!$A$2:$A$10,0))*IF($K171="",1,$K171),""))</f>
        <v>1984.13577586208</v>
      </c>
      <c r="T171" s="24">
        <f>IF(OR($J171="",$F171="不适用"),"",IFERROR(INDEX(_怪物模型!$E$2:$E$4501,(INT($J171)-1)*ROWS(_怪物类型!$A$2:$A$10)+MATCH($F171,_怪物类型!$A$2:$A$10,0))*IF($L171="",1,$L171),""))</f>
        <v>541</v>
      </c>
      <c r="U171" s="24">
        <f>IF(OR($J171="",$F171="不适用"),"",IFERROR(INDEX(_怪物模型!$F$2:$F$4501,(INT($J171)-1)*ROWS(_怪物类型!$A$2:$A$10)+MATCH($F171,_怪物类型!$A$2:$A$10,0))*IF($M171="",1,$M171),""))</f>
        <v>1056</v>
      </c>
      <c r="V171" s="6">
        <f t="shared" si="41"/>
        <v>0.0421455938697318</v>
      </c>
      <c r="W171" s="24">
        <f t="shared" si="42"/>
        <v>2071.43775000001</v>
      </c>
      <c r="X171" s="18">
        <f t="shared" si="43"/>
        <v>0.418858868567821</v>
      </c>
      <c r="Y171" s="18">
        <f t="shared" si="44"/>
        <v>31.4757107307229</v>
      </c>
      <c r="Z171" s="18">
        <f t="shared" si="45"/>
        <v>1</v>
      </c>
      <c r="AA171" t="str">
        <f t="shared" si="46"/>
        <v>适中</v>
      </c>
      <c r="AB171" t="str">
        <f t="shared" si="47"/>
        <v>有效</v>
      </c>
      <c r="AC171" t="str">
        <f t="shared" si="48"/>
        <v>不降</v>
      </c>
      <c r="AD171" t="s">
        <v>5862</v>
      </c>
      <c r="AE171" s="4">
        <v>4930</v>
      </c>
      <c r="AF171" s="4">
        <f>INDEX(_统一战力!$B$2:$B$501,J171)</f>
        <v>7220</v>
      </c>
    </row>
    <row r="172" spans="1:32">
      <c r="A172" t="s">
        <v>5548</v>
      </c>
      <c r="B172" t="s">
        <v>5804</v>
      </c>
      <c r="C172" t="s">
        <v>6089</v>
      </c>
      <c r="D172" t="s">
        <v>6090</v>
      </c>
      <c r="E172" t="s">
        <v>6102</v>
      </c>
      <c r="F172" t="s">
        <v>154</v>
      </c>
      <c r="G172">
        <v>7</v>
      </c>
      <c r="I172">
        <f t="shared" si="40"/>
        <v>7</v>
      </c>
      <c r="J172">
        <v>14</v>
      </c>
      <c r="K172" s="23">
        <v>1.04759016676984</v>
      </c>
      <c r="L172" s="23">
        <v>0.82469512195122</v>
      </c>
      <c r="M172" s="23">
        <v>1</v>
      </c>
      <c r="N172">
        <v>1</v>
      </c>
      <c r="O172">
        <v>1</v>
      </c>
      <c r="P172" s="18">
        <v>0.418858868567819</v>
      </c>
      <c r="Q172" s="24">
        <f>IF($I172="","",IFERROR(INDEX(_玩家曲线!$H$2:$H$286,MATCH($I172,_玩家曲线!$A$2:$A$286,0)),""))</f>
        <v>4945.43127875686</v>
      </c>
      <c r="R172" s="24">
        <f>IF($I172="","",IFERROR(INDEX(_玩家曲线!$I$2:$I$286,MATCH($I172,_玩家曲线!$A$2:$A$286,0)),""))</f>
        <v>17028.3595053211</v>
      </c>
      <c r="S172" s="24">
        <f>IF(OR($J172="",$F172="不适用"),"",IFERROR(INDEX(_怪物模型!$D$2:$D$4501,(INT($J172)-1)*ROWS(_怪物类型!$A$2:$A$10)+MATCH($F172,_怪物类型!$A$2:$A$10,0))*IF($K172="",1,$K172),""))</f>
        <v>1984.13577586208</v>
      </c>
      <c r="T172" s="24">
        <f>IF(OR($J172="",$F172="不适用"),"",IFERROR(INDEX(_怪物模型!$E$2:$E$4501,(INT($J172)-1)*ROWS(_怪物类型!$A$2:$A$10)+MATCH($F172,_怪物类型!$A$2:$A$10,0))*IF($L172="",1,$L172),""))</f>
        <v>541</v>
      </c>
      <c r="U172" s="24">
        <f>IF(OR($J172="",$F172="不适用"),"",IFERROR(INDEX(_怪物模型!$F$2:$F$4501,(INT($J172)-1)*ROWS(_怪物类型!$A$2:$A$10)+MATCH($F172,_怪物类型!$A$2:$A$10,0))*IF($M172="",1,$M172),""))</f>
        <v>1056</v>
      </c>
      <c r="V172" s="6">
        <f t="shared" si="41"/>
        <v>0.0421455938697318</v>
      </c>
      <c r="W172" s="24">
        <f t="shared" si="42"/>
        <v>2071.43775000001</v>
      </c>
      <c r="X172" s="18">
        <f t="shared" si="43"/>
        <v>0.418858868567821</v>
      </c>
      <c r="Y172" s="18">
        <f t="shared" si="44"/>
        <v>31.4757107307229</v>
      </c>
      <c r="Z172" s="18">
        <f t="shared" si="45"/>
        <v>1</v>
      </c>
      <c r="AA172" t="str">
        <f t="shared" si="46"/>
        <v>适中</v>
      </c>
      <c r="AB172" t="str">
        <f t="shared" si="47"/>
        <v>有效</v>
      </c>
      <c r="AC172" t="str">
        <f t="shared" si="48"/>
        <v>不降</v>
      </c>
      <c r="AD172" t="s">
        <v>5862</v>
      </c>
      <c r="AE172" s="4">
        <v>4930</v>
      </c>
      <c r="AF172" s="4">
        <f>INDEX(_统一战力!$B$2:$B$501,J172)</f>
        <v>7220</v>
      </c>
    </row>
    <row r="173" spans="1:32">
      <c r="A173" t="s">
        <v>5548</v>
      </c>
      <c r="B173" t="s">
        <v>5804</v>
      </c>
      <c r="C173" t="s">
        <v>6089</v>
      </c>
      <c r="D173" t="s">
        <v>6090</v>
      </c>
      <c r="E173" t="s">
        <v>6103</v>
      </c>
      <c r="F173" t="s">
        <v>154</v>
      </c>
      <c r="G173">
        <v>7</v>
      </c>
      <c r="I173">
        <f t="shared" si="40"/>
        <v>7</v>
      </c>
      <c r="J173">
        <v>14</v>
      </c>
      <c r="K173" s="23">
        <v>1.04759016676984</v>
      </c>
      <c r="L173" s="23">
        <v>0.82469512195122</v>
      </c>
      <c r="M173" s="23">
        <v>1</v>
      </c>
      <c r="N173">
        <v>1</v>
      </c>
      <c r="O173">
        <v>1</v>
      </c>
      <c r="P173" s="18">
        <v>0.418858868567819</v>
      </c>
      <c r="Q173" s="24">
        <f>IF($I173="","",IFERROR(INDEX(_玩家曲线!$H$2:$H$286,MATCH($I173,_玩家曲线!$A$2:$A$286,0)),""))</f>
        <v>4945.43127875686</v>
      </c>
      <c r="R173" s="24">
        <f>IF($I173="","",IFERROR(INDEX(_玩家曲线!$I$2:$I$286,MATCH($I173,_玩家曲线!$A$2:$A$286,0)),""))</f>
        <v>17028.3595053211</v>
      </c>
      <c r="S173" s="24">
        <f>IF(OR($J173="",$F173="不适用"),"",IFERROR(INDEX(_怪物模型!$D$2:$D$4501,(INT($J173)-1)*ROWS(_怪物类型!$A$2:$A$10)+MATCH($F173,_怪物类型!$A$2:$A$10,0))*IF($K173="",1,$K173),""))</f>
        <v>1984.13577586208</v>
      </c>
      <c r="T173" s="24">
        <f>IF(OR($J173="",$F173="不适用"),"",IFERROR(INDEX(_怪物模型!$E$2:$E$4501,(INT($J173)-1)*ROWS(_怪物类型!$A$2:$A$10)+MATCH($F173,_怪物类型!$A$2:$A$10,0))*IF($L173="",1,$L173),""))</f>
        <v>541</v>
      </c>
      <c r="U173" s="24">
        <f>IF(OR($J173="",$F173="不适用"),"",IFERROR(INDEX(_怪物模型!$F$2:$F$4501,(INT($J173)-1)*ROWS(_怪物类型!$A$2:$A$10)+MATCH($F173,_怪物类型!$A$2:$A$10,0))*IF($M173="",1,$M173),""))</f>
        <v>1056</v>
      </c>
      <c r="V173" s="6">
        <f t="shared" si="41"/>
        <v>0.0421455938697318</v>
      </c>
      <c r="W173" s="24">
        <f t="shared" si="42"/>
        <v>2071.43775000001</v>
      </c>
      <c r="X173" s="18">
        <f t="shared" si="43"/>
        <v>0.418858868567821</v>
      </c>
      <c r="Y173" s="18">
        <f t="shared" si="44"/>
        <v>31.4757107307229</v>
      </c>
      <c r="Z173" s="18">
        <f t="shared" si="45"/>
        <v>1</v>
      </c>
      <c r="AA173" t="str">
        <f t="shared" si="46"/>
        <v>适中</v>
      </c>
      <c r="AB173" t="str">
        <f t="shared" si="47"/>
        <v>有效</v>
      </c>
      <c r="AC173" t="str">
        <f t="shared" si="48"/>
        <v>不降</v>
      </c>
      <c r="AD173" t="s">
        <v>5862</v>
      </c>
      <c r="AE173" s="4">
        <v>4930</v>
      </c>
      <c r="AF173" s="4">
        <f>INDEX(_统一战力!$B$2:$B$501,J173)</f>
        <v>7220</v>
      </c>
    </row>
    <row r="174" spans="1:32">
      <c r="A174" t="s">
        <v>5548</v>
      </c>
      <c r="B174" t="s">
        <v>5804</v>
      </c>
      <c r="C174" t="s">
        <v>6089</v>
      </c>
      <c r="D174" t="s">
        <v>6090</v>
      </c>
      <c r="E174" t="s">
        <v>6104</v>
      </c>
      <c r="F174" t="s">
        <v>154</v>
      </c>
      <c r="G174">
        <v>7</v>
      </c>
      <c r="I174">
        <f t="shared" si="40"/>
        <v>7</v>
      </c>
      <c r="J174">
        <v>14</v>
      </c>
      <c r="K174" s="23">
        <v>1.04759016676984</v>
      </c>
      <c r="L174" s="23">
        <v>0.82469512195122</v>
      </c>
      <c r="M174" s="23">
        <v>1</v>
      </c>
      <c r="N174">
        <v>1</v>
      </c>
      <c r="O174">
        <v>1</v>
      </c>
      <c r="P174" s="18">
        <v>0.418858868567819</v>
      </c>
      <c r="Q174" s="24">
        <f>IF($I174="","",IFERROR(INDEX(_玩家曲线!$H$2:$H$286,MATCH($I174,_玩家曲线!$A$2:$A$286,0)),""))</f>
        <v>4945.43127875686</v>
      </c>
      <c r="R174" s="24">
        <f>IF($I174="","",IFERROR(INDEX(_玩家曲线!$I$2:$I$286,MATCH($I174,_玩家曲线!$A$2:$A$286,0)),""))</f>
        <v>17028.3595053211</v>
      </c>
      <c r="S174" s="24">
        <f>IF(OR($J174="",$F174="不适用"),"",IFERROR(INDEX(_怪物模型!$D$2:$D$4501,(INT($J174)-1)*ROWS(_怪物类型!$A$2:$A$10)+MATCH($F174,_怪物类型!$A$2:$A$10,0))*IF($K174="",1,$K174),""))</f>
        <v>1984.13577586208</v>
      </c>
      <c r="T174" s="24">
        <f>IF(OR($J174="",$F174="不适用"),"",IFERROR(INDEX(_怪物模型!$E$2:$E$4501,(INT($J174)-1)*ROWS(_怪物类型!$A$2:$A$10)+MATCH($F174,_怪物类型!$A$2:$A$10,0))*IF($L174="",1,$L174),""))</f>
        <v>541</v>
      </c>
      <c r="U174" s="24">
        <f>IF(OR($J174="",$F174="不适用"),"",IFERROR(INDEX(_怪物模型!$F$2:$F$4501,(INT($J174)-1)*ROWS(_怪物类型!$A$2:$A$10)+MATCH($F174,_怪物类型!$A$2:$A$10,0))*IF($M174="",1,$M174),""))</f>
        <v>1056</v>
      </c>
      <c r="V174" s="6">
        <f t="shared" si="41"/>
        <v>0.0421455938697318</v>
      </c>
      <c r="W174" s="24">
        <f t="shared" si="42"/>
        <v>2071.43775000001</v>
      </c>
      <c r="X174" s="18">
        <f t="shared" si="43"/>
        <v>0.418858868567821</v>
      </c>
      <c r="Y174" s="18">
        <f t="shared" si="44"/>
        <v>31.4757107307229</v>
      </c>
      <c r="Z174" s="18">
        <f t="shared" si="45"/>
        <v>1</v>
      </c>
      <c r="AA174" t="str">
        <f t="shared" si="46"/>
        <v>适中</v>
      </c>
      <c r="AB174" t="str">
        <f t="shared" si="47"/>
        <v>有效</v>
      </c>
      <c r="AC174" t="str">
        <f t="shared" si="48"/>
        <v>不降</v>
      </c>
      <c r="AD174" t="s">
        <v>5862</v>
      </c>
      <c r="AE174" s="4">
        <v>4930</v>
      </c>
      <c r="AF174" s="4">
        <f>INDEX(_统一战力!$B$2:$B$501,J174)</f>
        <v>7220</v>
      </c>
    </row>
    <row r="175" spans="1:32">
      <c r="A175" t="s">
        <v>5548</v>
      </c>
      <c r="B175" t="s">
        <v>5804</v>
      </c>
      <c r="C175" t="s">
        <v>6089</v>
      </c>
      <c r="D175" t="s">
        <v>6090</v>
      </c>
      <c r="E175" t="s">
        <v>6105</v>
      </c>
      <c r="F175" t="s">
        <v>154</v>
      </c>
      <c r="G175">
        <v>7</v>
      </c>
      <c r="I175">
        <f t="shared" si="40"/>
        <v>7</v>
      </c>
      <c r="J175">
        <v>14</v>
      </c>
      <c r="K175" s="23">
        <v>1.04759016676984</v>
      </c>
      <c r="L175" s="23">
        <v>0.82469512195122</v>
      </c>
      <c r="M175" s="23">
        <v>1</v>
      </c>
      <c r="N175">
        <v>1</v>
      </c>
      <c r="O175">
        <v>1</v>
      </c>
      <c r="P175" s="18">
        <v>0.418858868567819</v>
      </c>
      <c r="Q175" s="24">
        <f>IF($I175="","",IFERROR(INDEX(_玩家曲线!$H$2:$H$286,MATCH($I175,_玩家曲线!$A$2:$A$286,0)),""))</f>
        <v>4945.43127875686</v>
      </c>
      <c r="R175" s="24">
        <f>IF($I175="","",IFERROR(INDEX(_玩家曲线!$I$2:$I$286,MATCH($I175,_玩家曲线!$A$2:$A$286,0)),""))</f>
        <v>17028.3595053211</v>
      </c>
      <c r="S175" s="24">
        <f>IF(OR($J175="",$F175="不适用"),"",IFERROR(INDEX(_怪物模型!$D$2:$D$4501,(INT($J175)-1)*ROWS(_怪物类型!$A$2:$A$10)+MATCH($F175,_怪物类型!$A$2:$A$10,0))*IF($K175="",1,$K175),""))</f>
        <v>1984.13577586208</v>
      </c>
      <c r="T175" s="24">
        <f>IF(OR($J175="",$F175="不适用"),"",IFERROR(INDEX(_怪物模型!$E$2:$E$4501,(INT($J175)-1)*ROWS(_怪物类型!$A$2:$A$10)+MATCH($F175,_怪物类型!$A$2:$A$10,0))*IF($L175="",1,$L175),""))</f>
        <v>541</v>
      </c>
      <c r="U175" s="24">
        <f>IF(OR($J175="",$F175="不适用"),"",IFERROR(INDEX(_怪物模型!$F$2:$F$4501,(INT($J175)-1)*ROWS(_怪物类型!$A$2:$A$10)+MATCH($F175,_怪物类型!$A$2:$A$10,0))*IF($M175="",1,$M175),""))</f>
        <v>1056</v>
      </c>
      <c r="V175" s="6">
        <f t="shared" si="41"/>
        <v>0.0421455938697318</v>
      </c>
      <c r="W175" s="24">
        <f t="shared" si="42"/>
        <v>2071.43775000001</v>
      </c>
      <c r="X175" s="18">
        <f t="shared" si="43"/>
        <v>0.418858868567821</v>
      </c>
      <c r="Y175" s="18">
        <f t="shared" si="44"/>
        <v>31.4757107307229</v>
      </c>
      <c r="Z175" s="18">
        <f t="shared" si="45"/>
        <v>1</v>
      </c>
      <c r="AA175" t="str">
        <f t="shared" si="46"/>
        <v>适中</v>
      </c>
      <c r="AB175" t="str">
        <f t="shared" si="47"/>
        <v>有效</v>
      </c>
      <c r="AC175" t="str">
        <f t="shared" si="48"/>
        <v>不降</v>
      </c>
      <c r="AD175" t="s">
        <v>5862</v>
      </c>
      <c r="AE175" s="4">
        <v>4930</v>
      </c>
      <c r="AF175" s="4">
        <f>INDEX(_统一战力!$B$2:$B$501,J175)</f>
        <v>7220</v>
      </c>
    </row>
    <row r="176" spans="1:32">
      <c r="A176" t="s">
        <v>5548</v>
      </c>
      <c r="B176" t="s">
        <v>5804</v>
      </c>
      <c r="C176" t="s">
        <v>6089</v>
      </c>
      <c r="D176" t="s">
        <v>6090</v>
      </c>
      <c r="E176" t="s">
        <v>6106</v>
      </c>
      <c r="F176" t="s">
        <v>154</v>
      </c>
      <c r="G176">
        <v>7</v>
      </c>
      <c r="I176">
        <f t="shared" si="40"/>
        <v>7</v>
      </c>
      <c r="J176">
        <v>14</v>
      </c>
      <c r="K176" s="23">
        <v>1.04759016676984</v>
      </c>
      <c r="L176" s="23">
        <v>0.82469512195122</v>
      </c>
      <c r="M176" s="23">
        <v>1</v>
      </c>
      <c r="N176">
        <v>1</v>
      </c>
      <c r="O176">
        <v>1</v>
      </c>
      <c r="P176" s="18">
        <v>0.418858868567819</v>
      </c>
      <c r="Q176" s="24">
        <f>IF($I176="","",IFERROR(INDEX(_玩家曲线!$H$2:$H$286,MATCH($I176,_玩家曲线!$A$2:$A$286,0)),""))</f>
        <v>4945.43127875686</v>
      </c>
      <c r="R176" s="24">
        <f>IF($I176="","",IFERROR(INDEX(_玩家曲线!$I$2:$I$286,MATCH($I176,_玩家曲线!$A$2:$A$286,0)),""))</f>
        <v>17028.3595053211</v>
      </c>
      <c r="S176" s="24">
        <f>IF(OR($J176="",$F176="不适用"),"",IFERROR(INDEX(_怪物模型!$D$2:$D$4501,(INT($J176)-1)*ROWS(_怪物类型!$A$2:$A$10)+MATCH($F176,_怪物类型!$A$2:$A$10,0))*IF($K176="",1,$K176),""))</f>
        <v>1984.13577586208</v>
      </c>
      <c r="T176" s="24">
        <f>IF(OR($J176="",$F176="不适用"),"",IFERROR(INDEX(_怪物模型!$E$2:$E$4501,(INT($J176)-1)*ROWS(_怪物类型!$A$2:$A$10)+MATCH($F176,_怪物类型!$A$2:$A$10,0))*IF($L176="",1,$L176),""))</f>
        <v>541</v>
      </c>
      <c r="U176" s="24">
        <f>IF(OR($J176="",$F176="不适用"),"",IFERROR(INDEX(_怪物模型!$F$2:$F$4501,(INT($J176)-1)*ROWS(_怪物类型!$A$2:$A$10)+MATCH($F176,_怪物类型!$A$2:$A$10,0))*IF($M176="",1,$M176),""))</f>
        <v>1056</v>
      </c>
      <c r="V176" s="6">
        <f t="shared" si="41"/>
        <v>0.0421455938697318</v>
      </c>
      <c r="W176" s="24">
        <f t="shared" si="42"/>
        <v>2071.43775000001</v>
      </c>
      <c r="X176" s="18">
        <f t="shared" si="43"/>
        <v>0.418858868567821</v>
      </c>
      <c r="Y176" s="18">
        <f t="shared" si="44"/>
        <v>31.4757107307229</v>
      </c>
      <c r="Z176" s="18">
        <f t="shared" si="45"/>
        <v>1</v>
      </c>
      <c r="AA176" t="str">
        <f t="shared" si="46"/>
        <v>适中</v>
      </c>
      <c r="AB176" t="str">
        <f t="shared" si="47"/>
        <v>有效</v>
      </c>
      <c r="AC176" t="str">
        <f t="shared" si="48"/>
        <v>不降</v>
      </c>
      <c r="AD176" t="s">
        <v>5862</v>
      </c>
      <c r="AE176" s="4">
        <v>4930</v>
      </c>
      <c r="AF176" s="4">
        <f>INDEX(_统一战力!$B$2:$B$501,J176)</f>
        <v>7220</v>
      </c>
    </row>
    <row r="177" spans="1:32">
      <c r="A177" t="s">
        <v>5548</v>
      </c>
      <c r="B177" t="s">
        <v>5804</v>
      </c>
      <c r="C177" t="s">
        <v>6089</v>
      </c>
      <c r="D177" t="s">
        <v>6090</v>
      </c>
      <c r="E177" t="s">
        <v>6107</v>
      </c>
      <c r="F177" t="s">
        <v>154</v>
      </c>
      <c r="G177">
        <v>7</v>
      </c>
      <c r="I177">
        <f t="shared" si="40"/>
        <v>7</v>
      </c>
      <c r="J177">
        <v>14</v>
      </c>
      <c r="K177" s="23">
        <v>1.04759016676984</v>
      </c>
      <c r="L177" s="23">
        <v>0.82469512195122</v>
      </c>
      <c r="M177" s="23">
        <v>1</v>
      </c>
      <c r="N177">
        <v>1</v>
      </c>
      <c r="O177">
        <v>1</v>
      </c>
      <c r="P177" s="18">
        <v>0.418858868567819</v>
      </c>
      <c r="Q177" s="24">
        <f>IF($I177="","",IFERROR(INDEX(_玩家曲线!$H$2:$H$286,MATCH($I177,_玩家曲线!$A$2:$A$286,0)),""))</f>
        <v>4945.43127875686</v>
      </c>
      <c r="R177" s="24">
        <f>IF($I177="","",IFERROR(INDEX(_玩家曲线!$I$2:$I$286,MATCH($I177,_玩家曲线!$A$2:$A$286,0)),""))</f>
        <v>17028.3595053211</v>
      </c>
      <c r="S177" s="24">
        <f>IF(OR($J177="",$F177="不适用"),"",IFERROR(INDEX(_怪物模型!$D$2:$D$4501,(INT($J177)-1)*ROWS(_怪物类型!$A$2:$A$10)+MATCH($F177,_怪物类型!$A$2:$A$10,0))*IF($K177="",1,$K177),""))</f>
        <v>1984.13577586208</v>
      </c>
      <c r="T177" s="24">
        <f>IF(OR($J177="",$F177="不适用"),"",IFERROR(INDEX(_怪物模型!$E$2:$E$4501,(INT($J177)-1)*ROWS(_怪物类型!$A$2:$A$10)+MATCH($F177,_怪物类型!$A$2:$A$10,0))*IF($L177="",1,$L177),""))</f>
        <v>541</v>
      </c>
      <c r="U177" s="24">
        <f>IF(OR($J177="",$F177="不适用"),"",IFERROR(INDEX(_怪物模型!$F$2:$F$4501,(INT($J177)-1)*ROWS(_怪物类型!$A$2:$A$10)+MATCH($F177,_怪物类型!$A$2:$A$10,0))*IF($M177="",1,$M177),""))</f>
        <v>1056</v>
      </c>
      <c r="V177" s="6">
        <f t="shared" si="41"/>
        <v>0.0421455938697318</v>
      </c>
      <c r="W177" s="24">
        <f t="shared" si="42"/>
        <v>2071.43775000001</v>
      </c>
      <c r="X177" s="18">
        <f t="shared" si="43"/>
        <v>0.418858868567821</v>
      </c>
      <c r="Y177" s="18">
        <f t="shared" si="44"/>
        <v>31.4757107307229</v>
      </c>
      <c r="Z177" s="18">
        <f t="shared" si="45"/>
        <v>1</v>
      </c>
      <c r="AA177" t="str">
        <f t="shared" si="46"/>
        <v>适中</v>
      </c>
      <c r="AB177" t="str">
        <f t="shared" si="47"/>
        <v>有效</v>
      </c>
      <c r="AC177" t="str">
        <f t="shared" si="48"/>
        <v>不降</v>
      </c>
      <c r="AD177" t="s">
        <v>5862</v>
      </c>
      <c r="AE177" s="4">
        <v>4930</v>
      </c>
      <c r="AF177" s="4">
        <f>INDEX(_统一战力!$B$2:$B$501,J177)</f>
        <v>7220</v>
      </c>
    </row>
    <row r="178" spans="1:32">
      <c r="A178" t="s">
        <v>5548</v>
      </c>
      <c r="B178" t="s">
        <v>5804</v>
      </c>
      <c r="C178" t="s">
        <v>6089</v>
      </c>
      <c r="D178" t="s">
        <v>6108</v>
      </c>
      <c r="E178" t="s">
        <v>6109</v>
      </c>
      <c r="F178" t="s">
        <v>154</v>
      </c>
      <c r="G178">
        <v>7</v>
      </c>
      <c r="I178">
        <f t="shared" si="40"/>
        <v>7</v>
      </c>
      <c r="J178">
        <v>14</v>
      </c>
      <c r="K178" s="23">
        <v>1.04759016676984</v>
      </c>
      <c r="L178" s="23">
        <v>0.82469512195122</v>
      </c>
      <c r="M178" s="23">
        <v>1</v>
      </c>
      <c r="N178">
        <v>1</v>
      </c>
      <c r="O178">
        <v>1</v>
      </c>
      <c r="P178" s="18">
        <v>0.418858868567819</v>
      </c>
      <c r="Q178" s="24">
        <f>IF($I178="","",IFERROR(INDEX(_玩家曲线!$H$2:$H$286,MATCH($I178,_玩家曲线!$A$2:$A$286,0)),""))</f>
        <v>4945.43127875686</v>
      </c>
      <c r="R178" s="24">
        <f>IF($I178="","",IFERROR(INDEX(_玩家曲线!$I$2:$I$286,MATCH($I178,_玩家曲线!$A$2:$A$286,0)),""))</f>
        <v>17028.3595053211</v>
      </c>
      <c r="S178" s="24">
        <f>IF(OR($J178="",$F178="不适用"),"",IFERROR(INDEX(_怪物模型!$D$2:$D$4501,(INT($J178)-1)*ROWS(_怪物类型!$A$2:$A$10)+MATCH($F178,_怪物类型!$A$2:$A$10,0))*IF($K178="",1,$K178),""))</f>
        <v>1984.13577586208</v>
      </c>
      <c r="T178" s="24">
        <f>IF(OR($J178="",$F178="不适用"),"",IFERROR(INDEX(_怪物模型!$E$2:$E$4501,(INT($J178)-1)*ROWS(_怪物类型!$A$2:$A$10)+MATCH($F178,_怪物类型!$A$2:$A$10,0))*IF($L178="",1,$L178),""))</f>
        <v>541</v>
      </c>
      <c r="U178" s="24">
        <f>IF(OR($J178="",$F178="不适用"),"",IFERROR(INDEX(_怪物模型!$F$2:$F$4501,(INT($J178)-1)*ROWS(_怪物类型!$A$2:$A$10)+MATCH($F178,_怪物类型!$A$2:$A$10,0))*IF($M178="",1,$M178),""))</f>
        <v>1056</v>
      </c>
      <c r="V178" s="6">
        <f t="shared" si="41"/>
        <v>0.0421455938697318</v>
      </c>
      <c r="W178" s="24">
        <f t="shared" si="42"/>
        <v>2071.43775000001</v>
      </c>
      <c r="X178" s="18">
        <f t="shared" si="43"/>
        <v>0.418858868567821</v>
      </c>
      <c r="Y178" s="18">
        <f t="shared" si="44"/>
        <v>31.4757107307229</v>
      </c>
      <c r="Z178" s="18">
        <f t="shared" si="45"/>
        <v>1</v>
      </c>
      <c r="AA178" t="str">
        <f t="shared" si="46"/>
        <v>适中</v>
      </c>
      <c r="AB178" t="str">
        <f t="shared" si="47"/>
        <v>有效</v>
      </c>
      <c r="AC178" t="str">
        <f t="shared" si="48"/>
        <v>不降</v>
      </c>
      <c r="AD178" t="s">
        <v>5862</v>
      </c>
      <c r="AE178" s="4">
        <v>4930</v>
      </c>
      <c r="AF178" s="4">
        <f>INDEX(_统一战力!$B$2:$B$501,J178)</f>
        <v>7220</v>
      </c>
    </row>
    <row r="179" spans="1:32">
      <c r="A179" t="s">
        <v>5548</v>
      </c>
      <c r="B179" t="s">
        <v>5804</v>
      </c>
      <c r="C179" t="s">
        <v>6089</v>
      </c>
      <c r="D179" t="s">
        <v>6108</v>
      </c>
      <c r="E179" t="s">
        <v>6110</v>
      </c>
      <c r="F179" t="s">
        <v>154</v>
      </c>
      <c r="G179">
        <v>7</v>
      </c>
      <c r="I179">
        <f t="shared" si="40"/>
        <v>7</v>
      </c>
      <c r="J179">
        <v>14</v>
      </c>
      <c r="K179" s="23">
        <v>1.04759016676984</v>
      </c>
      <c r="L179" s="23">
        <v>0.82469512195122</v>
      </c>
      <c r="M179" s="23">
        <v>1</v>
      </c>
      <c r="N179">
        <v>1</v>
      </c>
      <c r="O179">
        <v>1</v>
      </c>
      <c r="P179" s="18">
        <v>0.418858868567819</v>
      </c>
      <c r="Q179" s="24">
        <f>IF($I179="","",IFERROR(INDEX(_玩家曲线!$H$2:$H$286,MATCH($I179,_玩家曲线!$A$2:$A$286,0)),""))</f>
        <v>4945.43127875686</v>
      </c>
      <c r="R179" s="24">
        <f>IF($I179="","",IFERROR(INDEX(_玩家曲线!$I$2:$I$286,MATCH($I179,_玩家曲线!$A$2:$A$286,0)),""))</f>
        <v>17028.3595053211</v>
      </c>
      <c r="S179" s="24">
        <f>IF(OR($J179="",$F179="不适用"),"",IFERROR(INDEX(_怪物模型!$D$2:$D$4501,(INT($J179)-1)*ROWS(_怪物类型!$A$2:$A$10)+MATCH($F179,_怪物类型!$A$2:$A$10,0))*IF($K179="",1,$K179),""))</f>
        <v>1984.13577586208</v>
      </c>
      <c r="T179" s="24">
        <f>IF(OR($J179="",$F179="不适用"),"",IFERROR(INDEX(_怪物模型!$E$2:$E$4501,(INT($J179)-1)*ROWS(_怪物类型!$A$2:$A$10)+MATCH($F179,_怪物类型!$A$2:$A$10,0))*IF($L179="",1,$L179),""))</f>
        <v>541</v>
      </c>
      <c r="U179" s="24">
        <f>IF(OR($J179="",$F179="不适用"),"",IFERROR(INDEX(_怪物模型!$F$2:$F$4501,(INT($J179)-1)*ROWS(_怪物类型!$A$2:$A$10)+MATCH($F179,_怪物类型!$A$2:$A$10,0))*IF($M179="",1,$M179),""))</f>
        <v>1056</v>
      </c>
      <c r="V179" s="6">
        <f t="shared" si="41"/>
        <v>0.0421455938697318</v>
      </c>
      <c r="W179" s="24">
        <f t="shared" si="42"/>
        <v>2071.43775000001</v>
      </c>
      <c r="X179" s="18">
        <f t="shared" si="43"/>
        <v>0.418858868567821</v>
      </c>
      <c r="Y179" s="18">
        <f t="shared" si="44"/>
        <v>31.4757107307229</v>
      </c>
      <c r="Z179" s="18">
        <f t="shared" si="45"/>
        <v>1</v>
      </c>
      <c r="AA179" t="str">
        <f t="shared" si="46"/>
        <v>适中</v>
      </c>
      <c r="AB179" t="str">
        <f t="shared" si="47"/>
        <v>有效</v>
      </c>
      <c r="AC179" t="str">
        <f t="shared" si="48"/>
        <v>不降</v>
      </c>
      <c r="AD179" t="s">
        <v>5862</v>
      </c>
      <c r="AE179" s="4">
        <v>4930</v>
      </c>
      <c r="AF179" s="4">
        <f>INDEX(_统一战力!$B$2:$B$501,J179)</f>
        <v>7220</v>
      </c>
    </row>
    <row r="180" spans="1:32">
      <c r="A180" t="s">
        <v>5548</v>
      </c>
      <c r="B180" t="s">
        <v>5804</v>
      </c>
      <c r="C180" t="s">
        <v>6089</v>
      </c>
      <c r="D180" t="s">
        <v>6108</v>
      </c>
      <c r="E180" t="s">
        <v>6111</v>
      </c>
      <c r="F180" t="s">
        <v>154</v>
      </c>
      <c r="G180">
        <v>7</v>
      </c>
      <c r="I180">
        <f t="shared" si="40"/>
        <v>7</v>
      </c>
      <c r="J180">
        <v>14</v>
      </c>
      <c r="K180" s="23">
        <v>1.04759016676984</v>
      </c>
      <c r="L180" s="23">
        <v>0.82469512195122</v>
      </c>
      <c r="M180" s="23">
        <v>1</v>
      </c>
      <c r="N180">
        <v>1</v>
      </c>
      <c r="O180">
        <v>1</v>
      </c>
      <c r="P180" s="18">
        <v>0.418858868567819</v>
      </c>
      <c r="Q180" s="24">
        <f>IF($I180="","",IFERROR(INDEX(_玩家曲线!$H$2:$H$286,MATCH($I180,_玩家曲线!$A$2:$A$286,0)),""))</f>
        <v>4945.43127875686</v>
      </c>
      <c r="R180" s="24">
        <f>IF($I180="","",IFERROR(INDEX(_玩家曲线!$I$2:$I$286,MATCH($I180,_玩家曲线!$A$2:$A$286,0)),""))</f>
        <v>17028.3595053211</v>
      </c>
      <c r="S180" s="24">
        <f>IF(OR($J180="",$F180="不适用"),"",IFERROR(INDEX(_怪物模型!$D$2:$D$4501,(INT($J180)-1)*ROWS(_怪物类型!$A$2:$A$10)+MATCH($F180,_怪物类型!$A$2:$A$10,0))*IF($K180="",1,$K180),""))</f>
        <v>1984.13577586208</v>
      </c>
      <c r="T180" s="24">
        <f>IF(OR($J180="",$F180="不适用"),"",IFERROR(INDEX(_怪物模型!$E$2:$E$4501,(INT($J180)-1)*ROWS(_怪物类型!$A$2:$A$10)+MATCH($F180,_怪物类型!$A$2:$A$10,0))*IF($L180="",1,$L180),""))</f>
        <v>541</v>
      </c>
      <c r="U180" s="24">
        <f>IF(OR($J180="",$F180="不适用"),"",IFERROR(INDEX(_怪物模型!$F$2:$F$4501,(INT($J180)-1)*ROWS(_怪物类型!$A$2:$A$10)+MATCH($F180,_怪物类型!$A$2:$A$10,0))*IF($M180="",1,$M180),""))</f>
        <v>1056</v>
      </c>
      <c r="V180" s="6">
        <f t="shared" si="41"/>
        <v>0.0421455938697318</v>
      </c>
      <c r="W180" s="24">
        <f t="shared" si="42"/>
        <v>2071.43775000001</v>
      </c>
      <c r="X180" s="18">
        <f t="shared" si="43"/>
        <v>0.418858868567821</v>
      </c>
      <c r="Y180" s="18">
        <f t="shared" si="44"/>
        <v>31.4757107307229</v>
      </c>
      <c r="Z180" s="18">
        <f t="shared" si="45"/>
        <v>1</v>
      </c>
      <c r="AA180" t="str">
        <f t="shared" si="46"/>
        <v>适中</v>
      </c>
      <c r="AB180" t="str">
        <f t="shared" si="47"/>
        <v>有效</v>
      </c>
      <c r="AC180" t="str">
        <f t="shared" si="48"/>
        <v>不降</v>
      </c>
      <c r="AD180" t="s">
        <v>5862</v>
      </c>
      <c r="AE180" s="4">
        <v>4930</v>
      </c>
      <c r="AF180" s="4">
        <f>INDEX(_统一战力!$B$2:$B$501,J180)</f>
        <v>7220</v>
      </c>
    </row>
    <row r="181" spans="1:32">
      <c r="A181" t="s">
        <v>5548</v>
      </c>
      <c r="B181" t="s">
        <v>5804</v>
      </c>
      <c r="C181" t="s">
        <v>6089</v>
      </c>
      <c r="D181" t="s">
        <v>6108</v>
      </c>
      <c r="E181" t="s">
        <v>6112</v>
      </c>
      <c r="F181" t="s">
        <v>154</v>
      </c>
      <c r="G181">
        <v>7</v>
      </c>
      <c r="I181">
        <f t="shared" si="40"/>
        <v>7</v>
      </c>
      <c r="J181">
        <v>14</v>
      </c>
      <c r="K181" s="23">
        <v>1.04759016676984</v>
      </c>
      <c r="L181" s="23">
        <v>0.82469512195122</v>
      </c>
      <c r="M181" s="23">
        <v>1</v>
      </c>
      <c r="N181">
        <v>1</v>
      </c>
      <c r="O181">
        <v>1</v>
      </c>
      <c r="P181" s="18">
        <v>0.418858868567819</v>
      </c>
      <c r="Q181" s="24">
        <f>IF($I181="","",IFERROR(INDEX(_玩家曲线!$H$2:$H$286,MATCH($I181,_玩家曲线!$A$2:$A$286,0)),""))</f>
        <v>4945.43127875686</v>
      </c>
      <c r="R181" s="24">
        <f>IF($I181="","",IFERROR(INDEX(_玩家曲线!$I$2:$I$286,MATCH($I181,_玩家曲线!$A$2:$A$286,0)),""))</f>
        <v>17028.3595053211</v>
      </c>
      <c r="S181" s="24">
        <f>IF(OR($J181="",$F181="不适用"),"",IFERROR(INDEX(_怪物模型!$D$2:$D$4501,(INT($J181)-1)*ROWS(_怪物类型!$A$2:$A$10)+MATCH($F181,_怪物类型!$A$2:$A$10,0))*IF($K181="",1,$K181),""))</f>
        <v>1984.13577586208</v>
      </c>
      <c r="T181" s="24">
        <f>IF(OR($J181="",$F181="不适用"),"",IFERROR(INDEX(_怪物模型!$E$2:$E$4501,(INT($J181)-1)*ROWS(_怪物类型!$A$2:$A$10)+MATCH($F181,_怪物类型!$A$2:$A$10,0))*IF($L181="",1,$L181),""))</f>
        <v>541</v>
      </c>
      <c r="U181" s="24">
        <f>IF(OR($J181="",$F181="不适用"),"",IFERROR(INDEX(_怪物模型!$F$2:$F$4501,(INT($J181)-1)*ROWS(_怪物类型!$A$2:$A$10)+MATCH($F181,_怪物类型!$A$2:$A$10,0))*IF($M181="",1,$M181),""))</f>
        <v>1056</v>
      </c>
      <c r="V181" s="6">
        <f t="shared" si="41"/>
        <v>0.0421455938697318</v>
      </c>
      <c r="W181" s="24">
        <f t="shared" si="42"/>
        <v>2071.43775000001</v>
      </c>
      <c r="X181" s="18">
        <f t="shared" si="43"/>
        <v>0.418858868567821</v>
      </c>
      <c r="Y181" s="18">
        <f t="shared" si="44"/>
        <v>31.4757107307229</v>
      </c>
      <c r="Z181" s="18">
        <f t="shared" si="45"/>
        <v>1</v>
      </c>
      <c r="AA181" t="str">
        <f t="shared" si="46"/>
        <v>适中</v>
      </c>
      <c r="AB181" t="str">
        <f t="shared" si="47"/>
        <v>有效</v>
      </c>
      <c r="AC181" t="str">
        <f t="shared" si="48"/>
        <v>不降</v>
      </c>
      <c r="AD181" t="s">
        <v>5862</v>
      </c>
      <c r="AE181" s="4">
        <v>4930</v>
      </c>
      <c r="AF181" s="4">
        <f>INDEX(_统一战力!$B$2:$B$501,J181)</f>
        <v>7220</v>
      </c>
    </row>
    <row r="182" spans="1:32">
      <c r="A182" t="s">
        <v>5548</v>
      </c>
      <c r="B182" t="s">
        <v>5804</v>
      </c>
      <c r="C182" t="s">
        <v>6089</v>
      </c>
      <c r="D182" t="s">
        <v>6108</v>
      </c>
      <c r="E182" t="s">
        <v>6113</v>
      </c>
      <c r="F182" t="s">
        <v>154</v>
      </c>
      <c r="G182">
        <v>7</v>
      </c>
      <c r="I182">
        <f t="shared" si="40"/>
        <v>7</v>
      </c>
      <c r="J182">
        <v>14</v>
      </c>
      <c r="K182" s="23">
        <v>1.04759016676984</v>
      </c>
      <c r="L182" s="23">
        <v>0.82469512195122</v>
      </c>
      <c r="M182" s="23">
        <v>1</v>
      </c>
      <c r="N182">
        <v>1</v>
      </c>
      <c r="O182">
        <v>1</v>
      </c>
      <c r="P182" s="18">
        <v>0.418858868567819</v>
      </c>
      <c r="Q182" s="24">
        <f>IF($I182="","",IFERROR(INDEX(_玩家曲线!$H$2:$H$286,MATCH($I182,_玩家曲线!$A$2:$A$286,0)),""))</f>
        <v>4945.43127875686</v>
      </c>
      <c r="R182" s="24">
        <f>IF($I182="","",IFERROR(INDEX(_玩家曲线!$I$2:$I$286,MATCH($I182,_玩家曲线!$A$2:$A$286,0)),""))</f>
        <v>17028.3595053211</v>
      </c>
      <c r="S182" s="24">
        <f>IF(OR($J182="",$F182="不适用"),"",IFERROR(INDEX(_怪物模型!$D$2:$D$4501,(INT($J182)-1)*ROWS(_怪物类型!$A$2:$A$10)+MATCH($F182,_怪物类型!$A$2:$A$10,0))*IF($K182="",1,$K182),""))</f>
        <v>1984.13577586208</v>
      </c>
      <c r="T182" s="24">
        <f>IF(OR($J182="",$F182="不适用"),"",IFERROR(INDEX(_怪物模型!$E$2:$E$4501,(INT($J182)-1)*ROWS(_怪物类型!$A$2:$A$10)+MATCH($F182,_怪物类型!$A$2:$A$10,0))*IF($L182="",1,$L182),""))</f>
        <v>541</v>
      </c>
      <c r="U182" s="24">
        <f>IF(OR($J182="",$F182="不适用"),"",IFERROR(INDEX(_怪物模型!$F$2:$F$4501,(INT($J182)-1)*ROWS(_怪物类型!$A$2:$A$10)+MATCH($F182,_怪物类型!$A$2:$A$10,0))*IF($M182="",1,$M182),""))</f>
        <v>1056</v>
      </c>
      <c r="V182" s="6">
        <f t="shared" si="41"/>
        <v>0.0421455938697318</v>
      </c>
      <c r="W182" s="24">
        <f t="shared" si="42"/>
        <v>2071.43775000001</v>
      </c>
      <c r="X182" s="18">
        <f t="shared" si="43"/>
        <v>0.418858868567821</v>
      </c>
      <c r="Y182" s="18">
        <f t="shared" si="44"/>
        <v>31.4757107307229</v>
      </c>
      <c r="Z182" s="18">
        <f t="shared" si="45"/>
        <v>1</v>
      </c>
      <c r="AA182" t="str">
        <f t="shared" si="46"/>
        <v>适中</v>
      </c>
      <c r="AB182" t="str">
        <f t="shared" si="47"/>
        <v>有效</v>
      </c>
      <c r="AC182" t="str">
        <f t="shared" si="48"/>
        <v>不降</v>
      </c>
      <c r="AD182" t="s">
        <v>5862</v>
      </c>
      <c r="AE182" s="4">
        <v>4930</v>
      </c>
      <c r="AF182" s="4">
        <f>INDEX(_统一战力!$B$2:$B$501,J182)</f>
        <v>7220</v>
      </c>
    </row>
    <row r="183" spans="1:32">
      <c r="A183" t="s">
        <v>5548</v>
      </c>
      <c r="B183" t="s">
        <v>5804</v>
      </c>
      <c r="C183" t="s">
        <v>6089</v>
      </c>
      <c r="D183" t="s">
        <v>6108</v>
      </c>
      <c r="E183" t="s">
        <v>6114</v>
      </c>
      <c r="F183" t="s">
        <v>154</v>
      </c>
      <c r="G183">
        <v>7</v>
      </c>
      <c r="I183">
        <f t="shared" si="40"/>
        <v>7</v>
      </c>
      <c r="J183">
        <v>14</v>
      </c>
      <c r="K183" s="23">
        <v>1.04759016676984</v>
      </c>
      <c r="L183" s="23">
        <v>0.82469512195122</v>
      </c>
      <c r="M183" s="23">
        <v>1</v>
      </c>
      <c r="N183">
        <v>1</v>
      </c>
      <c r="O183">
        <v>1</v>
      </c>
      <c r="P183" s="18">
        <v>0.418858868567819</v>
      </c>
      <c r="Q183" s="24">
        <f>IF($I183="","",IFERROR(INDEX(_玩家曲线!$H$2:$H$286,MATCH($I183,_玩家曲线!$A$2:$A$286,0)),""))</f>
        <v>4945.43127875686</v>
      </c>
      <c r="R183" s="24">
        <f>IF($I183="","",IFERROR(INDEX(_玩家曲线!$I$2:$I$286,MATCH($I183,_玩家曲线!$A$2:$A$286,0)),""))</f>
        <v>17028.3595053211</v>
      </c>
      <c r="S183" s="24">
        <f>IF(OR($J183="",$F183="不适用"),"",IFERROR(INDEX(_怪物模型!$D$2:$D$4501,(INT($J183)-1)*ROWS(_怪物类型!$A$2:$A$10)+MATCH($F183,_怪物类型!$A$2:$A$10,0))*IF($K183="",1,$K183),""))</f>
        <v>1984.13577586208</v>
      </c>
      <c r="T183" s="24">
        <f>IF(OR($J183="",$F183="不适用"),"",IFERROR(INDEX(_怪物模型!$E$2:$E$4501,(INT($J183)-1)*ROWS(_怪物类型!$A$2:$A$10)+MATCH($F183,_怪物类型!$A$2:$A$10,0))*IF($L183="",1,$L183),""))</f>
        <v>541</v>
      </c>
      <c r="U183" s="24">
        <f>IF(OR($J183="",$F183="不适用"),"",IFERROR(INDEX(_怪物模型!$F$2:$F$4501,(INT($J183)-1)*ROWS(_怪物类型!$A$2:$A$10)+MATCH($F183,_怪物类型!$A$2:$A$10,0))*IF($M183="",1,$M183),""))</f>
        <v>1056</v>
      </c>
      <c r="V183" s="6">
        <f t="shared" si="41"/>
        <v>0.0421455938697318</v>
      </c>
      <c r="W183" s="24">
        <f t="shared" si="42"/>
        <v>2071.43775000001</v>
      </c>
      <c r="X183" s="18">
        <f t="shared" si="43"/>
        <v>0.418858868567821</v>
      </c>
      <c r="Y183" s="18">
        <f t="shared" si="44"/>
        <v>31.4757107307229</v>
      </c>
      <c r="Z183" s="18">
        <f t="shared" si="45"/>
        <v>1</v>
      </c>
      <c r="AA183" t="str">
        <f t="shared" si="46"/>
        <v>适中</v>
      </c>
      <c r="AB183" t="str">
        <f t="shared" si="47"/>
        <v>有效</v>
      </c>
      <c r="AC183" t="str">
        <f t="shared" si="48"/>
        <v>不降</v>
      </c>
      <c r="AD183" t="s">
        <v>5862</v>
      </c>
      <c r="AE183" s="4">
        <v>4930</v>
      </c>
      <c r="AF183" s="4">
        <f>INDEX(_统一战力!$B$2:$B$501,J183)</f>
        <v>7220</v>
      </c>
    </row>
    <row r="184" spans="1:32">
      <c r="A184" t="s">
        <v>5548</v>
      </c>
      <c r="B184" t="s">
        <v>5804</v>
      </c>
      <c r="C184" t="s">
        <v>6089</v>
      </c>
      <c r="D184" t="s">
        <v>6108</v>
      </c>
      <c r="E184" t="s">
        <v>6115</v>
      </c>
      <c r="F184" t="s">
        <v>154</v>
      </c>
      <c r="G184">
        <v>7</v>
      </c>
      <c r="I184">
        <f t="shared" si="40"/>
        <v>7</v>
      </c>
      <c r="J184">
        <v>14</v>
      </c>
      <c r="K184" s="23">
        <v>1.04759016676984</v>
      </c>
      <c r="L184" s="23">
        <v>0.82469512195122</v>
      </c>
      <c r="M184" s="23">
        <v>1</v>
      </c>
      <c r="N184">
        <v>1</v>
      </c>
      <c r="O184">
        <v>1</v>
      </c>
      <c r="P184" s="18">
        <v>0.418858868567819</v>
      </c>
      <c r="Q184" s="24">
        <f>IF($I184="","",IFERROR(INDEX(_玩家曲线!$H$2:$H$286,MATCH($I184,_玩家曲线!$A$2:$A$286,0)),""))</f>
        <v>4945.43127875686</v>
      </c>
      <c r="R184" s="24">
        <f>IF($I184="","",IFERROR(INDEX(_玩家曲线!$I$2:$I$286,MATCH($I184,_玩家曲线!$A$2:$A$286,0)),""))</f>
        <v>17028.3595053211</v>
      </c>
      <c r="S184" s="24">
        <f>IF(OR($J184="",$F184="不适用"),"",IFERROR(INDEX(_怪物模型!$D$2:$D$4501,(INT($J184)-1)*ROWS(_怪物类型!$A$2:$A$10)+MATCH($F184,_怪物类型!$A$2:$A$10,0))*IF($K184="",1,$K184),""))</f>
        <v>1984.13577586208</v>
      </c>
      <c r="T184" s="24">
        <f>IF(OR($J184="",$F184="不适用"),"",IFERROR(INDEX(_怪物模型!$E$2:$E$4501,(INT($J184)-1)*ROWS(_怪物类型!$A$2:$A$10)+MATCH($F184,_怪物类型!$A$2:$A$10,0))*IF($L184="",1,$L184),""))</f>
        <v>541</v>
      </c>
      <c r="U184" s="24">
        <f>IF(OR($J184="",$F184="不适用"),"",IFERROR(INDEX(_怪物模型!$F$2:$F$4501,(INT($J184)-1)*ROWS(_怪物类型!$A$2:$A$10)+MATCH($F184,_怪物类型!$A$2:$A$10,0))*IF($M184="",1,$M184),""))</f>
        <v>1056</v>
      </c>
      <c r="V184" s="6">
        <f t="shared" si="41"/>
        <v>0.0421455938697318</v>
      </c>
      <c r="W184" s="24">
        <f t="shared" si="42"/>
        <v>2071.43775000001</v>
      </c>
      <c r="X184" s="18">
        <f t="shared" si="43"/>
        <v>0.418858868567821</v>
      </c>
      <c r="Y184" s="18">
        <f t="shared" si="44"/>
        <v>31.4757107307229</v>
      </c>
      <c r="Z184" s="18">
        <f t="shared" si="45"/>
        <v>1</v>
      </c>
      <c r="AA184" t="str">
        <f t="shared" si="46"/>
        <v>适中</v>
      </c>
      <c r="AB184" t="str">
        <f t="shared" si="47"/>
        <v>有效</v>
      </c>
      <c r="AC184" t="str">
        <f t="shared" si="48"/>
        <v>不降</v>
      </c>
      <c r="AD184" t="s">
        <v>5862</v>
      </c>
      <c r="AE184" s="4">
        <v>4930</v>
      </c>
      <c r="AF184" s="4">
        <f>INDEX(_统一战力!$B$2:$B$501,J184)</f>
        <v>7220</v>
      </c>
    </row>
    <row r="185" spans="1:32">
      <c r="A185" t="s">
        <v>5548</v>
      </c>
      <c r="B185" t="s">
        <v>5804</v>
      </c>
      <c r="C185" t="s">
        <v>6089</v>
      </c>
      <c r="D185" t="s">
        <v>6108</v>
      </c>
      <c r="E185" t="s">
        <v>6116</v>
      </c>
      <c r="F185" t="s">
        <v>154</v>
      </c>
      <c r="G185">
        <v>7</v>
      </c>
      <c r="I185">
        <f t="shared" si="40"/>
        <v>7</v>
      </c>
      <c r="J185">
        <v>14</v>
      </c>
      <c r="K185" s="23">
        <v>1.04759016676984</v>
      </c>
      <c r="L185" s="23">
        <v>0.82469512195122</v>
      </c>
      <c r="M185" s="23">
        <v>1</v>
      </c>
      <c r="N185">
        <v>1</v>
      </c>
      <c r="O185">
        <v>1</v>
      </c>
      <c r="P185" s="18">
        <v>0.418858868567819</v>
      </c>
      <c r="Q185" s="24">
        <f>IF($I185="","",IFERROR(INDEX(_玩家曲线!$H$2:$H$286,MATCH($I185,_玩家曲线!$A$2:$A$286,0)),""))</f>
        <v>4945.43127875686</v>
      </c>
      <c r="R185" s="24">
        <f>IF($I185="","",IFERROR(INDEX(_玩家曲线!$I$2:$I$286,MATCH($I185,_玩家曲线!$A$2:$A$286,0)),""))</f>
        <v>17028.3595053211</v>
      </c>
      <c r="S185" s="24">
        <f>IF(OR($J185="",$F185="不适用"),"",IFERROR(INDEX(_怪物模型!$D$2:$D$4501,(INT($J185)-1)*ROWS(_怪物类型!$A$2:$A$10)+MATCH($F185,_怪物类型!$A$2:$A$10,0))*IF($K185="",1,$K185),""))</f>
        <v>1984.13577586208</v>
      </c>
      <c r="T185" s="24">
        <f>IF(OR($J185="",$F185="不适用"),"",IFERROR(INDEX(_怪物模型!$E$2:$E$4501,(INT($J185)-1)*ROWS(_怪物类型!$A$2:$A$10)+MATCH($F185,_怪物类型!$A$2:$A$10,0))*IF($L185="",1,$L185),""))</f>
        <v>541</v>
      </c>
      <c r="U185" s="24">
        <f>IF(OR($J185="",$F185="不适用"),"",IFERROR(INDEX(_怪物模型!$F$2:$F$4501,(INT($J185)-1)*ROWS(_怪物类型!$A$2:$A$10)+MATCH($F185,_怪物类型!$A$2:$A$10,0))*IF($M185="",1,$M185),""))</f>
        <v>1056</v>
      </c>
      <c r="V185" s="6">
        <f t="shared" si="41"/>
        <v>0.0421455938697318</v>
      </c>
      <c r="W185" s="24">
        <f t="shared" si="42"/>
        <v>2071.43775000001</v>
      </c>
      <c r="X185" s="18">
        <f t="shared" si="43"/>
        <v>0.418858868567821</v>
      </c>
      <c r="Y185" s="18">
        <f t="shared" si="44"/>
        <v>31.4757107307229</v>
      </c>
      <c r="Z185" s="18">
        <f t="shared" si="45"/>
        <v>1</v>
      </c>
      <c r="AA185" t="str">
        <f t="shared" si="46"/>
        <v>适中</v>
      </c>
      <c r="AB185" t="str">
        <f t="shared" si="47"/>
        <v>有效</v>
      </c>
      <c r="AC185" t="str">
        <f t="shared" si="48"/>
        <v>不降</v>
      </c>
      <c r="AD185" t="s">
        <v>5862</v>
      </c>
      <c r="AE185" s="4">
        <v>4930</v>
      </c>
      <c r="AF185" s="4">
        <f>INDEX(_统一战力!$B$2:$B$501,J185)</f>
        <v>7220</v>
      </c>
    </row>
    <row r="186" spans="1:32">
      <c r="A186" t="s">
        <v>5548</v>
      </c>
      <c r="B186" t="s">
        <v>5804</v>
      </c>
      <c r="C186" t="s">
        <v>6089</v>
      </c>
      <c r="D186" t="s">
        <v>6108</v>
      </c>
      <c r="E186" t="s">
        <v>6117</v>
      </c>
      <c r="F186" t="s">
        <v>154</v>
      </c>
      <c r="G186">
        <v>7</v>
      </c>
      <c r="I186">
        <f t="shared" si="40"/>
        <v>7</v>
      </c>
      <c r="J186">
        <v>14</v>
      </c>
      <c r="K186" s="23">
        <v>1.04759016676984</v>
      </c>
      <c r="L186" s="23">
        <v>0.82469512195122</v>
      </c>
      <c r="M186" s="23">
        <v>1</v>
      </c>
      <c r="N186">
        <v>1</v>
      </c>
      <c r="O186">
        <v>1</v>
      </c>
      <c r="P186" s="18">
        <v>0.418858868567819</v>
      </c>
      <c r="Q186" s="24">
        <f>IF($I186="","",IFERROR(INDEX(_玩家曲线!$H$2:$H$286,MATCH($I186,_玩家曲线!$A$2:$A$286,0)),""))</f>
        <v>4945.43127875686</v>
      </c>
      <c r="R186" s="24">
        <f>IF($I186="","",IFERROR(INDEX(_玩家曲线!$I$2:$I$286,MATCH($I186,_玩家曲线!$A$2:$A$286,0)),""))</f>
        <v>17028.3595053211</v>
      </c>
      <c r="S186" s="24">
        <f>IF(OR($J186="",$F186="不适用"),"",IFERROR(INDEX(_怪物模型!$D$2:$D$4501,(INT($J186)-1)*ROWS(_怪物类型!$A$2:$A$10)+MATCH($F186,_怪物类型!$A$2:$A$10,0))*IF($K186="",1,$K186),""))</f>
        <v>1984.13577586208</v>
      </c>
      <c r="T186" s="24">
        <f>IF(OR($J186="",$F186="不适用"),"",IFERROR(INDEX(_怪物模型!$E$2:$E$4501,(INT($J186)-1)*ROWS(_怪物类型!$A$2:$A$10)+MATCH($F186,_怪物类型!$A$2:$A$10,0))*IF($L186="",1,$L186),""))</f>
        <v>541</v>
      </c>
      <c r="U186" s="24">
        <f>IF(OR($J186="",$F186="不适用"),"",IFERROR(INDEX(_怪物模型!$F$2:$F$4501,(INT($J186)-1)*ROWS(_怪物类型!$A$2:$A$10)+MATCH($F186,_怪物类型!$A$2:$A$10,0))*IF($M186="",1,$M186),""))</f>
        <v>1056</v>
      </c>
      <c r="V186" s="6">
        <f t="shared" si="41"/>
        <v>0.0421455938697318</v>
      </c>
      <c r="W186" s="24">
        <f t="shared" si="42"/>
        <v>2071.43775000001</v>
      </c>
      <c r="X186" s="18">
        <f t="shared" si="43"/>
        <v>0.418858868567821</v>
      </c>
      <c r="Y186" s="18">
        <f t="shared" si="44"/>
        <v>31.4757107307229</v>
      </c>
      <c r="Z186" s="18">
        <f t="shared" si="45"/>
        <v>1</v>
      </c>
      <c r="AA186" t="str">
        <f t="shared" si="46"/>
        <v>适中</v>
      </c>
      <c r="AB186" t="str">
        <f t="shared" si="47"/>
        <v>有效</v>
      </c>
      <c r="AC186" t="str">
        <f t="shared" si="48"/>
        <v>不降</v>
      </c>
      <c r="AD186" t="s">
        <v>5862</v>
      </c>
      <c r="AE186" s="4">
        <v>4930</v>
      </c>
      <c r="AF186" s="4">
        <f>INDEX(_统一战力!$B$2:$B$501,J186)</f>
        <v>7220</v>
      </c>
    </row>
    <row r="187" spans="1:32">
      <c r="A187" t="s">
        <v>5548</v>
      </c>
      <c r="B187" t="s">
        <v>5804</v>
      </c>
      <c r="C187" t="s">
        <v>6089</v>
      </c>
      <c r="D187" t="s">
        <v>6090</v>
      </c>
      <c r="E187" t="s">
        <v>6118</v>
      </c>
      <c r="F187" t="s">
        <v>154</v>
      </c>
      <c r="G187">
        <v>7</v>
      </c>
      <c r="I187">
        <f t="shared" si="40"/>
        <v>7</v>
      </c>
      <c r="J187">
        <v>14</v>
      </c>
      <c r="K187" s="23">
        <v>1.04759016676984</v>
      </c>
      <c r="L187" s="23">
        <v>0.82469512195122</v>
      </c>
      <c r="M187" s="23">
        <v>1</v>
      </c>
      <c r="N187">
        <v>1</v>
      </c>
      <c r="O187">
        <v>1</v>
      </c>
      <c r="P187" s="18">
        <v>0.418858868567819</v>
      </c>
      <c r="Q187" s="24">
        <f>IF($I187="","",IFERROR(INDEX(_玩家曲线!$H$2:$H$286,MATCH($I187,_玩家曲线!$A$2:$A$286,0)),""))</f>
        <v>4945.43127875686</v>
      </c>
      <c r="R187" s="24">
        <f>IF($I187="","",IFERROR(INDEX(_玩家曲线!$I$2:$I$286,MATCH($I187,_玩家曲线!$A$2:$A$286,0)),""))</f>
        <v>17028.3595053211</v>
      </c>
      <c r="S187" s="24">
        <f>IF(OR($J187="",$F187="不适用"),"",IFERROR(INDEX(_怪物模型!$D$2:$D$4501,(INT($J187)-1)*ROWS(_怪物类型!$A$2:$A$10)+MATCH($F187,_怪物类型!$A$2:$A$10,0))*IF($K187="",1,$K187),""))</f>
        <v>1984.13577586208</v>
      </c>
      <c r="T187" s="24">
        <f>IF(OR($J187="",$F187="不适用"),"",IFERROR(INDEX(_怪物模型!$E$2:$E$4501,(INT($J187)-1)*ROWS(_怪物类型!$A$2:$A$10)+MATCH($F187,_怪物类型!$A$2:$A$10,0))*IF($L187="",1,$L187),""))</f>
        <v>541</v>
      </c>
      <c r="U187" s="24">
        <f>IF(OR($J187="",$F187="不适用"),"",IFERROR(INDEX(_怪物模型!$F$2:$F$4501,(INT($J187)-1)*ROWS(_怪物类型!$A$2:$A$10)+MATCH($F187,_怪物类型!$A$2:$A$10,0))*IF($M187="",1,$M187),""))</f>
        <v>1056</v>
      </c>
      <c r="V187" s="6">
        <f t="shared" si="41"/>
        <v>0.0421455938697318</v>
      </c>
      <c r="W187" s="24">
        <f t="shared" si="42"/>
        <v>2071.43775000001</v>
      </c>
      <c r="X187" s="18">
        <f t="shared" si="43"/>
        <v>0.418858868567821</v>
      </c>
      <c r="Y187" s="18">
        <f t="shared" si="44"/>
        <v>31.4757107307229</v>
      </c>
      <c r="Z187" s="18">
        <f t="shared" si="45"/>
        <v>1</v>
      </c>
      <c r="AA187" t="str">
        <f t="shared" si="46"/>
        <v>适中</v>
      </c>
      <c r="AB187" t="str">
        <f t="shared" si="47"/>
        <v>有效</v>
      </c>
      <c r="AC187" t="str">
        <f t="shared" si="48"/>
        <v>不降</v>
      </c>
      <c r="AD187" t="s">
        <v>5862</v>
      </c>
      <c r="AE187" s="4">
        <v>4930</v>
      </c>
      <c r="AF187" s="4">
        <f>INDEX(_统一战力!$B$2:$B$501,J187)</f>
        <v>7220</v>
      </c>
    </row>
    <row r="188" spans="1:32">
      <c r="A188" t="s">
        <v>5548</v>
      </c>
      <c r="B188" t="s">
        <v>5804</v>
      </c>
      <c r="C188" t="s">
        <v>6089</v>
      </c>
      <c r="D188" t="s">
        <v>6090</v>
      </c>
      <c r="E188" t="s">
        <v>6119</v>
      </c>
      <c r="F188" t="s">
        <v>154</v>
      </c>
      <c r="G188">
        <v>7</v>
      </c>
      <c r="I188">
        <f t="shared" si="40"/>
        <v>7</v>
      </c>
      <c r="J188">
        <v>14</v>
      </c>
      <c r="K188" s="23">
        <v>1.04759016676984</v>
      </c>
      <c r="L188" s="23">
        <v>0.82469512195122</v>
      </c>
      <c r="M188" s="23">
        <v>1</v>
      </c>
      <c r="N188">
        <v>1</v>
      </c>
      <c r="O188">
        <v>1</v>
      </c>
      <c r="P188" s="18">
        <v>0.418858868567819</v>
      </c>
      <c r="Q188" s="24">
        <f>IF($I188="","",IFERROR(INDEX(_玩家曲线!$H$2:$H$286,MATCH($I188,_玩家曲线!$A$2:$A$286,0)),""))</f>
        <v>4945.43127875686</v>
      </c>
      <c r="R188" s="24">
        <f>IF($I188="","",IFERROR(INDEX(_玩家曲线!$I$2:$I$286,MATCH($I188,_玩家曲线!$A$2:$A$286,0)),""))</f>
        <v>17028.3595053211</v>
      </c>
      <c r="S188" s="24">
        <f>IF(OR($J188="",$F188="不适用"),"",IFERROR(INDEX(_怪物模型!$D$2:$D$4501,(INT($J188)-1)*ROWS(_怪物类型!$A$2:$A$10)+MATCH($F188,_怪物类型!$A$2:$A$10,0))*IF($K188="",1,$K188),""))</f>
        <v>1984.13577586208</v>
      </c>
      <c r="T188" s="24">
        <f>IF(OR($J188="",$F188="不适用"),"",IFERROR(INDEX(_怪物模型!$E$2:$E$4501,(INT($J188)-1)*ROWS(_怪物类型!$A$2:$A$10)+MATCH($F188,_怪物类型!$A$2:$A$10,0))*IF($L188="",1,$L188),""))</f>
        <v>541</v>
      </c>
      <c r="U188" s="24">
        <f>IF(OR($J188="",$F188="不适用"),"",IFERROR(INDEX(_怪物模型!$F$2:$F$4501,(INT($J188)-1)*ROWS(_怪物类型!$A$2:$A$10)+MATCH($F188,_怪物类型!$A$2:$A$10,0))*IF($M188="",1,$M188),""))</f>
        <v>1056</v>
      </c>
      <c r="V188" s="6">
        <f t="shared" si="41"/>
        <v>0.0421455938697318</v>
      </c>
      <c r="W188" s="24">
        <f t="shared" si="42"/>
        <v>2071.43775000001</v>
      </c>
      <c r="X188" s="18">
        <f t="shared" si="43"/>
        <v>0.418858868567821</v>
      </c>
      <c r="Y188" s="18">
        <f t="shared" si="44"/>
        <v>31.4757107307229</v>
      </c>
      <c r="Z188" s="18">
        <f t="shared" si="45"/>
        <v>1</v>
      </c>
      <c r="AA188" t="str">
        <f t="shared" si="46"/>
        <v>适中</v>
      </c>
      <c r="AB188" t="str">
        <f t="shared" si="47"/>
        <v>有效</v>
      </c>
      <c r="AC188" t="str">
        <f t="shared" si="48"/>
        <v>不降</v>
      </c>
      <c r="AD188" t="s">
        <v>5862</v>
      </c>
      <c r="AE188" s="4">
        <v>4930</v>
      </c>
      <c r="AF188" s="4">
        <f>INDEX(_统一战力!$B$2:$B$501,J188)</f>
        <v>7220</v>
      </c>
    </row>
    <row r="189" spans="1:32">
      <c r="A189" t="s">
        <v>5548</v>
      </c>
      <c r="B189" t="s">
        <v>5804</v>
      </c>
      <c r="C189" t="s">
        <v>6089</v>
      </c>
      <c r="D189" t="s">
        <v>6090</v>
      </c>
      <c r="E189" t="s">
        <v>6120</v>
      </c>
      <c r="F189" t="s">
        <v>154</v>
      </c>
      <c r="G189">
        <v>7</v>
      </c>
      <c r="I189">
        <f t="shared" si="40"/>
        <v>7</v>
      </c>
      <c r="J189">
        <v>14</v>
      </c>
      <c r="K189" s="23">
        <v>1.04759016676984</v>
      </c>
      <c r="L189" s="23">
        <v>0.82469512195122</v>
      </c>
      <c r="M189" s="23">
        <v>1</v>
      </c>
      <c r="N189">
        <v>1</v>
      </c>
      <c r="O189">
        <v>1</v>
      </c>
      <c r="P189" s="18">
        <v>0.418858868567819</v>
      </c>
      <c r="Q189" s="24">
        <f>IF($I189="","",IFERROR(INDEX(_玩家曲线!$H$2:$H$286,MATCH($I189,_玩家曲线!$A$2:$A$286,0)),""))</f>
        <v>4945.43127875686</v>
      </c>
      <c r="R189" s="24">
        <f>IF($I189="","",IFERROR(INDEX(_玩家曲线!$I$2:$I$286,MATCH($I189,_玩家曲线!$A$2:$A$286,0)),""))</f>
        <v>17028.3595053211</v>
      </c>
      <c r="S189" s="24">
        <f>IF(OR($J189="",$F189="不适用"),"",IFERROR(INDEX(_怪物模型!$D$2:$D$4501,(INT($J189)-1)*ROWS(_怪物类型!$A$2:$A$10)+MATCH($F189,_怪物类型!$A$2:$A$10,0))*IF($K189="",1,$K189),""))</f>
        <v>1984.13577586208</v>
      </c>
      <c r="T189" s="24">
        <f>IF(OR($J189="",$F189="不适用"),"",IFERROR(INDEX(_怪物模型!$E$2:$E$4501,(INT($J189)-1)*ROWS(_怪物类型!$A$2:$A$10)+MATCH($F189,_怪物类型!$A$2:$A$10,0))*IF($L189="",1,$L189),""))</f>
        <v>541</v>
      </c>
      <c r="U189" s="24">
        <f>IF(OR($J189="",$F189="不适用"),"",IFERROR(INDEX(_怪物模型!$F$2:$F$4501,(INT($J189)-1)*ROWS(_怪物类型!$A$2:$A$10)+MATCH($F189,_怪物类型!$A$2:$A$10,0))*IF($M189="",1,$M189),""))</f>
        <v>1056</v>
      </c>
      <c r="V189" s="6">
        <f t="shared" si="41"/>
        <v>0.0421455938697318</v>
      </c>
      <c r="W189" s="24">
        <f t="shared" si="42"/>
        <v>2071.43775000001</v>
      </c>
      <c r="X189" s="18">
        <f t="shared" si="43"/>
        <v>0.418858868567821</v>
      </c>
      <c r="Y189" s="18">
        <f t="shared" si="44"/>
        <v>31.4757107307229</v>
      </c>
      <c r="Z189" s="18">
        <f t="shared" si="45"/>
        <v>1</v>
      </c>
      <c r="AA189" t="str">
        <f t="shared" si="46"/>
        <v>适中</v>
      </c>
      <c r="AB189" t="str">
        <f t="shared" si="47"/>
        <v>有效</v>
      </c>
      <c r="AC189" t="str">
        <f t="shared" si="48"/>
        <v>不降</v>
      </c>
      <c r="AD189" t="s">
        <v>5862</v>
      </c>
      <c r="AE189" s="4">
        <v>4930</v>
      </c>
      <c r="AF189" s="4">
        <f>INDEX(_统一战力!$B$2:$B$501,J189)</f>
        <v>7220</v>
      </c>
    </row>
    <row r="190" spans="1:32">
      <c r="A190" t="s">
        <v>5548</v>
      </c>
      <c r="B190" t="s">
        <v>5804</v>
      </c>
      <c r="C190" t="s">
        <v>6089</v>
      </c>
      <c r="D190" t="s">
        <v>6090</v>
      </c>
      <c r="E190" t="s">
        <v>6121</v>
      </c>
      <c r="F190" t="s">
        <v>154</v>
      </c>
      <c r="G190">
        <v>7</v>
      </c>
      <c r="I190">
        <f t="shared" si="40"/>
        <v>7</v>
      </c>
      <c r="J190">
        <v>14</v>
      </c>
      <c r="K190" s="23">
        <v>1.04759016676984</v>
      </c>
      <c r="L190" s="23">
        <v>0.82469512195122</v>
      </c>
      <c r="M190" s="23">
        <v>1</v>
      </c>
      <c r="N190">
        <v>1</v>
      </c>
      <c r="O190">
        <v>1</v>
      </c>
      <c r="P190" s="18">
        <v>0.418858868567819</v>
      </c>
      <c r="Q190" s="24">
        <f>IF($I190="","",IFERROR(INDEX(_玩家曲线!$H$2:$H$286,MATCH($I190,_玩家曲线!$A$2:$A$286,0)),""))</f>
        <v>4945.43127875686</v>
      </c>
      <c r="R190" s="24">
        <f>IF($I190="","",IFERROR(INDEX(_玩家曲线!$I$2:$I$286,MATCH($I190,_玩家曲线!$A$2:$A$286,0)),""))</f>
        <v>17028.3595053211</v>
      </c>
      <c r="S190" s="24">
        <f>IF(OR($J190="",$F190="不适用"),"",IFERROR(INDEX(_怪物模型!$D$2:$D$4501,(INT($J190)-1)*ROWS(_怪物类型!$A$2:$A$10)+MATCH($F190,_怪物类型!$A$2:$A$10,0))*IF($K190="",1,$K190),""))</f>
        <v>1984.13577586208</v>
      </c>
      <c r="T190" s="24">
        <f>IF(OR($J190="",$F190="不适用"),"",IFERROR(INDEX(_怪物模型!$E$2:$E$4501,(INT($J190)-1)*ROWS(_怪物类型!$A$2:$A$10)+MATCH($F190,_怪物类型!$A$2:$A$10,0))*IF($L190="",1,$L190),""))</f>
        <v>541</v>
      </c>
      <c r="U190" s="24">
        <f>IF(OR($J190="",$F190="不适用"),"",IFERROR(INDEX(_怪物模型!$F$2:$F$4501,(INT($J190)-1)*ROWS(_怪物类型!$A$2:$A$10)+MATCH($F190,_怪物类型!$A$2:$A$10,0))*IF($M190="",1,$M190),""))</f>
        <v>1056</v>
      </c>
      <c r="V190" s="6">
        <f t="shared" si="41"/>
        <v>0.0421455938697318</v>
      </c>
      <c r="W190" s="24">
        <f t="shared" si="42"/>
        <v>2071.43775000001</v>
      </c>
      <c r="X190" s="18">
        <f t="shared" si="43"/>
        <v>0.418858868567821</v>
      </c>
      <c r="Y190" s="18">
        <f t="shared" si="44"/>
        <v>31.4757107307229</v>
      </c>
      <c r="Z190" s="18">
        <f t="shared" si="45"/>
        <v>1</v>
      </c>
      <c r="AA190" t="str">
        <f t="shared" si="46"/>
        <v>适中</v>
      </c>
      <c r="AB190" t="str">
        <f t="shared" si="47"/>
        <v>有效</v>
      </c>
      <c r="AC190" t="str">
        <f t="shared" si="48"/>
        <v>不降</v>
      </c>
      <c r="AD190" t="s">
        <v>5862</v>
      </c>
      <c r="AE190" s="4">
        <v>4930</v>
      </c>
      <c r="AF190" s="4">
        <f>INDEX(_统一战力!$B$2:$B$501,J190)</f>
        <v>7220</v>
      </c>
    </row>
    <row r="191" spans="1:32">
      <c r="A191" t="s">
        <v>5548</v>
      </c>
      <c r="B191" t="s">
        <v>5804</v>
      </c>
      <c r="C191" t="s">
        <v>6089</v>
      </c>
      <c r="D191" t="s">
        <v>6090</v>
      </c>
      <c r="E191" t="s">
        <v>6122</v>
      </c>
      <c r="F191" t="s">
        <v>154</v>
      </c>
      <c r="G191">
        <v>7</v>
      </c>
      <c r="I191">
        <f t="shared" si="40"/>
        <v>7</v>
      </c>
      <c r="J191">
        <v>14</v>
      </c>
      <c r="K191" s="23">
        <v>1.04759016676984</v>
      </c>
      <c r="L191" s="23">
        <v>0.82469512195122</v>
      </c>
      <c r="M191" s="23">
        <v>1</v>
      </c>
      <c r="N191">
        <v>1</v>
      </c>
      <c r="O191">
        <v>1</v>
      </c>
      <c r="P191" s="18">
        <v>0.418858868567819</v>
      </c>
      <c r="Q191" s="24">
        <f>IF($I191="","",IFERROR(INDEX(_玩家曲线!$H$2:$H$286,MATCH($I191,_玩家曲线!$A$2:$A$286,0)),""))</f>
        <v>4945.43127875686</v>
      </c>
      <c r="R191" s="24">
        <f>IF($I191="","",IFERROR(INDEX(_玩家曲线!$I$2:$I$286,MATCH($I191,_玩家曲线!$A$2:$A$286,0)),""))</f>
        <v>17028.3595053211</v>
      </c>
      <c r="S191" s="24">
        <f>IF(OR($J191="",$F191="不适用"),"",IFERROR(INDEX(_怪物模型!$D$2:$D$4501,(INT($J191)-1)*ROWS(_怪物类型!$A$2:$A$10)+MATCH($F191,_怪物类型!$A$2:$A$10,0))*IF($K191="",1,$K191),""))</f>
        <v>1984.13577586208</v>
      </c>
      <c r="T191" s="24">
        <f>IF(OR($J191="",$F191="不适用"),"",IFERROR(INDEX(_怪物模型!$E$2:$E$4501,(INT($J191)-1)*ROWS(_怪物类型!$A$2:$A$10)+MATCH($F191,_怪物类型!$A$2:$A$10,0))*IF($L191="",1,$L191),""))</f>
        <v>541</v>
      </c>
      <c r="U191" s="24">
        <f>IF(OR($J191="",$F191="不适用"),"",IFERROR(INDEX(_怪物模型!$F$2:$F$4501,(INT($J191)-1)*ROWS(_怪物类型!$A$2:$A$10)+MATCH($F191,_怪物类型!$A$2:$A$10,0))*IF($M191="",1,$M191),""))</f>
        <v>1056</v>
      </c>
      <c r="V191" s="6">
        <f t="shared" si="41"/>
        <v>0.0421455938697318</v>
      </c>
      <c r="W191" s="24">
        <f t="shared" si="42"/>
        <v>2071.43775000001</v>
      </c>
      <c r="X191" s="18">
        <f t="shared" si="43"/>
        <v>0.418858868567821</v>
      </c>
      <c r="Y191" s="18">
        <f t="shared" si="44"/>
        <v>31.4757107307229</v>
      </c>
      <c r="Z191" s="18">
        <f t="shared" si="45"/>
        <v>1</v>
      </c>
      <c r="AA191" t="str">
        <f t="shared" si="46"/>
        <v>适中</v>
      </c>
      <c r="AB191" t="str">
        <f t="shared" si="47"/>
        <v>有效</v>
      </c>
      <c r="AC191" t="str">
        <f t="shared" si="48"/>
        <v>不降</v>
      </c>
      <c r="AD191" t="s">
        <v>5862</v>
      </c>
      <c r="AE191" s="4">
        <v>4930</v>
      </c>
      <c r="AF191" s="4">
        <f>INDEX(_统一战力!$B$2:$B$501,J191)</f>
        <v>7220</v>
      </c>
    </row>
    <row r="192" spans="1:32">
      <c r="A192" t="s">
        <v>5548</v>
      </c>
      <c r="B192" t="s">
        <v>5804</v>
      </c>
      <c r="C192" t="s">
        <v>6089</v>
      </c>
      <c r="D192" t="s">
        <v>6090</v>
      </c>
      <c r="E192" t="s">
        <v>6123</v>
      </c>
      <c r="F192" t="s">
        <v>154</v>
      </c>
      <c r="G192">
        <v>7</v>
      </c>
      <c r="I192">
        <f t="shared" si="40"/>
        <v>7</v>
      </c>
      <c r="J192">
        <v>14</v>
      </c>
      <c r="K192" s="23">
        <v>1.04759016676984</v>
      </c>
      <c r="L192" s="23">
        <v>0.82469512195122</v>
      </c>
      <c r="M192" s="23">
        <v>1</v>
      </c>
      <c r="N192">
        <v>1</v>
      </c>
      <c r="O192">
        <v>1</v>
      </c>
      <c r="P192" s="18">
        <v>0.418858868567819</v>
      </c>
      <c r="Q192" s="24">
        <f>IF($I192="","",IFERROR(INDEX(_玩家曲线!$H$2:$H$286,MATCH($I192,_玩家曲线!$A$2:$A$286,0)),""))</f>
        <v>4945.43127875686</v>
      </c>
      <c r="R192" s="24">
        <f>IF($I192="","",IFERROR(INDEX(_玩家曲线!$I$2:$I$286,MATCH($I192,_玩家曲线!$A$2:$A$286,0)),""))</f>
        <v>17028.3595053211</v>
      </c>
      <c r="S192" s="24">
        <f>IF(OR($J192="",$F192="不适用"),"",IFERROR(INDEX(_怪物模型!$D$2:$D$4501,(INT($J192)-1)*ROWS(_怪物类型!$A$2:$A$10)+MATCH($F192,_怪物类型!$A$2:$A$10,0))*IF($K192="",1,$K192),""))</f>
        <v>1984.13577586208</v>
      </c>
      <c r="T192" s="24">
        <f>IF(OR($J192="",$F192="不适用"),"",IFERROR(INDEX(_怪物模型!$E$2:$E$4501,(INT($J192)-1)*ROWS(_怪物类型!$A$2:$A$10)+MATCH($F192,_怪物类型!$A$2:$A$10,0))*IF($L192="",1,$L192),""))</f>
        <v>541</v>
      </c>
      <c r="U192" s="24">
        <f>IF(OR($J192="",$F192="不适用"),"",IFERROR(INDEX(_怪物模型!$F$2:$F$4501,(INT($J192)-1)*ROWS(_怪物类型!$A$2:$A$10)+MATCH($F192,_怪物类型!$A$2:$A$10,0))*IF($M192="",1,$M192),""))</f>
        <v>1056</v>
      </c>
      <c r="V192" s="6">
        <f t="shared" si="41"/>
        <v>0.0421455938697318</v>
      </c>
      <c r="W192" s="24">
        <f t="shared" si="42"/>
        <v>2071.43775000001</v>
      </c>
      <c r="X192" s="18">
        <f t="shared" si="43"/>
        <v>0.418858868567821</v>
      </c>
      <c r="Y192" s="18">
        <f t="shared" si="44"/>
        <v>31.4757107307229</v>
      </c>
      <c r="Z192" s="18">
        <f t="shared" si="45"/>
        <v>1</v>
      </c>
      <c r="AA192" t="str">
        <f t="shared" si="46"/>
        <v>适中</v>
      </c>
      <c r="AB192" t="str">
        <f t="shared" si="47"/>
        <v>有效</v>
      </c>
      <c r="AC192" t="str">
        <f t="shared" si="48"/>
        <v>不降</v>
      </c>
      <c r="AD192" t="s">
        <v>5862</v>
      </c>
      <c r="AE192" s="4">
        <v>4930</v>
      </c>
      <c r="AF192" s="4">
        <f>INDEX(_统一战力!$B$2:$B$501,J192)</f>
        <v>7220</v>
      </c>
    </row>
    <row r="193" spans="1:32">
      <c r="A193" t="s">
        <v>5548</v>
      </c>
      <c r="B193" t="s">
        <v>5804</v>
      </c>
      <c r="C193" t="s">
        <v>6089</v>
      </c>
      <c r="D193" t="s">
        <v>6090</v>
      </c>
      <c r="E193" t="s">
        <v>6124</v>
      </c>
      <c r="F193" t="s">
        <v>154</v>
      </c>
      <c r="G193">
        <v>7</v>
      </c>
      <c r="I193">
        <f t="shared" si="40"/>
        <v>7</v>
      </c>
      <c r="J193">
        <v>14</v>
      </c>
      <c r="K193" s="23">
        <v>1.04759016676984</v>
      </c>
      <c r="L193" s="23">
        <v>0.82469512195122</v>
      </c>
      <c r="M193" s="23">
        <v>1</v>
      </c>
      <c r="N193">
        <v>1</v>
      </c>
      <c r="O193">
        <v>1</v>
      </c>
      <c r="P193" s="18">
        <v>0.418858868567819</v>
      </c>
      <c r="Q193" s="24">
        <f>IF($I193="","",IFERROR(INDEX(_玩家曲线!$H$2:$H$286,MATCH($I193,_玩家曲线!$A$2:$A$286,0)),""))</f>
        <v>4945.43127875686</v>
      </c>
      <c r="R193" s="24">
        <f>IF($I193="","",IFERROR(INDEX(_玩家曲线!$I$2:$I$286,MATCH($I193,_玩家曲线!$A$2:$A$286,0)),""))</f>
        <v>17028.3595053211</v>
      </c>
      <c r="S193" s="24">
        <f>IF(OR($J193="",$F193="不适用"),"",IFERROR(INDEX(_怪物模型!$D$2:$D$4501,(INT($J193)-1)*ROWS(_怪物类型!$A$2:$A$10)+MATCH($F193,_怪物类型!$A$2:$A$10,0))*IF($K193="",1,$K193),""))</f>
        <v>1984.13577586208</v>
      </c>
      <c r="T193" s="24">
        <f>IF(OR($J193="",$F193="不适用"),"",IFERROR(INDEX(_怪物模型!$E$2:$E$4501,(INT($J193)-1)*ROWS(_怪物类型!$A$2:$A$10)+MATCH($F193,_怪物类型!$A$2:$A$10,0))*IF($L193="",1,$L193),""))</f>
        <v>541</v>
      </c>
      <c r="U193" s="24">
        <f>IF(OR($J193="",$F193="不适用"),"",IFERROR(INDEX(_怪物模型!$F$2:$F$4501,(INT($J193)-1)*ROWS(_怪物类型!$A$2:$A$10)+MATCH($F193,_怪物类型!$A$2:$A$10,0))*IF($M193="",1,$M193),""))</f>
        <v>1056</v>
      </c>
      <c r="V193" s="6">
        <f t="shared" si="41"/>
        <v>0.0421455938697318</v>
      </c>
      <c r="W193" s="24">
        <f t="shared" si="42"/>
        <v>2071.43775000001</v>
      </c>
      <c r="X193" s="18">
        <f t="shared" si="43"/>
        <v>0.418858868567821</v>
      </c>
      <c r="Y193" s="18">
        <f t="shared" si="44"/>
        <v>31.4757107307229</v>
      </c>
      <c r="Z193" s="18">
        <f t="shared" si="45"/>
        <v>1</v>
      </c>
      <c r="AA193" t="str">
        <f t="shared" si="46"/>
        <v>适中</v>
      </c>
      <c r="AB193" t="str">
        <f t="shared" si="47"/>
        <v>有效</v>
      </c>
      <c r="AC193" t="str">
        <f t="shared" si="48"/>
        <v>不降</v>
      </c>
      <c r="AD193" t="s">
        <v>5862</v>
      </c>
      <c r="AE193" s="4">
        <v>4930</v>
      </c>
      <c r="AF193" s="4">
        <f>INDEX(_统一战力!$B$2:$B$501,J193)</f>
        <v>7220</v>
      </c>
    </row>
    <row r="194" spans="1:32">
      <c r="A194" t="s">
        <v>5548</v>
      </c>
      <c r="B194" t="s">
        <v>5804</v>
      </c>
      <c r="C194" t="s">
        <v>6089</v>
      </c>
      <c r="D194" t="s">
        <v>6090</v>
      </c>
      <c r="E194" t="s">
        <v>6125</v>
      </c>
      <c r="F194" t="s">
        <v>154</v>
      </c>
      <c r="G194">
        <v>7</v>
      </c>
      <c r="I194">
        <f t="shared" si="40"/>
        <v>7</v>
      </c>
      <c r="J194">
        <v>14</v>
      </c>
      <c r="K194" s="23">
        <v>1.04759016676984</v>
      </c>
      <c r="L194" s="23">
        <v>0.82469512195122</v>
      </c>
      <c r="M194" s="23">
        <v>1</v>
      </c>
      <c r="N194">
        <v>1</v>
      </c>
      <c r="O194">
        <v>1</v>
      </c>
      <c r="P194" s="18">
        <v>0.418858868567819</v>
      </c>
      <c r="Q194" s="24">
        <f>IF($I194="","",IFERROR(INDEX(_玩家曲线!$H$2:$H$286,MATCH($I194,_玩家曲线!$A$2:$A$286,0)),""))</f>
        <v>4945.43127875686</v>
      </c>
      <c r="R194" s="24">
        <f>IF($I194="","",IFERROR(INDEX(_玩家曲线!$I$2:$I$286,MATCH($I194,_玩家曲线!$A$2:$A$286,0)),""))</f>
        <v>17028.3595053211</v>
      </c>
      <c r="S194" s="24">
        <f>IF(OR($J194="",$F194="不适用"),"",IFERROR(INDEX(_怪物模型!$D$2:$D$4501,(INT($J194)-1)*ROWS(_怪物类型!$A$2:$A$10)+MATCH($F194,_怪物类型!$A$2:$A$10,0))*IF($K194="",1,$K194),""))</f>
        <v>1984.13577586208</v>
      </c>
      <c r="T194" s="24">
        <f>IF(OR($J194="",$F194="不适用"),"",IFERROR(INDEX(_怪物模型!$E$2:$E$4501,(INT($J194)-1)*ROWS(_怪物类型!$A$2:$A$10)+MATCH($F194,_怪物类型!$A$2:$A$10,0))*IF($L194="",1,$L194),""))</f>
        <v>541</v>
      </c>
      <c r="U194" s="24">
        <f>IF(OR($J194="",$F194="不适用"),"",IFERROR(INDEX(_怪物模型!$F$2:$F$4501,(INT($J194)-1)*ROWS(_怪物类型!$A$2:$A$10)+MATCH($F194,_怪物类型!$A$2:$A$10,0))*IF($M194="",1,$M194),""))</f>
        <v>1056</v>
      </c>
      <c r="V194" s="6">
        <f t="shared" si="41"/>
        <v>0.0421455938697318</v>
      </c>
      <c r="W194" s="24">
        <f t="shared" si="42"/>
        <v>2071.43775000001</v>
      </c>
      <c r="X194" s="18">
        <f t="shared" si="43"/>
        <v>0.418858868567821</v>
      </c>
      <c r="Y194" s="18">
        <f t="shared" si="44"/>
        <v>31.4757107307229</v>
      </c>
      <c r="Z194" s="18">
        <f t="shared" si="45"/>
        <v>1</v>
      </c>
      <c r="AA194" t="str">
        <f t="shared" si="46"/>
        <v>适中</v>
      </c>
      <c r="AB194" t="str">
        <f t="shared" si="47"/>
        <v>有效</v>
      </c>
      <c r="AC194" t="str">
        <f t="shared" si="48"/>
        <v>不降</v>
      </c>
      <c r="AD194" t="s">
        <v>5862</v>
      </c>
      <c r="AE194" s="4">
        <v>4930</v>
      </c>
      <c r="AF194" s="4">
        <f>INDEX(_统一战力!$B$2:$B$501,J194)</f>
        <v>7220</v>
      </c>
    </row>
    <row r="195" spans="1:32">
      <c r="A195" t="s">
        <v>5548</v>
      </c>
      <c r="B195" t="s">
        <v>5804</v>
      </c>
      <c r="C195" t="s">
        <v>6089</v>
      </c>
      <c r="D195" t="s">
        <v>6090</v>
      </c>
      <c r="E195" t="s">
        <v>6126</v>
      </c>
      <c r="F195" t="s">
        <v>154</v>
      </c>
      <c r="G195">
        <v>7</v>
      </c>
      <c r="I195">
        <f t="shared" si="40"/>
        <v>7</v>
      </c>
      <c r="J195">
        <v>14</v>
      </c>
      <c r="K195" s="23">
        <v>1.04759016676984</v>
      </c>
      <c r="L195" s="23">
        <v>0.82469512195122</v>
      </c>
      <c r="M195" s="23">
        <v>1</v>
      </c>
      <c r="N195">
        <v>1</v>
      </c>
      <c r="O195">
        <v>1</v>
      </c>
      <c r="P195" s="18">
        <v>0.418858868567819</v>
      </c>
      <c r="Q195" s="24">
        <f>IF($I195="","",IFERROR(INDEX(_玩家曲线!$H$2:$H$286,MATCH($I195,_玩家曲线!$A$2:$A$286,0)),""))</f>
        <v>4945.43127875686</v>
      </c>
      <c r="R195" s="24">
        <f>IF($I195="","",IFERROR(INDEX(_玩家曲线!$I$2:$I$286,MATCH($I195,_玩家曲线!$A$2:$A$286,0)),""))</f>
        <v>17028.3595053211</v>
      </c>
      <c r="S195" s="24">
        <f>IF(OR($J195="",$F195="不适用"),"",IFERROR(INDEX(_怪物模型!$D$2:$D$4501,(INT($J195)-1)*ROWS(_怪物类型!$A$2:$A$10)+MATCH($F195,_怪物类型!$A$2:$A$10,0))*IF($K195="",1,$K195),""))</f>
        <v>1984.13577586208</v>
      </c>
      <c r="T195" s="24">
        <f>IF(OR($J195="",$F195="不适用"),"",IFERROR(INDEX(_怪物模型!$E$2:$E$4501,(INT($J195)-1)*ROWS(_怪物类型!$A$2:$A$10)+MATCH($F195,_怪物类型!$A$2:$A$10,0))*IF($L195="",1,$L195),""))</f>
        <v>541</v>
      </c>
      <c r="U195" s="24">
        <f>IF(OR($J195="",$F195="不适用"),"",IFERROR(INDEX(_怪物模型!$F$2:$F$4501,(INT($J195)-1)*ROWS(_怪物类型!$A$2:$A$10)+MATCH($F195,_怪物类型!$A$2:$A$10,0))*IF($M195="",1,$M195),""))</f>
        <v>1056</v>
      </c>
      <c r="V195" s="6">
        <f t="shared" si="41"/>
        <v>0.0421455938697318</v>
      </c>
      <c r="W195" s="24">
        <f t="shared" si="42"/>
        <v>2071.43775000001</v>
      </c>
      <c r="X195" s="18">
        <f t="shared" si="43"/>
        <v>0.418858868567821</v>
      </c>
      <c r="Y195" s="18">
        <f t="shared" si="44"/>
        <v>31.4757107307229</v>
      </c>
      <c r="Z195" s="18">
        <f t="shared" si="45"/>
        <v>1</v>
      </c>
      <c r="AA195" t="str">
        <f t="shared" si="46"/>
        <v>适中</v>
      </c>
      <c r="AB195" t="str">
        <f t="shared" si="47"/>
        <v>有效</v>
      </c>
      <c r="AC195" t="str">
        <f t="shared" si="48"/>
        <v>不降</v>
      </c>
      <c r="AD195" t="s">
        <v>5862</v>
      </c>
      <c r="AE195" s="4">
        <v>4930</v>
      </c>
      <c r="AF195" s="4">
        <f>INDEX(_统一战力!$B$2:$B$501,J195)</f>
        <v>7220</v>
      </c>
    </row>
    <row r="196" spans="1:32">
      <c r="A196" t="s">
        <v>5548</v>
      </c>
      <c r="B196" t="s">
        <v>5804</v>
      </c>
      <c r="C196" t="s">
        <v>6089</v>
      </c>
      <c r="D196" t="s">
        <v>6090</v>
      </c>
      <c r="E196" t="s">
        <v>6127</v>
      </c>
      <c r="F196" t="s">
        <v>154</v>
      </c>
      <c r="G196">
        <v>7</v>
      </c>
      <c r="I196">
        <f t="shared" si="40"/>
        <v>7</v>
      </c>
      <c r="J196">
        <v>14</v>
      </c>
      <c r="K196" s="23">
        <v>1.04759016676984</v>
      </c>
      <c r="L196" s="23">
        <v>0.82469512195122</v>
      </c>
      <c r="M196" s="23">
        <v>1</v>
      </c>
      <c r="N196">
        <v>1</v>
      </c>
      <c r="O196">
        <v>1</v>
      </c>
      <c r="P196" s="18">
        <v>0.418858868567819</v>
      </c>
      <c r="Q196" s="24">
        <f>IF($I196="","",IFERROR(INDEX(_玩家曲线!$H$2:$H$286,MATCH($I196,_玩家曲线!$A$2:$A$286,0)),""))</f>
        <v>4945.43127875686</v>
      </c>
      <c r="R196" s="24">
        <f>IF($I196="","",IFERROR(INDEX(_玩家曲线!$I$2:$I$286,MATCH($I196,_玩家曲线!$A$2:$A$286,0)),""))</f>
        <v>17028.3595053211</v>
      </c>
      <c r="S196" s="24">
        <f>IF(OR($J196="",$F196="不适用"),"",IFERROR(INDEX(_怪物模型!$D$2:$D$4501,(INT($J196)-1)*ROWS(_怪物类型!$A$2:$A$10)+MATCH($F196,_怪物类型!$A$2:$A$10,0))*IF($K196="",1,$K196),""))</f>
        <v>1984.13577586208</v>
      </c>
      <c r="T196" s="24">
        <f>IF(OR($J196="",$F196="不适用"),"",IFERROR(INDEX(_怪物模型!$E$2:$E$4501,(INT($J196)-1)*ROWS(_怪物类型!$A$2:$A$10)+MATCH($F196,_怪物类型!$A$2:$A$10,0))*IF($L196="",1,$L196),""))</f>
        <v>541</v>
      </c>
      <c r="U196" s="24">
        <f>IF(OR($J196="",$F196="不适用"),"",IFERROR(INDEX(_怪物模型!$F$2:$F$4501,(INT($J196)-1)*ROWS(_怪物类型!$A$2:$A$10)+MATCH($F196,_怪物类型!$A$2:$A$10,0))*IF($M196="",1,$M196),""))</f>
        <v>1056</v>
      </c>
      <c r="V196" s="6">
        <f t="shared" si="41"/>
        <v>0.0421455938697318</v>
      </c>
      <c r="W196" s="24">
        <f t="shared" si="42"/>
        <v>2071.43775000001</v>
      </c>
      <c r="X196" s="18">
        <f t="shared" si="43"/>
        <v>0.418858868567821</v>
      </c>
      <c r="Y196" s="18">
        <f t="shared" si="44"/>
        <v>31.4757107307229</v>
      </c>
      <c r="Z196" s="18">
        <f t="shared" si="45"/>
        <v>1</v>
      </c>
      <c r="AA196" t="str">
        <f t="shared" si="46"/>
        <v>适中</v>
      </c>
      <c r="AB196" t="str">
        <f t="shared" si="47"/>
        <v>有效</v>
      </c>
      <c r="AC196" t="str">
        <f t="shared" si="48"/>
        <v>不降</v>
      </c>
      <c r="AD196" t="s">
        <v>5862</v>
      </c>
      <c r="AE196" s="4">
        <v>4930</v>
      </c>
      <c r="AF196" s="4">
        <f>INDEX(_统一战力!$B$2:$B$501,J196)</f>
        <v>7220</v>
      </c>
    </row>
    <row r="197" spans="1:32">
      <c r="A197" t="s">
        <v>5548</v>
      </c>
      <c r="B197" t="s">
        <v>5804</v>
      </c>
      <c r="C197" t="s">
        <v>6089</v>
      </c>
      <c r="D197" t="s">
        <v>6090</v>
      </c>
      <c r="E197" t="s">
        <v>6128</v>
      </c>
      <c r="F197" t="s">
        <v>154</v>
      </c>
      <c r="G197">
        <v>7</v>
      </c>
      <c r="I197">
        <f t="shared" si="40"/>
        <v>7</v>
      </c>
      <c r="J197">
        <v>14</v>
      </c>
      <c r="K197" s="23">
        <v>1.04759016676984</v>
      </c>
      <c r="L197" s="23">
        <v>0.82469512195122</v>
      </c>
      <c r="M197" s="23">
        <v>1</v>
      </c>
      <c r="N197">
        <v>1</v>
      </c>
      <c r="O197">
        <v>1</v>
      </c>
      <c r="P197" s="18">
        <v>0.418858868567819</v>
      </c>
      <c r="Q197" s="24">
        <f>IF($I197="","",IFERROR(INDEX(_玩家曲线!$H$2:$H$286,MATCH($I197,_玩家曲线!$A$2:$A$286,0)),""))</f>
        <v>4945.43127875686</v>
      </c>
      <c r="R197" s="24">
        <f>IF($I197="","",IFERROR(INDEX(_玩家曲线!$I$2:$I$286,MATCH($I197,_玩家曲线!$A$2:$A$286,0)),""))</f>
        <v>17028.3595053211</v>
      </c>
      <c r="S197" s="24">
        <f>IF(OR($J197="",$F197="不适用"),"",IFERROR(INDEX(_怪物模型!$D$2:$D$4501,(INT($J197)-1)*ROWS(_怪物类型!$A$2:$A$10)+MATCH($F197,_怪物类型!$A$2:$A$10,0))*IF($K197="",1,$K197),""))</f>
        <v>1984.13577586208</v>
      </c>
      <c r="T197" s="24">
        <f>IF(OR($J197="",$F197="不适用"),"",IFERROR(INDEX(_怪物模型!$E$2:$E$4501,(INT($J197)-1)*ROWS(_怪物类型!$A$2:$A$10)+MATCH($F197,_怪物类型!$A$2:$A$10,0))*IF($L197="",1,$L197),""))</f>
        <v>541</v>
      </c>
      <c r="U197" s="24">
        <f>IF(OR($J197="",$F197="不适用"),"",IFERROR(INDEX(_怪物模型!$F$2:$F$4501,(INT($J197)-1)*ROWS(_怪物类型!$A$2:$A$10)+MATCH($F197,_怪物类型!$A$2:$A$10,0))*IF($M197="",1,$M197),""))</f>
        <v>1056</v>
      </c>
      <c r="V197" s="6">
        <f t="shared" si="41"/>
        <v>0.0421455938697318</v>
      </c>
      <c r="W197" s="24">
        <f t="shared" si="42"/>
        <v>2071.43775000001</v>
      </c>
      <c r="X197" s="18">
        <f t="shared" si="43"/>
        <v>0.418858868567821</v>
      </c>
      <c r="Y197" s="18">
        <f t="shared" si="44"/>
        <v>31.4757107307229</v>
      </c>
      <c r="Z197" s="18">
        <f t="shared" si="45"/>
        <v>1</v>
      </c>
      <c r="AA197" t="str">
        <f t="shared" si="46"/>
        <v>适中</v>
      </c>
      <c r="AB197" t="str">
        <f t="shared" si="47"/>
        <v>有效</v>
      </c>
      <c r="AC197" t="str">
        <f t="shared" si="48"/>
        <v>不降</v>
      </c>
      <c r="AD197" t="s">
        <v>5862</v>
      </c>
      <c r="AE197" s="4">
        <v>4930</v>
      </c>
      <c r="AF197" s="4">
        <f>INDEX(_统一战力!$B$2:$B$501,J197)</f>
        <v>7220</v>
      </c>
    </row>
    <row r="198" spans="1:32">
      <c r="A198" t="s">
        <v>5548</v>
      </c>
      <c r="B198" t="s">
        <v>5804</v>
      </c>
      <c r="C198" t="s">
        <v>6089</v>
      </c>
      <c r="D198" t="s">
        <v>6090</v>
      </c>
      <c r="E198" t="s">
        <v>6129</v>
      </c>
      <c r="F198" t="s">
        <v>154</v>
      </c>
      <c r="G198">
        <v>7</v>
      </c>
      <c r="I198">
        <f t="shared" si="40"/>
        <v>7</v>
      </c>
      <c r="J198">
        <v>14</v>
      </c>
      <c r="K198" s="23">
        <v>1.04759016676984</v>
      </c>
      <c r="L198" s="23">
        <v>0.82469512195122</v>
      </c>
      <c r="M198" s="23">
        <v>1</v>
      </c>
      <c r="N198">
        <v>1</v>
      </c>
      <c r="O198">
        <v>1</v>
      </c>
      <c r="P198" s="18">
        <v>0.418858868567819</v>
      </c>
      <c r="Q198" s="24">
        <f>IF($I198="","",IFERROR(INDEX(_玩家曲线!$H$2:$H$286,MATCH($I198,_玩家曲线!$A$2:$A$286,0)),""))</f>
        <v>4945.43127875686</v>
      </c>
      <c r="R198" s="24">
        <f>IF($I198="","",IFERROR(INDEX(_玩家曲线!$I$2:$I$286,MATCH($I198,_玩家曲线!$A$2:$A$286,0)),""))</f>
        <v>17028.3595053211</v>
      </c>
      <c r="S198" s="24">
        <f>IF(OR($J198="",$F198="不适用"),"",IFERROR(INDEX(_怪物模型!$D$2:$D$4501,(INT($J198)-1)*ROWS(_怪物类型!$A$2:$A$10)+MATCH($F198,_怪物类型!$A$2:$A$10,0))*IF($K198="",1,$K198),""))</f>
        <v>1984.13577586208</v>
      </c>
      <c r="T198" s="24">
        <f>IF(OR($J198="",$F198="不适用"),"",IFERROR(INDEX(_怪物模型!$E$2:$E$4501,(INT($J198)-1)*ROWS(_怪物类型!$A$2:$A$10)+MATCH($F198,_怪物类型!$A$2:$A$10,0))*IF($L198="",1,$L198),""))</f>
        <v>541</v>
      </c>
      <c r="U198" s="24">
        <f>IF(OR($J198="",$F198="不适用"),"",IFERROR(INDEX(_怪物模型!$F$2:$F$4501,(INT($J198)-1)*ROWS(_怪物类型!$A$2:$A$10)+MATCH($F198,_怪物类型!$A$2:$A$10,0))*IF($M198="",1,$M198),""))</f>
        <v>1056</v>
      </c>
      <c r="V198" s="6">
        <f t="shared" si="41"/>
        <v>0.0421455938697318</v>
      </c>
      <c r="W198" s="24">
        <f t="shared" si="42"/>
        <v>2071.43775000001</v>
      </c>
      <c r="X198" s="18">
        <f t="shared" si="43"/>
        <v>0.418858868567821</v>
      </c>
      <c r="Y198" s="18">
        <f t="shared" si="44"/>
        <v>31.4757107307229</v>
      </c>
      <c r="Z198" s="18">
        <f t="shared" si="45"/>
        <v>1</v>
      </c>
      <c r="AA198" t="str">
        <f t="shared" si="46"/>
        <v>适中</v>
      </c>
      <c r="AB198" t="str">
        <f t="shared" si="47"/>
        <v>有效</v>
      </c>
      <c r="AC198" t="str">
        <f t="shared" si="48"/>
        <v>不降</v>
      </c>
      <c r="AD198" t="s">
        <v>5862</v>
      </c>
      <c r="AE198" s="4">
        <v>4930</v>
      </c>
      <c r="AF198" s="4">
        <f>INDEX(_统一战力!$B$2:$B$501,J198)</f>
        <v>7220</v>
      </c>
    </row>
    <row r="199" spans="1:32">
      <c r="A199" t="s">
        <v>5548</v>
      </c>
      <c r="B199" t="s">
        <v>5804</v>
      </c>
      <c r="C199" t="s">
        <v>6089</v>
      </c>
      <c r="D199" t="s">
        <v>6090</v>
      </c>
      <c r="E199" t="s">
        <v>6130</v>
      </c>
      <c r="F199" t="s">
        <v>154</v>
      </c>
      <c r="G199">
        <v>7</v>
      </c>
      <c r="I199">
        <f t="shared" si="40"/>
        <v>7</v>
      </c>
      <c r="J199">
        <v>14</v>
      </c>
      <c r="K199" s="23">
        <v>1.04759016676984</v>
      </c>
      <c r="L199" s="23">
        <v>0.82469512195122</v>
      </c>
      <c r="M199" s="23">
        <v>1</v>
      </c>
      <c r="N199">
        <v>1</v>
      </c>
      <c r="O199">
        <v>1</v>
      </c>
      <c r="P199" s="18">
        <v>0.418858868567819</v>
      </c>
      <c r="Q199" s="24">
        <f>IF($I199="","",IFERROR(INDEX(_玩家曲线!$H$2:$H$286,MATCH($I199,_玩家曲线!$A$2:$A$286,0)),""))</f>
        <v>4945.43127875686</v>
      </c>
      <c r="R199" s="24">
        <f>IF($I199="","",IFERROR(INDEX(_玩家曲线!$I$2:$I$286,MATCH($I199,_玩家曲线!$A$2:$A$286,0)),""))</f>
        <v>17028.3595053211</v>
      </c>
      <c r="S199" s="24">
        <f>IF(OR($J199="",$F199="不适用"),"",IFERROR(INDEX(_怪物模型!$D$2:$D$4501,(INT($J199)-1)*ROWS(_怪物类型!$A$2:$A$10)+MATCH($F199,_怪物类型!$A$2:$A$10,0))*IF($K199="",1,$K199),""))</f>
        <v>1984.13577586208</v>
      </c>
      <c r="T199" s="24">
        <f>IF(OR($J199="",$F199="不适用"),"",IFERROR(INDEX(_怪物模型!$E$2:$E$4501,(INT($J199)-1)*ROWS(_怪物类型!$A$2:$A$10)+MATCH($F199,_怪物类型!$A$2:$A$10,0))*IF($L199="",1,$L199),""))</f>
        <v>541</v>
      </c>
      <c r="U199" s="24">
        <f>IF(OR($J199="",$F199="不适用"),"",IFERROR(INDEX(_怪物模型!$F$2:$F$4501,(INT($J199)-1)*ROWS(_怪物类型!$A$2:$A$10)+MATCH($F199,_怪物类型!$A$2:$A$10,0))*IF($M199="",1,$M199),""))</f>
        <v>1056</v>
      </c>
      <c r="V199" s="6">
        <f t="shared" si="41"/>
        <v>0.0421455938697318</v>
      </c>
      <c r="W199" s="24">
        <f t="shared" si="42"/>
        <v>2071.43775000001</v>
      </c>
      <c r="X199" s="18">
        <f t="shared" si="43"/>
        <v>0.418858868567821</v>
      </c>
      <c r="Y199" s="18">
        <f t="shared" si="44"/>
        <v>31.4757107307229</v>
      </c>
      <c r="Z199" s="18">
        <f t="shared" si="45"/>
        <v>1</v>
      </c>
      <c r="AA199" t="str">
        <f t="shared" si="46"/>
        <v>适中</v>
      </c>
      <c r="AB199" t="str">
        <f t="shared" si="47"/>
        <v>有效</v>
      </c>
      <c r="AC199" t="str">
        <f t="shared" si="48"/>
        <v>不降</v>
      </c>
      <c r="AD199" t="s">
        <v>5862</v>
      </c>
      <c r="AE199" s="4">
        <v>4930</v>
      </c>
      <c r="AF199" s="4">
        <f>INDEX(_统一战力!$B$2:$B$501,J199)</f>
        <v>7220</v>
      </c>
    </row>
    <row r="200" spans="1:32">
      <c r="A200" t="s">
        <v>5548</v>
      </c>
      <c r="B200" t="s">
        <v>5804</v>
      </c>
      <c r="C200" t="s">
        <v>6089</v>
      </c>
      <c r="D200" t="s">
        <v>6090</v>
      </c>
      <c r="E200" t="s">
        <v>6131</v>
      </c>
      <c r="F200" t="s">
        <v>154</v>
      </c>
      <c r="G200">
        <v>7</v>
      </c>
      <c r="I200">
        <f t="shared" si="40"/>
        <v>7</v>
      </c>
      <c r="J200">
        <v>14</v>
      </c>
      <c r="K200" s="23">
        <v>1.04759016676984</v>
      </c>
      <c r="L200" s="23">
        <v>0.82469512195122</v>
      </c>
      <c r="M200" s="23">
        <v>1</v>
      </c>
      <c r="N200">
        <v>1</v>
      </c>
      <c r="O200">
        <v>1</v>
      </c>
      <c r="P200" s="18">
        <v>0.418858868567819</v>
      </c>
      <c r="Q200" s="24">
        <f>IF($I200="","",IFERROR(INDEX(_玩家曲线!$H$2:$H$286,MATCH($I200,_玩家曲线!$A$2:$A$286,0)),""))</f>
        <v>4945.43127875686</v>
      </c>
      <c r="R200" s="24">
        <f>IF($I200="","",IFERROR(INDEX(_玩家曲线!$I$2:$I$286,MATCH($I200,_玩家曲线!$A$2:$A$286,0)),""))</f>
        <v>17028.3595053211</v>
      </c>
      <c r="S200" s="24">
        <f>IF(OR($J200="",$F200="不适用"),"",IFERROR(INDEX(_怪物模型!$D$2:$D$4501,(INT($J200)-1)*ROWS(_怪物类型!$A$2:$A$10)+MATCH($F200,_怪物类型!$A$2:$A$10,0))*IF($K200="",1,$K200),""))</f>
        <v>1984.13577586208</v>
      </c>
      <c r="T200" s="24">
        <f>IF(OR($J200="",$F200="不适用"),"",IFERROR(INDEX(_怪物模型!$E$2:$E$4501,(INT($J200)-1)*ROWS(_怪物类型!$A$2:$A$10)+MATCH($F200,_怪物类型!$A$2:$A$10,0))*IF($L200="",1,$L200),""))</f>
        <v>541</v>
      </c>
      <c r="U200" s="24">
        <f>IF(OR($J200="",$F200="不适用"),"",IFERROR(INDEX(_怪物模型!$F$2:$F$4501,(INT($J200)-1)*ROWS(_怪物类型!$A$2:$A$10)+MATCH($F200,_怪物类型!$A$2:$A$10,0))*IF($M200="",1,$M200),""))</f>
        <v>1056</v>
      </c>
      <c r="V200" s="6">
        <f t="shared" si="41"/>
        <v>0.0421455938697318</v>
      </c>
      <c r="W200" s="24">
        <f t="shared" si="42"/>
        <v>2071.43775000001</v>
      </c>
      <c r="X200" s="18">
        <f t="shared" si="43"/>
        <v>0.418858868567821</v>
      </c>
      <c r="Y200" s="18">
        <f t="shared" si="44"/>
        <v>31.4757107307229</v>
      </c>
      <c r="Z200" s="18">
        <f t="shared" si="45"/>
        <v>1</v>
      </c>
      <c r="AA200" t="str">
        <f t="shared" si="46"/>
        <v>适中</v>
      </c>
      <c r="AB200" t="str">
        <f t="shared" si="47"/>
        <v>有效</v>
      </c>
      <c r="AC200" t="str">
        <f t="shared" si="48"/>
        <v>不降</v>
      </c>
      <c r="AD200" t="s">
        <v>5862</v>
      </c>
      <c r="AE200" s="4">
        <v>4930</v>
      </c>
      <c r="AF200" s="4">
        <f>INDEX(_统一战力!$B$2:$B$501,J200)</f>
        <v>7220</v>
      </c>
    </row>
    <row r="201" spans="1:32">
      <c r="A201" t="s">
        <v>5548</v>
      </c>
      <c r="B201" t="s">
        <v>5804</v>
      </c>
      <c r="C201" t="s">
        <v>6089</v>
      </c>
      <c r="D201" t="s">
        <v>6090</v>
      </c>
      <c r="E201" t="s">
        <v>6132</v>
      </c>
      <c r="F201" t="s">
        <v>154</v>
      </c>
      <c r="G201">
        <v>7</v>
      </c>
      <c r="I201">
        <f t="shared" si="40"/>
        <v>7</v>
      </c>
      <c r="J201">
        <v>14</v>
      </c>
      <c r="K201" s="23">
        <v>1.04759016676984</v>
      </c>
      <c r="L201" s="23">
        <v>0.82469512195122</v>
      </c>
      <c r="M201" s="23">
        <v>1</v>
      </c>
      <c r="N201">
        <v>1</v>
      </c>
      <c r="O201">
        <v>1</v>
      </c>
      <c r="P201" s="18">
        <v>0.418858868567819</v>
      </c>
      <c r="Q201" s="24">
        <f>IF($I201="","",IFERROR(INDEX(_玩家曲线!$H$2:$H$286,MATCH($I201,_玩家曲线!$A$2:$A$286,0)),""))</f>
        <v>4945.43127875686</v>
      </c>
      <c r="R201" s="24">
        <f>IF($I201="","",IFERROR(INDEX(_玩家曲线!$I$2:$I$286,MATCH($I201,_玩家曲线!$A$2:$A$286,0)),""))</f>
        <v>17028.3595053211</v>
      </c>
      <c r="S201" s="24">
        <f>IF(OR($J201="",$F201="不适用"),"",IFERROR(INDEX(_怪物模型!$D$2:$D$4501,(INT($J201)-1)*ROWS(_怪物类型!$A$2:$A$10)+MATCH($F201,_怪物类型!$A$2:$A$10,0))*IF($K201="",1,$K201),""))</f>
        <v>1984.13577586208</v>
      </c>
      <c r="T201" s="24">
        <f>IF(OR($J201="",$F201="不适用"),"",IFERROR(INDEX(_怪物模型!$E$2:$E$4501,(INT($J201)-1)*ROWS(_怪物类型!$A$2:$A$10)+MATCH($F201,_怪物类型!$A$2:$A$10,0))*IF($L201="",1,$L201),""))</f>
        <v>541</v>
      </c>
      <c r="U201" s="24">
        <f>IF(OR($J201="",$F201="不适用"),"",IFERROR(INDEX(_怪物模型!$F$2:$F$4501,(INT($J201)-1)*ROWS(_怪物类型!$A$2:$A$10)+MATCH($F201,_怪物类型!$A$2:$A$10,0))*IF($M201="",1,$M201),""))</f>
        <v>1056</v>
      </c>
      <c r="V201" s="6">
        <f t="shared" si="41"/>
        <v>0.0421455938697318</v>
      </c>
      <c r="W201" s="24">
        <f t="shared" si="42"/>
        <v>2071.43775000001</v>
      </c>
      <c r="X201" s="18">
        <f t="shared" si="43"/>
        <v>0.418858868567821</v>
      </c>
      <c r="Y201" s="18">
        <f t="shared" si="44"/>
        <v>31.4757107307229</v>
      </c>
      <c r="Z201" s="18">
        <f t="shared" si="45"/>
        <v>1</v>
      </c>
      <c r="AA201" t="str">
        <f t="shared" si="46"/>
        <v>适中</v>
      </c>
      <c r="AB201" t="str">
        <f t="shared" si="47"/>
        <v>有效</v>
      </c>
      <c r="AC201" t="str">
        <f t="shared" si="48"/>
        <v>不降</v>
      </c>
      <c r="AD201" t="s">
        <v>5862</v>
      </c>
      <c r="AE201" s="4">
        <v>4930</v>
      </c>
      <c r="AF201" s="4">
        <f>INDEX(_统一战力!$B$2:$B$501,J201)</f>
        <v>7220</v>
      </c>
    </row>
    <row r="202" spans="1:32">
      <c r="A202" t="s">
        <v>5548</v>
      </c>
      <c r="B202" t="s">
        <v>5804</v>
      </c>
      <c r="C202" t="s">
        <v>6089</v>
      </c>
      <c r="D202" t="s">
        <v>6090</v>
      </c>
      <c r="E202" t="s">
        <v>6133</v>
      </c>
      <c r="F202" t="s">
        <v>154</v>
      </c>
      <c r="G202">
        <v>7</v>
      </c>
      <c r="I202">
        <f t="shared" si="40"/>
        <v>7</v>
      </c>
      <c r="J202">
        <v>14</v>
      </c>
      <c r="K202" s="23">
        <v>1.04759016676984</v>
      </c>
      <c r="L202" s="23">
        <v>0.82469512195122</v>
      </c>
      <c r="M202" s="23">
        <v>1</v>
      </c>
      <c r="N202">
        <v>1</v>
      </c>
      <c r="O202">
        <v>1</v>
      </c>
      <c r="P202" s="18">
        <v>0.418858868567819</v>
      </c>
      <c r="Q202" s="24">
        <f>IF($I202="","",IFERROR(INDEX(_玩家曲线!$H$2:$H$286,MATCH($I202,_玩家曲线!$A$2:$A$286,0)),""))</f>
        <v>4945.43127875686</v>
      </c>
      <c r="R202" s="24">
        <f>IF($I202="","",IFERROR(INDEX(_玩家曲线!$I$2:$I$286,MATCH($I202,_玩家曲线!$A$2:$A$286,0)),""))</f>
        <v>17028.3595053211</v>
      </c>
      <c r="S202" s="24">
        <f>IF(OR($J202="",$F202="不适用"),"",IFERROR(INDEX(_怪物模型!$D$2:$D$4501,(INT($J202)-1)*ROWS(_怪物类型!$A$2:$A$10)+MATCH($F202,_怪物类型!$A$2:$A$10,0))*IF($K202="",1,$K202),""))</f>
        <v>1984.13577586208</v>
      </c>
      <c r="T202" s="24">
        <f>IF(OR($J202="",$F202="不适用"),"",IFERROR(INDEX(_怪物模型!$E$2:$E$4501,(INT($J202)-1)*ROWS(_怪物类型!$A$2:$A$10)+MATCH($F202,_怪物类型!$A$2:$A$10,0))*IF($L202="",1,$L202),""))</f>
        <v>541</v>
      </c>
      <c r="U202" s="24">
        <f>IF(OR($J202="",$F202="不适用"),"",IFERROR(INDEX(_怪物模型!$F$2:$F$4501,(INT($J202)-1)*ROWS(_怪物类型!$A$2:$A$10)+MATCH($F202,_怪物类型!$A$2:$A$10,0))*IF($M202="",1,$M202),""))</f>
        <v>1056</v>
      </c>
      <c r="V202" s="6">
        <f t="shared" si="41"/>
        <v>0.0421455938697318</v>
      </c>
      <c r="W202" s="24">
        <f t="shared" si="42"/>
        <v>2071.43775000001</v>
      </c>
      <c r="X202" s="18">
        <f t="shared" si="43"/>
        <v>0.418858868567821</v>
      </c>
      <c r="Y202" s="18">
        <f t="shared" si="44"/>
        <v>31.4757107307229</v>
      </c>
      <c r="Z202" s="18">
        <f t="shared" si="45"/>
        <v>1</v>
      </c>
      <c r="AA202" t="str">
        <f t="shared" si="46"/>
        <v>适中</v>
      </c>
      <c r="AB202" t="str">
        <f t="shared" si="47"/>
        <v>有效</v>
      </c>
      <c r="AC202" t="str">
        <f t="shared" si="48"/>
        <v>不降</v>
      </c>
      <c r="AD202" t="s">
        <v>5862</v>
      </c>
      <c r="AE202" s="4">
        <v>4930</v>
      </c>
      <c r="AF202" s="4">
        <f>INDEX(_统一战力!$B$2:$B$501,J202)</f>
        <v>7220</v>
      </c>
    </row>
    <row r="203" spans="1:32">
      <c r="A203" t="s">
        <v>5548</v>
      </c>
      <c r="B203" t="s">
        <v>5804</v>
      </c>
      <c r="C203" t="s">
        <v>6089</v>
      </c>
      <c r="D203" t="s">
        <v>6090</v>
      </c>
      <c r="E203" t="s">
        <v>6134</v>
      </c>
      <c r="F203" t="s">
        <v>154</v>
      </c>
      <c r="G203">
        <v>7</v>
      </c>
      <c r="I203">
        <f t="shared" si="40"/>
        <v>7</v>
      </c>
      <c r="J203">
        <v>14</v>
      </c>
      <c r="K203" s="23">
        <v>1.04759016676984</v>
      </c>
      <c r="L203" s="23">
        <v>0.82469512195122</v>
      </c>
      <c r="M203" s="23">
        <v>1</v>
      </c>
      <c r="N203">
        <v>1</v>
      </c>
      <c r="O203">
        <v>1</v>
      </c>
      <c r="P203" s="18">
        <v>0.418858868567819</v>
      </c>
      <c r="Q203" s="24">
        <f>IF($I203="","",IFERROR(INDEX(_玩家曲线!$H$2:$H$286,MATCH($I203,_玩家曲线!$A$2:$A$286,0)),""))</f>
        <v>4945.43127875686</v>
      </c>
      <c r="R203" s="24">
        <f>IF($I203="","",IFERROR(INDEX(_玩家曲线!$I$2:$I$286,MATCH($I203,_玩家曲线!$A$2:$A$286,0)),""))</f>
        <v>17028.3595053211</v>
      </c>
      <c r="S203" s="24">
        <f>IF(OR($J203="",$F203="不适用"),"",IFERROR(INDEX(_怪物模型!$D$2:$D$4501,(INT($J203)-1)*ROWS(_怪物类型!$A$2:$A$10)+MATCH($F203,_怪物类型!$A$2:$A$10,0))*IF($K203="",1,$K203),""))</f>
        <v>1984.13577586208</v>
      </c>
      <c r="T203" s="24">
        <f>IF(OR($J203="",$F203="不适用"),"",IFERROR(INDEX(_怪物模型!$E$2:$E$4501,(INT($J203)-1)*ROWS(_怪物类型!$A$2:$A$10)+MATCH($F203,_怪物类型!$A$2:$A$10,0))*IF($L203="",1,$L203),""))</f>
        <v>541</v>
      </c>
      <c r="U203" s="24">
        <f>IF(OR($J203="",$F203="不适用"),"",IFERROR(INDEX(_怪物模型!$F$2:$F$4501,(INT($J203)-1)*ROWS(_怪物类型!$A$2:$A$10)+MATCH($F203,_怪物类型!$A$2:$A$10,0))*IF($M203="",1,$M203),""))</f>
        <v>1056</v>
      </c>
      <c r="V203" s="6">
        <f t="shared" si="41"/>
        <v>0.0421455938697318</v>
      </c>
      <c r="W203" s="24">
        <f t="shared" si="42"/>
        <v>2071.43775000001</v>
      </c>
      <c r="X203" s="18">
        <f t="shared" si="43"/>
        <v>0.418858868567821</v>
      </c>
      <c r="Y203" s="18">
        <f t="shared" si="44"/>
        <v>31.4757107307229</v>
      </c>
      <c r="Z203" s="18">
        <f t="shared" si="45"/>
        <v>1</v>
      </c>
      <c r="AA203" t="str">
        <f t="shared" si="46"/>
        <v>适中</v>
      </c>
      <c r="AB203" t="str">
        <f t="shared" si="47"/>
        <v>有效</v>
      </c>
      <c r="AC203" t="str">
        <f t="shared" si="48"/>
        <v>不降</v>
      </c>
      <c r="AD203" t="s">
        <v>5862</v>
      </c>
      <c r="AE203" s="4">
        <v>4930</v>
      </c>
      <c r="AF203" s="4">
        <f>INDEX(_统一战力!$B$2:$B$501,J203)</f>
        <v>7220</v>
      </c>
    </row>
    <row r="204" spans="1:32">
      <c r="A204" t="s">
        <v>5548</v>
      </c>
      <c r="B204" t="s">
        <v>5804</v>
      </c>
      <c r="C204" t="s">
        <v>6089</v>
      </c>
      <c r="D204" t="s">
        <v>6090</v>
      </c>
      <c r="E204" t="s">
        <v>6135</v>
      </c>
      <c r="F204" t="s">
        <v>154</v>
      </c>
      <c r="G204">
        <v>7</v>
      </c>
      <c r="I204">
        <f t="shared" si="40"/>
        <v>7</v>
      </c>
      <c r="J204">
        <v>14</v>
      </c>
      <c r="K204" s="23">
        <v>1.04759016676984</v>
      </c>
      <c r="L204" s="23">
        <v>0.82469512195122</v>
      </c>
      <c r="M204" s="23">
        <v>1</v>
      </c>
      <c r="N204">
        <v>1</v>
      </c>
      <c r="O204">
        <v>1</v>
      </c>
      <c r="P204" s="18">
        <v>0.418858868567819</v>
      </c>
      <c r="Q204" s="24">
        <f>IF($I204="","",IFERROR(INDEX(_玩家曲线!$H$2:$H$286,MATCH($I204,_玩家曲线!$A$2:$A$286,0)),""))</f>
        <v>4945.43127875686</v>
      </c>
      <c r="R204" s="24">
        <f>IF($I204="","",IFERROR(INDEX(_玩家曲线!$I$2:$I$286,MATCH($I204,_玩家曲线!$A$2:$A$286,0)),""))</f>
        <v>17028.3595053211</v>
      </c>
      <c r="S204" s="24">
        <f>IF(OR($J204="",$F204="不适用"),"",IFERROR(INDEX(_怪物模型!$D$2:$D$4501,(INT($J204)-1)*ROWS(_怪物类型!$A$2:$A$10)+MATCH($F204,_怪物类型!$A$2:$A$10,0))*IF($K204="",1,$K204),""))</f>
        <v>1984.13577586208</v>
      </c>
      <c r="T204" s="24">
        <f>IF(OR($J204="",$F204="不适用"),"",IFERROR(INDEX(_怪物模型!$E$2:$E$4501,(INT($J204)-1)*ROWS(_怪物类型!$A$2:$A$10)+MATCH($F204,_怪物类型!$A$2:$A$10,0))*IF($L204="",1,$L204),""))</f>
        <v>541</v>
      </c>
      <c r="U204" s="24">
        <f>IF(OR($J204="",$F204="不适用"),"",IFERROR(INDEX(_怪物模型!$F$2:$F$4501,(INT($J204)-1)*ROWS(_怪物类型!$A$2:$A$10)+MATCH($F204,_怪物类型!$A$2:$A$10,0))*IF($M204="",1,$M204),""))</f>
        <v>1056</v>
      </c>
      <c r="V204" s="6">
        <f t="shared" si="41"/>
        <v>0.0421455938697318</v>
      </c>
      <c r="W204" s="24">
        <f t="shared" si="42"/>
        <v>2071.43775000001</v>
      </c>
      <c r="X204" s="18">
        <f t="shared" si="43"/>
        <v>0.418858868567821</v>
      </c>
      <c r="Y204" s="18">
        <f t="shared" si="44"/>
        <v>31.4757107307229</v>
      </c>
      <c r="Z204" s="18">
        <f t="shared" si="45"/>
        <v>1</v>
      </c>
      <c r="AA204" t="str">
        <f t="shared" si="46"/>
        <v>适中</v>
      </c>
      <c r="AB204" t="str">
        <f t="shared" si="47"/>
        <v>有效</v>
      </c>
      <c r="AC204" t="str">
        <f t="shared" si="48"/>
        <v>不降</v>
      </c>
      <c r="AD204" t="s">
        <v>5862</v>
      </c>
      <c r="AE204" s="4">
        <v>4930</v>
      </c>
      <c r="AF204" s="4">
        <f>INDEX(_统一战力!$B$2:$B$501,J204)</f>
        <v>7220</v>
      </c>
    </row>
    <row r="205" spans="1:32">
      <c r="A205" t="s">
        <v>5548</v>
      </c>
      <c r="B205" t="s">
        <v>5804</v>
      </c>
      <c r="C205" t="s">
        <v>6089</v>
      </c>
      <c r="D205" t="s">
        <v>6090</v>
      </c>
      <c r="E205" t="s">
        <v>6136</v>
      </c>
      <c r="F205" t="s">
        <v>154</v>
      </c>
      <c r="G205">
        <v>7</v>
      </c>
      <c r="I205">
        <f t="shared" si="40"/>
        <v>7</v>
      </c>
      <c r="J205">
        <v>14</v>
      </c>
      <c r="K205" s="23">
        <v>1.04759016676984</v>
      </c>
      <c r="L205" s="23">
        <v>0.82469512195122</v>
      </c>
      <c r="M205" s="23">
        <v>1</v>
      </c>
      <c r="N205">
        <v>1</v>
      </c>
      <c r="O205">
        <v>1</v>
      </c>
      <c r="P205" s="18">
        <v>0.418858868567819</v>
      </c>
      <c r="Q205" s="24">
        <f>IF($I205="","",IFERROR(INDEX(_玩家曲线!$H$2:$H$286,MATCH($I205,_玩家曲线!$A$2:$A$286,0)),""))</f>
        <v>4945.43127875686</v>
      </c>
      <c r="R205" s="24">
        <f>IF($I205="","",IFERROR(INDEX(_玩家曲线!$I$2:$I$286,MATCH($I205,_玩家曲线!$A$2:$A$286,0)),""))</f>
        <v>17028.3595053211</v>
      </c>
      <c r="S205" s="24">
        <f>IF(OR($J205="",$F205="不适用"),"",IFERROR(INDEX(_怪物模型!$D$2:$D$4501,(INT($J205)-1)*ROWS(_怪物类型!$A$2:$A$10)+MATCH($F205,_怪物类型!$A$2:$A$10,0))*IF($K205="",1,$K205),""))</f>
        <v>1984.13577586208</v>
      </c>
      <c r="T205" s="24">
        <f>IF(OR($J205="",$F205="不适用"),"",IFERROR(INDEX(_怪物模型!$E$2:$E$4501,(INT($J205)-1)*ROWS(_怪物类型!$A$2:$A$10)+MATCH($F205,_怪物类型!$A$2:$A$10,0))*IF($L205="",1,$L205),""))</f>
        <v>541</v>
      </c>
      <c r="U205" s="24">
        <f>IF(OR($J205="",$F205="不适用"),"",IFERROR(INDEX(_怪物模型!$F$2:$F$4501,(INT($J205)-1)*ROWS(_怪物类型!$A$2:$A$10)+MATCH($F205,_怪物类型!$A$2:$A$10,0))*IF($M205="",1,$M205),""))</f>
        <v>1056</v>
      </c>
      <c r="V205" s="6">
        <f t="shared" si="41"/>
        <v>0.0421455938697318</v>
      </c>
      <c r="W205" s="24">
        <f t="shared" si="42"/>
        <v>2071.43775000001</v>
      </c>
      <c r="X205" s="18">
        <f t="shared" si="43"/>
        <v>0.418858868567821</v>
      </c>
      <c r="Y205" s="18">
        <f t="shared" si="44"/>
        <v>31.4757107307229</v>
      </c>
      <c r="Z205" s="18">
        <f t="shared" si="45"/>
        <v>1</v>
      </c>
      <c r="AA205" t="str">
        <f t="shared" si="46"/>
        <v>适中</v>
      </c>
      <c r="AB205" t="str">
        <f t="shared" si="47"/>
        <v>有效</v>
      </c>
      <c r="AC205" t="str">
        <f t="shared" si="48"/>
        <v>不降</v>
      </c>
      <c r="AD205" t="s">
        <v>5862</v>
      </c>
      <c r="AE205" s="4">
        <v>4930</v>
      </c>
      <c r="AF205" s="4">
        <f>INDEX(_统一战力!$B$2:$B$501,J205)</f>
        <v>7220</v>
      </c>
    </row>
    <row r="206" spans="1:32">
      <c r="A206" t="s">
        <v>5548</v>
      </c>
      <c r="B206" t="s">
        <v>5804</v>
      </c>
      <c r="C206" t="s">
        <v>6089</v>
      </c>
      <c r="D206" t="s">
        <v>6090</v>
      </c>
      <c r="E206" t="s">
        <v>6137</v>
      </c>
      <c r="F206" t="s">
        <v>154</v>
      </c>
      <c r="G206">
        <v>7</v>
      </c>
      <c r="I206">
        <f t="shared" si="40"/>
        <v>7</v>
      </c>
      <c r="J206">
        <v>14</v>
      </c>
      <c r="K206" s="23">
        <v>1.04759016676984</v>
      </c>
      <c r="L206" s="23">
        <v>0.82469512195122</v>
      </c>
      <c r="M206" s="23">
        <v>1</v>
      </c>
      <c r="N206">
        <v>1</v>
      </c>
      <c r="O206">
        <v>1</v>
      </c>
      <c r="P206" s="18">
        <v>0.418858868567819</v>
      </c>
      <c r="Q206" s="24">
        <f>IF($I206="","",IFERROR(INDEX(_玩家曲线!$H$2:$H$286,MATCH($I206,_玩家曲线!$A$2:$A$286,0)),""))</f>
        <v>4945.43127875686</v>
      </c>
      <c r="R206" s="24">
        <f>IF($I206="","",IFERROR(INDEX(_玩家曲线!$I$2:$I$286,MATCH($I206,_玩家曲线!$A$2:$A$286,0)),""))</f>
        <v>17028.3595053211</v>
      </c>
      <c r="S206" s="24">
        <f>IF(OR($J206="",$F206="不适用"),"",IFERROR(INDEX(_怪物模型!$D$2:$D$4501,(INT($J206)-1)*ROWS(_怪物类型!$A$2:$A$10)+MATCH($F206,_怪物类型!$A$2:$A$10,0))*IF($K206="",1,$K206),""))</f>
        <v>1984.13577586208</v>
      </c>
      <c r="T206" s="24">
        <f>IF(OR($J206="",$F206="不适用"),"",IFERROR(INDEX(_怪物模型!$E$2:$E$4501,(INT($J206)-1)*ROWS(_怪物类型!$A$2:$A$10)+MATCH($F206,_怪物类型!$A$2:$A$10,0))*IF($L206="",1,$L206),""))</f>
        <v>541</v>
      </c>
      <c r="U206" s="24">
        <f>IF(OR($J206="",$F206="不适用"),"",IFERROR(INDEX(_怪物模型!$F$2:$F$4501,(INT($J206)-1)*ROWS(_怪物类型!$A$2:$A$10)+MATCH($F206,_怪物类型!$A$2:$A$10,0))*IF($M206="",1,$M206),""))</f>
        <v>1056</v>
      </c>
      <c r="V206" s="6">
        <f t="shared" si="41"/>
        <v>0.0421455938697318</v>
      </c>
      <c r="W206" s="24">
        <f t="shared" si="42"/>
        <v>2071.43775000001</v>
      </c>
      <c r="X206" s="18">
        <f t="shared" si="43"/>
        <v>0.418858868567821</v>
      </c>
      <c r="Y206" s="18">
        <f t="shared" si="44"/>
        <v>31.4757107307229</v>
      </c>
      <c r="Z206" s="18">
        <f t="shared" si="45"/>
        <v>1</v>
      </c>
      <c r="AA206" t="str">
        <f t="shared" si="46"/>
        <v>适中</v>
      </c>
      <c r="AB206" t="str">
        <f t="shared" si="47"/>
        <v>有效</v>
      </c>
      <c r="AC206" t="str">
        <f t="shared" si="48"/>
        <v>不降</v>
      </c>
      <c r="AD206" t="s">
        <v>5862</v>
      </c>
      <c r="AE206" s="4">
        <v>4930</v>
      </c>
      <c r="AF206" s="4">
        <f>INDEX(_统一战力!$B$2:$B$501,J206)</f>
        <v>7220</v>
      </c>
    </row>
    <row r="207" spans="1:32">
      <c r="A207" t="s">
        <v>5548</v>
      </c>
      <c r="B207" t="s">
        <v>5804</v>
      </c>
      <c r="C207" t="s">
        <v>6089</v>
      </c>
      <c r="D207" t="s">
        <v>6090</v>
      </c>
      <c r="E207" t="s">
        <v>6138</v>
      </c>
      <c r="F207" t="s">
        <v>154</v>
      </c>
      <c r="G207">
        <v>7</v>
      </c>
      <c r="I207">
        <f t="shared" si="40"/>
        <v>7</v>
      </c>
      <c r="J207">
        <v>14</v>
      </c>
      <c r="K207" s="23">
        <v>1.04759016676984</v>
      </c>
      <c r="L207" s="23">
        <v>0.82469512195122</v>
      </c>
      <c r="M207" s="23">
        <v>1</v>
      </c>
      <c r="N207">
        <v>1</v>
      </c>
      <c r="O207">
        <v>1</v>
      </c>
      <c r="P207" s="18">
        <v>0.418858868567819</v>
      </c>
      <c r="Q207" s="24">
        <f>IF($I207="","",IFERROR(INDEX(_玩家曲线!$H$2:$H$286,MATCH($I207,_玩家曲线!$A$2:$A$286,0)),""))</f>
        <v>4945.43127875686</v>
      </c>
      <c r="R207" s="24">
        <f>IF($I207="","",IFERROR(INDEX(_玩家曲线!$I$2:$I$286,MATCH($I207,_玩家曲线!$A$2:$A$286,0)),""))</f>
        <v>17028.3595053211</v>
      </c>
      <c r="S207" s="24">
        <f>IF(OR($J207="",$F207="不适用"),"",IFERROR(INDEX(_怪物模型!$D$2:$D$4501,(INT($J207)-1)*ROWS(_怪物类型!$A$2:$A$10)+MATCH($F207,_怪物类型!$A$2:$A$10,0))*IF($K207="",1,$K207),""))</f>
        <v>1984.13577586208</v>
      </c>
      <c r="T207" s="24">
        <f>IF(OR($J207="",$F207="不适用"),"",IFERROR(INDEX(_怪物模型!$E$2:$E$4501,(INT($J207)-1)*ROWS(_怪物类型!$A$2:$A$10)+MATCH($F207,_怪物类型!$A$2:$A$10,0))*IF($L207="",1,$L207),""))</f>
        <v>541</v>
      </c>
      <c r="U207" s="24">
        <f>IF(OR($J207="",$F207="不适用"),"",IFERROR(INDEX(_怪物模型!$F$2:$F$4501,(INT($J207)-1)*ROWS(_怪物类型!$A$2:$A$10)+MATCH($F207,_怪物类型!$A$2:$A$10,0))*IF($M207="",1,$M207),""))</f>
        <v>1056</v>
      </c>
      <c r="V207" s="6">
        <f t="shared" si="41"/>
        <v>0.0421455938697318</v>
      </c>
      <c r="W207" s="24">
        <f t="shared" si="42"/>
        <v>2071.43775000001</v>
      </c>
      <c r="X207" s="18">
        <f t="shared" si="43"/>
        <v>0.418858868567821</v>
      </c>
      <c r="Y207" s="18">
        <f t="shared" si="44"/>
        <v>31.4757107307229</v>
      </c>
      <c r="Z207" s="18">
        <f t="shared" si="45"/>
        <v>1</v>
      </c>
      <c r="AA207" t="str">
        <f t="shared" si="46"/>
        <v>适中</v>
      </c>
      <c r="AB207" t="str">
        <f t="shared" si="47"/>
        <v>有效</v>
      </c>
      <c r="AC207" t="str">
        <f t="shared" si="48"/>
        <v>不降</v>
      </c>
      <c r="AD207" t="s">
        <v>5862</v>
      </c>
      <c r="AE207" s="4">
        <v>4930</v>
      </c>
      <c r="AF207" s="4">
        <f>INDEX(_统一战力!$B$2:$B$501,J207)</f>
        <v>7220</v>
      </c>
    </row>
    <row r="208" spans="1:32">
      <c r="A208" t="s">
        <v>5548</v>
      </c>
      <c r="B208" t="s">
        <v>5804</v>
      </c>
      <c r="C208" t="s">
        <v>6089</v>
      </c>
      <c r="D208" t="s">
        <v>6090</v>
      </c>
      <c r="E208" t="s">
        <v>6139</v>
      </c>
      <c r="F208" t="s">
        <v>154</v>
      </c>
      <c r="G208">
        <v>7</v>
      </c>
      <c r="I208">
        <f t="shared" si="40"/>
        <v>7</v>
      </c>
      <c r="J208">
        <v>14</v>
      </c>
      <c r="K208" s="23">
        <v>1.04759016676984</v>
      </c>
      <c r="L208" s="23">
        <v>0.82469512195122</v>
      </c>
      <c r="M208" s="23">
        <v>1</v>
      </c>
      <c r="N208">
        <v>1</v>
      </c>
      <c r="O208">
        <v>1</v>
      </c>
      <c r="P208" s="18">
        <v>0.418858868567819</v>
      </c>
      <c r="Q208" s="24">
        <f>IF($I208="","",IFERROR(INDEX(_玩家曲线!$H$2:$H$286,MATCH($I208,_玩家曲线!$A$2:$A$286,0)),""))</f>
        <v>4945.43127875686</v>
      </c>
      <c r="R208" s="24">
        <f>IF($I208="","",IFERROR(INDEX(_玩家曲线!$I$2:$I$286,MATCH($I208,_玩家曲线!$A$2:$A$286,0)),""))</f>
        <v>17028.3595053211</v>
      </c>
      <c r="S208" s="24">
        <f>IF(OR($J208="",$F208="不适用"),"",IFERROR(INDEX(_怪物模型!$D$2:$D$4501,(INT($J208)-1)*ROWS(_怪物类型!$A$2:$A$10)+MATCH($F208,_怪物类型!$A$2:$A$10,0))*IF($K208="",1,$K208),""))</f>
        <v>1984.13577586208</v>
      </c>
      <c r="T208" s="24">
        <f>IF(OR($J208="",$F208="不适用"),"",IFERROR(INDEX(_怪物模型!$E$2:$E$4501,(INT($J208)-1)*ROWS(_怪物类型!$A$2:$A$10)+MATCH($F208,_怪物类型!$A$2:$A$10,0))*IF($L208="",1,$L208),""))</f>
        <v>541</v>
      </c>
      <c r="U208" s="24">
        <f>IF(OR($J208="",$F208="不适用"),"",IFERROR(INDEX(_怪物模型!$F$2:$F$4501,(INT($J208)-1)*ROWS(_怪物类型!$A$2:$A$10)+MATCH($F208,_怪物类型!$A$2:$A$10,0))*IF($M208="",1,$M208),""))</f>
        <v>1056</v>
      </c>
      <c r="V208" s="6">
        <f t="shared" si="41"/>
        <v>0.0421455938697318</v>
      </c>
      <c r="W208" s="24">
        <f t="shared" si="42"/>
        <v>2071.43775000001</v>
      </c>
      <c r="X208" s="18">
        <f t="shared" si="43"/>
        <v>0.418858868567821</v>
      </c>
      <c r="Y208" s="18">
        <f t="shared" si="44"/>
        <v>31.4757107307229</v>
      </c>
      <c r="Z208" s="18">
        <f t="shared" si="45"/>
        <v>1</v>
      </c>
      <c r="AA208" t="str">
        <f t="shared" si="46"/>
        <v>适中</v>
      </c>
      <c r="AB208" t="str">
        <f t="shared" si="47"/>
        <v>有效</v>
      </c>
      <c r="AC208" t="str">
        <f t="shared" si="48"/>
        <v>不降</v>
      </c>
      <c r="AD208" t="s">
        <v>5862</v>
      </c>
      <c r="AE208" s="4">
        <v>4930</v>
      </c>
      <c r="AF208" s="4">
        <f>INDEX(_统一战力!$B$2:$B$501,J208)</f>
        <v>7220</v>
      </c>
    </row>
    <row r="209" spans="1:32">
      <c r="A209" t="s">
        <v>5548</v>
      </c>
      <c r="B209" t="s">
        <v>5804</v>
      </c>
      <c r="C209" t="s">
        <v>6089</v>
      </c>
      <c r="D209" t="s">
        <v>6090</v>
      </c>
      <c r="E209" t="s">
        <v>6140</v>
      </c>
      <c r="F209" t="s">
        <v>154</v>
      </c>
      <c r="G209">
        <v>7</v>
      </c>
      <c r="I209">
        <f t="shared" si="40"/>
        <v>7</v>
      </c>
      <c r="J209">
        <v>14</v>
      </c>
      <c r="K209" s="23">
        <v>1.04759016676984</v>
      </c>
      <c r="L209" s="23">
        <v>0.82469512195122</v>
      </c>
      <c r="M209" s="23">
        <v>1</v>
      </c>
      <c r="N209">
        <v>1</v>
      </c>
      <c r="O209">
        <v>1</v>
      </c>
      <c r="P209" s="18">
        <v>0.418858868567819</v>
      </c>
      <c r="Q209" s="24">
        <f>IF($I209="","",IFERROR(INDEX(_玩家曲线!$H$2:$H$286,MATCH($I209,_玩家曲线!$A$2:$A$286,0)),""))</f>
        <v>4945.43127875686</v>
      </c>
      <c r="R209" s="24">
        <f>IF($I209="","",IFERROR(INDEX(_玩家曲线!$I$2:$I$286,MATCH($I209,_玩家曲线!$A$2:$A$286,0)),""))</f>
        <v>17028.3595053211</v>
      </c>
      <c r="S209" s="24">
        <f>IF(OR($J209="",$F209="不适用"),"",IFERROR(INDEX(_怪物模型!$D$2:$D$4501,(INT($J209)-1)*ROWS(_怪物类型!$A$2:$A$10)+MATCH($F209,_怪物类型!$A$2:$A$10,0))*IF($K209="",1,$K209),""))</f>
        <v>1984.13577586208</v>
      </c>
      <c r="T209" s="24">
        <f>IF(OR($J209="",$F209="不适用"),"",IFERROR(INDEX(_怪物模型!$E$2:$E$4501,(INT($J209)-1)*ROWS(_怪物类型!$A$2:$A$10)+MATCH($F209,_怪物类型!$A$2:$A$10,0))*IF($L209="",1,$L209),""))</f>
        <v>541</v>
      </c>
      <c r="U209" s="24">
        <f>IF(OR($J209="",$F209="不适用"),"",IFERROR(INDEX(_怪物模型!$F$2:$F$4501,(INT($J209)-1)*ROWS(_怪物类型!$A$2:$A$10)+MATCH($F209,_怪物类型!$A$2:$A$10,0))*IF($M209="",1,$M209),""))</f>
        <v>1056</v>
      </c>
      <c r="V209" s="6">
        <f t="shared" si="41"/>
        <v>0.0421455938697318</v>
      </c>
      <c r="W209" s="24">
        <f t="shared" si="42"/>
        <v>2071.43775000001</v>
      </c>
      <c r="X209" s="18">
        <f t="shared" si="43"/>
        <v>0.418858868567821</v>
      </c>
      <c r="Y209" s="18">
        <f t="shared" si="44"/>
        <v>31.4757107307229</v>
      </c>
      <c r="Z209" s="18">
        <f t="shared" si="45"/>
        <v>1</v>
      </c>
      <c r="AA209" t="str">
        <f t="shared" si="46"/>
        <v>适中</v>
      </c>
      <c r="AB209" t="str">
        <f t="shared" si="47"/>
        <v>有效</v>
      </c>
      <c r="AC209" t="str">
        <f t="shared" si="48"/>
        <v>不降</v>
      </c>
      <c r="AD209" t="s">
        <v>5862</v>
      </c>
      <c r="AE209" s="4">
        <v>4930</v>
      </c>
      <c r="AF209" s="4">
        <f>INDEX(_统一战力!$B$2:$B$501,J209)</f>
        <v>7220</v>
      </c>
    </row>
  </sheetData>
  <mergeCells count="2">
    <mergeCell ref="A1:AF1"/>
    <mergeCell ref="A2:AF2"/>
  </mergeCell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1"/>
  <sheetViews>
    <sheetView workbookViewId="0">
      <selection activeCell="A1" sqref="A1"/>
    </sheetView>
  </sheetViews>
  <sheetFormatPr defaultColWidth="9" defaultRowHeight="13.5" outlineLevelCol="3"/>
  <cols>
    <col min="1" max="4" width="16" customWidth="1"/>
  </cols>
  <sheetData>
    <row r="1" ht="32" customHeight="1" spans="1:4">
      <c r="A1" s="3" t="s">
        <v>128</v>
      </c>
      <c r="B1" s="3" t="s">
        <v>149</v>
      </c>
      <c r="C1" s="3" t="s">
        <v>6141</v>
      </c>
      <c r="D1" s="3" t="s">
        <v>6142</v>
      </c>
    </row>
    <row r="2" spans="1:4">
      <c r="A2">
        <v>1</v>
      </c>
      <c r="B2">
        <v>2240</v>
      </c>
      <c r="C2">
        <v>1</v>
      </c>
      <c r="D2">
        <v>2242</v>
      </c>
    </row>
    <row r="3" spans="1:4">
      <c r="A3">
        <v>2</v>
      </c>
      <c r="B3">
        <v>2240</v>
      </c>
      <c r="C3">
        <v>2</v>
      </c>
      <c r="D3">
        <v>2388</v>
      </c>
    </row>
    <row r="4" spans="1:4">
      <c r="A4">
        <v>3</v>
      </c>
      <c r="B4">
        <v>2240</v>
      </c>
      <c r="C4">
        <v>3</v>
      </c>
      <c r="D4">
        <v>3168</v>
      </c>
    </row>
    <row r="5" spans="1:4">
      <c r="A5">
        <v>4</v>
      </c>
      <c r="B5">
        <v>2240</v>
      </c>
      <c r="C5">
        <v>4</v>
      </c>
      <c r="D5">
        <v>4017</v>
      </c>
    </row>
    <row r="6" spans="1:4">
      <c r="A6">
        <v>5</v>
      </c>
      <c r="B6">
        <v>2240</v>
      </c>
      <c r="C6">
        <v>5</v>
      </c>
      <c r="D6">
        <v>4932</v>
      </c>
    </row>
    <row r="7" spans="1:4">
      <c r="A7">
        <v>6</v>
      </c>
      <c r="B7">
        <v>2390</v>
      </c>
      <c r="C7">
        <v>6</v>
      </c>
      <c r="D7">
        <v>5914</v>
      </c>
    </row>
    <row r="8" spans="1:4">
      <c r="A8">
        <v>7</v>
      </c>
      <c r="B8">
        <v>3170</v>
      </c>
      <c r="C8">
        <v>7</v>
      </c>
      <c r="D8">
        <v>7219</v>
      </c>
    </row>
    <row r="9" spans="1:4">
      <c r="A9">
        <v>8</v>
      </c>
      <c r="B9">
        <v>3170</v>
      </c>
      <c r="C9">
        <v>8</v>
      </c>
      <c r="D9">
        <v>8608</v>
      </c>
    </row>
    <row r="10" spans="1:4">
      <c r="A10">
        <v>9</v>
      </c>
      <c r="B10">
        <v>4930</v>
      </c>
      <c r="C10">
        <v>9</v>
      </c>
      <c r="D10">
        <v>10083</v>
      </c>
    </row>
    <row r="11" spans="1:4">
      <c r="A11">
        <v>10</v>
      </c>
      <c r="B11">
        <v>4930</v>
      </c>
      <c r="C11">
        <v>10</v>
      </c>
      <c r="D11">
        <v>11174</v>
      </c>
    </row>
    <row r="12" spans="1:4">
      <c r="A12">
        <v>11</v>
      </c>
      <c r="B12">
        <v>4930</v>
      </c>
      <c r="C12">
        <v>11</v>
      </c>
      <c r="D12">
        <v>12308</v>
      </c>
    </row>
    <row r="13" spans="1:4">
      <c r="A13">
        <v>12</v>
      </c>
      <c r="B13">
        <v>5910</v>
      </c>
      <c r="C13">
        <v>12</v>
      </c>
      <c r="D13">
        <v>13493</v>
      </c>
    </row>
    <row r="14" spans="1:4">
      <c r="A14">
        <v>13</v>
      </c>
      <c r="B14">
        <v>5910</v>
      </c>
      <c r="C14">
        <v>13</v>
      </c>
      <c r="D14">
        <v>14714</v>
      </c>
    </row>
    <row r="15" spans="1:4">
      <c r="A15">
        <v>14</v>
      </c>
      <c r="B15">
        <v>7220</v>
      </c>
      <c r="C15">
        <v>14</v>
      </c>
      <c r="D15">
        <v>15980</v>
      </c>
    </row>
    <row r="16" spans="1:4">
      <c r="A16">
        <v>15</v>
      </c>
      <c r="B16">
        <v>7220</v>
      </c>
      <c r="C16">
        <v>15</v>
      </c>
      <c r="D16">
        <v>16704</v>
      </c>
    </row>
    <row r="17" spans="1:4">
      <c r="A17">
        <v>16</v>
      </c>
      <c r="B17">
        <v>8610</v>
      </c>
      <c r="C17">
        <v>16</v>
      </c>
      <c r="D17">
        <v>18232</v>
      </c>
    </row>
    <row r="18" spans="1:4">
      <c r="A18">
        <v>17</v>
      </c>
      <c r="B18">
        <v>10100</v>
      </c>
      <c r="C18">
        <v>17</v>
      </c>
      <c r="D18">
        <v>19808</v>
      </c>
    </row>
    <row r="19" spans="1:4">
      <c r="A19">
        <v>18</v>
      </c>
      <c r="B19">
        <v>10100</v>
      </c>
      <c r="C19">
        <v>18</v>
      </c>
      <c r="D19">
        <v>21432</v>
      </c>
    </row>
    <row r="20" spans="1:4">
      <c r="A20">
        <v>19</v>
      </c>
      <c r="B20">
        <v>10100</v>
      </c>
      <c r="C20">
        <v>19</v>
      </c>
      <c r="D20">
        <v>23100</v>
      </c>
    </row>
    <row r="21" spans="1:4">
      <c r="A21">
        <v>20</v>
      </c>
      <c r="B21">
        <v>11200</v>
      </c>
      <c r="C21">
        <v>20</v>
      </c>
      <c r="D21">
        <v>25436</v>
      </c>
    </row>
    <row r="22" spans="1:4">
      <c r="A22">
        <v>21</v>
      </c>
      <c r="B22">
        <v>11200</v>
      </c>
      <c r="C22">
        <v>21</v>
      </c>
      <c r="D22">
        <v>27758</v>
      </c>
    </row>
    <row r="23" spans="1:4">
      <c r="A23">
        <v>22</v>
      </c>
      <c r="B23">
        <v>12300</v>
      </c>
      <c r="C23">
        <v>22</v>
      </c>
      <c r="D23">
        <v>30203</v>
      </c>
    </row>
    <row r="24" spans="1:4">
      <c r="A24">
        <v>23</v>
      </c>
      <c r="B24">
        <v>13500</v>
      </c>
      <c r="C24">
        <v>23</v>
      </c>
      <c r="D24">
        <v>32780</v>
      </c>
    </row>
    <row r="25" spans="1:4">
      <c r="A25">
        <v>24</v>
      </c>
      <c r="B25">
        <v>14700</v>
      </c>
      <c r="C25">
        <v>24</v>
      </c>
      <c r="D25">
        <v>35487</v>
      </c>
    </row>
    <row r="26" spans="1:4">
      <c r="A26">
        <v>25</v>
      </c>
      <c r="B26">
        <v>14700</v>
      </c>
      <c r="C26">
        <v>25</v>
      </c>
      <c r="D26">
        <v>37375</v>
      </c>
    </row>
    <row r="27" spans="1:4">
      <c r="A27">
        <v>26</v>
      </c>
      <c r="B27">
        <v>16000</v>
      </c>
      <c r="C27">
        <v>26</v>
      </c>
      <c r="D27">
        <v>39292</v>
      </c>
    </row>
    <row r="28" spans="1:4">
      <c r="A28">
        <v>27</v>
      </c>
      <c r="B28">
        <v>16000</v>
      </c>
      <c r="C28">
        <v>27</v>
      </c>
      <c r="D28">
        <v>41270</v>
      </c>
    </row>
    <row r="29" spans="1:4">
      <c r="A29">
        <v>28</v>
      </c>
      <c r="B29">
        <v>16700</v>
      </c>
      <c r="C29">
        <v>28</v>
      </c>
      <c r="D29">
        <v>43311</v>
      </c>
    </row>
    <row r="30" spans="1:4">
      <c r="A30">
        <v>29</v>
      </c>
      <c r="B30">
        <v>18200</v>
      </c>
      <c r="C30">
        <v>29</v>
      </c>
      <c r="D30">
        <v>45415</v>
      </c>
    </row>
    <row r="31" spans="1:4">
      <c r="A31">
        <v>30</v>
      </c>
      <c r="B31">
        <v>18200</v>
      </c>
      <c r="C31">
        <v>30</v>
      </c>
      <c r="D31">
        <v>46620</v>
      </c>
    </row>
    <row r="32" spans="1:4">
      <c r="A32">
        <v>31</v>
      </c>
      <c r="B32">
        <v>19800</v>
      </c>
      <c r="C32">
        <v>31</v>
      </c>
      <c r="D32">
        <v>49050</v>
      </c>
    </row>
    <row r="33" spans="1:4">
      <c r="A33">
        <v>32</v>
      </c>
      <c r="B33">
        <v>19800</v>
      </c>
      <c r="C33">
        <v>32</v>
      </c>
      <c r="D33">
        <v>51540</v>
      </c>
    </row>
    <row r="34" spans="1:4">
      <c r="A34">
        <v>33</v>
      </c>
      <c r="B34">
        <v>21400</v>
      </c>
      <c r="C34">
        <v>33</v>
      </c>
      <c r="D34">
        <v>54095</v>
      </c>
    </row>
    <row r="35" spans="1:4">
      <c r="A35">
        <v>34</v>
      </c>
      <c r="B35">
        <v>23100</v>
      </c>
      <c r="C35">
        <v>34</v>
      </c>
      <c r="D35">
        <v>56710</v>
      </c>
    </row>
    <row r="36" spans="1:4">
      <c r="A36">
        <v>35</v>
      </c>
      <c r="B36">
        <v>23100</v>
      </c>
      <c r="C36">
        <v>35</v>
      </c>
      <c r="D36">
        <v>59500</v>
      </c>
    </row>
    <row r="37" spans="1:4">
      <c r="A37">
        <v>36</v>
      </c>
      <c r="B37">
        <v>23100</v>
      </c>
      <c r="C37">
        <v>36</v>
      </c>
      <c r="D37">
        <v>62355</v>
      </c>
    </row>
    <row r="38" spans="1:4">
      <c r="A38">
        <v>37</v>
      </c>
      <c r="B38">
        <v>25400</v>
      </c>
      <c r="C38">
        <v>37</v>
      </c>
      <c r="D38">
        <v>65285</v>
      </c>
    </row>
    <row r="39" spans="1:4">
      <c r="A39">
        <v>38</v>
      </c>
      <c r="B39">
        <v>27800</v>
      </c>
      <c r="C39">
        <v>38</v>
      </c>
      <c r="D39">
        <v>68280</v>
      </c>
    </row>
    <row r="40" spans="1:4">
      <c r="A40">
        <v>39</v>
      </c>
      <c r="B40">
        <v>27800</v>
      </c>
      <c r="C40">
        <v>39</v>
      </c>
      <c r="D40">
        <v>71350</v>
      </c>
    </row>
    <row r="41" spans="1:4">
      <c r="A41">
        <v>40</v>
      </c>
      <c r="B41">
        <v>30200</v>
      </c>
      <c r="C41">
        <v>40</v>
      </c>
      <c r="D41">
        <v>74525</v>
      </c>
    </row>
    <row r="42" spans="1:4">
      <c r="A42">
        <v>41</v>
      </c>
      <c r="B42">
        <v>30200</v>
      </c>
      <c r="C42">
        <v>41</v>
      </c>
      <c r="D42">
        <v>78575</v>
      </c>
    </row>
    <row r="43" spans="1:4">
      <c r="A43">
        <v>42</v>
      </c>
      <c r="B43">
        <v>32800</v>
      </c>
      <c r="C43">
        <v>42</v>
      </c>
      <c r="D43">
        <v>82740</v>
      </c>
    </row>
    <row r="44" spans="1:4">
      <c r="A44">
        <v>43</v>
      </c>
      <c r="B44">
        <v>32800</v>
      </c>
      <c r="C44">
        <v>43</v>
      </c>
      <c r="D44">
        <v>87015</v>
      </c>
    </row>
    <row r="45" spans="1:4">
      <c r="A45">
        <v>44</v>
      </c>
      <c r="B45">
        <v>32800</v>
      </c>
      <c r="C45">
        <v>44</v>
      </c>
      <c r="D45">
        <v>91410</v>
      </c>
    </row>
    <row r="46" spans="1:4">
      <c r="A46">
        <v>45</v>
      </c>
      <c r="B46">
        <v>35500</v>
      </c>
      <c r="C46">
        <v>45</v>
      </c>
      <c r="D46">
        <v>95915</v>
      </c>
    </row>
    <row r="47" spans="1:4">
      <c r="A47">
        <v>46</v>
      </c>
      <c r="B47">
        <v>35500</v>
      </c>
      <c r="C47">
        <v>46</v>
      </c>
      <c r="D47">
        <v>100540</v>
      </c>
    </row>
    <row r="48" spans="1:4">
      <c r="A48">
        <v>47</v>
      </c>
      <c r="B48">
        <v>41300</v>
      </c>
      <c r="C48">
        <v>47</v>
      </c>
      <c r="D48">
        <v>105285</v>
      </c>
    </row>
    <row r="49" spans="1:4">
      <c r="A49">
        <v>48</v>
      </c>
      <c r="B49">
        <v>41300</v>
      </c>
      <c r="C49">
        <v>48</v>
      </c>
      <c r="D49">
        <v>110150</v>
      </c>
    </row>
    <row r="50" spans="1:4">
      <c r="A50">
        <v>49</v>
      </c>
      <c r="B50">
        <v>43300</v>
      </c>
      <c r="C50">
        <v>49</v>
      </c>
      <c r="D50">
        <v>115130</v>
      </c>
    </row>
    <row r="51" spans="1:4">
      <c r="A51">
        <v>50</v>
      </c>
      <c r="B51">
        <v>45400</v>
      </c>
      <c r="C51">
        <v>50</v>
      </c>
      <c r="D51">
        <v>120235</v>
      </c>
    </row>
    <row r="52" spans="1:4">
      <c r="A52">
        <v>51</v>
      </c>
      <c r="B52">
        <v>45400</v>
      </c>
      <c r="C52">
        <v>51</v>
      </c>
      <c r="D52">
        <v>125460</v>
      </c>
    </row>
    <row r="53" spans="1:4">
      <c r="A53">
        <v>52</v>
      </c>
      <c r="B53">
        <v>45400</v>
      </c>
      <c r="C53">
        <v>52</v>
      </c>
      <c r="D53">
        <v>130810</v>
      </c>
    </row>
    <row r="54" spans="1:4">
      <c r="A54">
        <v>53</v>
      </c>
      <c r="B54">
        <v>49100</v>
      </c>
      <c r="C54">
        <v>53</v>
      </c>
      <c r="D54">
        <v>136285</v>
      </c>
    </row>
    <row r="55" spans="1:4">
      <c r="A55">
        <v>54</v>
      </c>
      <c r="B55">
        <v>49100</v>
      </c>
      <c r="C55">
        <v>54</v>
      </c>
      <c r="D55">
        <v>141890</v>
      </c>
    </row>
    <row r="56" spans="1:4">
      <c r="A56">
        <v>55</v>
      </c>
      <c r="B56">
        <v>54100</v>
      </c>
      <c r="C56">
        <v>55</v>
      </c>
      <c r="D56">
        <v>146810</v>
      </c>
    </row>
    <row r="57" spans="1:4">
      <c r="A57">
        <v>56</v>
      </c>
      <c r="B57">
        <v>56700</v>
      </c>
      <c r="C57">
        <v>56</v>
      </c>
      <c r="D57">
        <v>151365</v>
      </c>
    </row>
    <row r="58" spans="1:4">
      <c r="A58">
        <v>57</v>
      </c>
      <c r="B58">
        <v>56700</v>
      </c>
      <c r="C58">
        <v>57</v>
      </c>
      <c r="D58">
        <v>155995</v>
      </c>
    </row>
    <row r="59" spans="1:4">
      <c r="A59">
        <v>58</v>
      </c>
      <c r="B59">
        <v>56700</v>
      </c>
      <c r="C59">
        <v>58</v>
      </c>
      <c r="D59">
        <v>160710</v>
      </c>
    </row>
    <row r="60" spans="1:4">
      <c r="A60">
        <v>59</v>
      </c>
      <c r="B60">
        <v>62400</v>
      </c>
      <c r="C60">
        <v>59</v>
      </c>
      <c r="D60">
        <v>165500</v>
      </c>
    </row>
    <row r="61" spans="1:4">
      <c r="A61">
        <v>60</v>
      </c>
      <c r="B61">
        <v>65300</v>
      </c>
      <c r="C61">
        <v>60</v>
      </c>
      <c r="D61">
        <v>170370</v>
      </c>
    </row>
    <row r="62" spans="1:4">
      <c r="A62">
        <v>61</v>
      </c>
      <c r="B62">
        <v>65300</v>
      </c>
      <c r="C62">
        <v>61</v>
      </c>
      <c r="D62">
        <v>175325</v>
      </c>
    </row>
    <row r="63" spans="1:4">
      <c r="A63">
        <v>62</v>
      </c>
      <c r="B63">
        <v>71400</v>
      </c>
      <c r="C63">
        <v>62</v>
      </c>
      <c r="D63">
        <v>180360</v>
      </c>
    </row>
    <row r="64" spans="1:4">
      <c r="A64">
        <v>63</v>
      </c>
      <c r="B64">
        <v>71400</v>
      </c>
      <c r="C64">
        <v>63</v>
      </c>
      <c r="D64">
        <v>185475</v>
      </c>
    </row>
    <row r="65" spans="1:4">
      <c r="A65">
        <v>64</v>
      </c>
      <c r="B65">
        <v>71400</v>
      </c>
      <c r="C65">
        <v>64</v>
      </c>
      <c r="D65">
        <v>190675</v>
      </c>
    </row>
    <row r="66" spans="1:4">
      <c r="A66">
        <v>65</v>
      </c>
      <c r="B66">
        <v>71400</v>
      </c>
      <c r="C66">
        <v>65</v>
      </c>
      <c r="D66">
        <v>197235</v>
      </c>
    </row>
    <row r="67" spans="1:4">
      <c r="A67">
        <v>66</v>
      </c>
      <c r="B67">
        <v>71400</v>
      </c>
      <c r="C67">
        <v>66</v>
      </c>
      <c r="D67">
        <v>203900</v>
      </c>
    </row>
    <row r="68" spans="1:4">
      <c r="A68">
        <v>67</v>
      </c>
      <c r="B68">
        <v>82700</v>
      </c>
      <c r="C68">
        <v>67</v>
      </c>
      <c r="D68">
        <v>210675</v>
      </c>
    </row>
    <row r="69" spans="1:4">
      <c r="A69">
        <v>68</v>
      </c>
      <c r="B69">
        <v>82700</v>
      </c>
      <c r="C69">
        <v>68</v>
      </c>
      <c r="D69">
        <v>217560</v>
      </c>
    </row>
    <row r="70" spans="1:4">
      <c r="A70">
        <v>69</v>
      </c>
      <c r="B70">
        <v>87000</v>
      </c>
      <c r="C70">
        <v>69</v>
      </c>
      <c r="D70">
        <v>224560</v>
      </c>
    </row>
    <row r="71" spans="1:4">
      <c r="A71">
        <v>70</v>
      </c>
      <c r="B71">
        <v>87000</v>
      </c>
      <c r="C71">
        <v>70</v>
      </c>
      <c r="D71">
        <v>231250</v>
      </c>
    </row>
    <row r="72" spans="1:4">
      <c r="A72">
        <v>71</v>
      </c>
      <c r="B72">
        <v>91400</v>
      </c>
      <c r="C72">
        <v>71</v>
      </c>
      <c r="D72">
        <v>237125</v>
      </c>
    </row>
    <row r="73" spans="1:4">
      <c r="A73">
        <v>72</v>
      </c>
      <c r="B73">
        <v>91400</v>
      </c>
      <c r="C73">
        <v>72</v>
      </c>
      <c r="D73">
        <v>243070</v>
      </c>
    </row>
    <row r="74" spans="1:4">
      <c r="A74">
        <v>73</v>
      </c>
      <c r="B74">
        <v>95900</v>
      </c>
      <c r="C74">
        <v>73</v>
      </c>
      <c r="D74">
        <v>249095</v>
      </c>
    </row>
    <row r="75" spans="1:4">
      <c r="A75">
        <v>74</v>
      </c>
      <c r="B75">
        <v>101000</v>
      </c>
      <c r="C75">
        <v>74</v>
      </c>
      <c r="D75">
        <v>255195</v>
      </c>
    </row>
    <row r="76" spans="1:4">
      <c r="A76">
        <v>75</v>
      </c>
      <c r="B76">
        <v>101000</v>
      </c>
      <c r="C76">
        <v>75</v>
      </c>
      <c r="D76">
        <v>261365</v>
      </c>
    </row>
    <row r="77" spans="1:4">
      <c r="A77">
        <v>76</v>
      </c>
      <c r="B77">
        <v>105000</v>
      </c>
      <c r="C77">
        <v>76</v>
      </c>
      <c r="D77">
        <v>267615</v>
      </c>
    </row>
    <row r="78" spans="1:4">
      <c r="A78">
        <v>77</v>
      </c>
      <c r="B78">
        <v>110000</v>
      </c>
      <c r="C78">
        <v>77</v>
      </c>
      <c r="D78">
        <v>273940</v>
      </c>
    </row>
    <row r="79" spans="1:4">
      <c r="A79">
        <v>78</v>
      </c>
      <c r="B79">
        <v>110000</v>
      </c>
      <c r="C79">
        <v>78</v>
      </c>
      <c r="D79">
        <v>280345</v>
      </c>
    </row>
    <row r="80" spans="1:4">
      <c r="A80">
        <v>79</v>
      </c>
      <c r="B80">
        <v>115000</v>
      </c>
      <c r="C80">
        <v>79</v>
      </c>
      <c r="D80">
        <v>286825</v>
      </c>
    </row>
    <row r="81" spans="1:4">
      <c r="A81">
        <v>80</v>
      </c>
      <c r="B81">
        <v>115000</v>
      </c>
      <c r="C81">
        <v>80</v>
      </c>
      <c r="D81">
        <v>293380</v>
      </c>
    </row>
    <row r="82" spans="1:4">
      <c r="A82">
        <v>81</v>
      </c>
      <c r="B82">
        <v>120000</v>
      </c>
      <c r="C82">
        <v>81</v>
      </c>
      <c r="D82">
        <v>300015</v>
      </c>
    </row>
    <row r="83" spans="1:4">
      <c r="A83">
        <v>82</v>
      </c>
      <c r="B83">
        <v>125000</v>
      </c>
      <c r="C83">
        <v>82</v>
      </c>
      <c r="D83">
        <v>306730</v>
      </c>
    </row>
    <row r="84" spans="1:4">
      <c r="A84">
        <v>83</v>
      </c>
      <c r="B84">
        <v>125000</v>
      </c>
      <c r="C84">
        <v>83</v>
      </c>
      <c r="D84">
        <v>313520</v>
      </c>
    </row>
    <row r="85" spans="1:4">
      <c r="A85">
        <v>84</v>
      </c>
      <c r="B85">
        <v>131000</v>
      </c>
      <c r="C85">
        <v>84</v>
      </c>
      <c r="D85">
        <v>320390</v>
      </c>
    </row>
    <row r="86" spans="1:4">
      <c r="A86">
        <v>85</v>
      </c>
      <c r="B86">
        <v>131000</v>
      </c>
      <c r="C86">
        <v>85</v>
      </c>
      <c r="D86">
        <v>326365</v>
      </c>
    </row>
    <row r="87" spans="1:4">
      <c r="A87">
        <v>86</v>
      </c>
      <c r="B87">
        <v>136000</v>
      </c>
      <c r="C87">
        <v>86</v>
      </c>
      <c r="D87">
        <v>331580</v>
      </c>
    </row>
    <row r="88" spans="1:4">
      <c r="A88">
        <v>87</v>
      </c>
      <c r="B88">
        <v>136000</v>
      </c>
      <c r="C88">
        <v>87</v>
      </c>
      <c r="D88">
        <v>336840</v>
      </c>
    </row>
    <row r="89" spans="1:4">
      <c r="A89">
        <v>88</v>
      </c>
      <c r="B89">
        <v>142000</v>
      </c>
      <c r="C89">
        <v>88</v>
      </c>
      <c r="D89">
        <v>342145</v>
      </c>
    </row>
    <row r="90" spans="1:4">
      <c r="A90">
        <v>89</v>
      </c>
      <c r="B90">
        <v>142000</v>
      </c>
      <c r="C90">
        <v>89</v>
      </c>
      <c r="D90">
        <v>347495</v>
      </c>
    </row>
    <row r="91" spans="1:4">
      <c r="A91">
        <v>90</v>
      </c>
      <c r="B91">
        <v>142000</v>
      </c>
      <c r="C91">
        <v>90</v>
      </c>
      <c r="D91">
        <v>352890</v>
      </c>
    </row>
    <row r="92" spans="1:4">
      <c r="A92">
        <v>91</v>
      </c>
      <c r="B92">
        <v>142000</v>
      </c>
      <c r="C92">
        <v>91</v>
      </c>
      <c r="D92">
        <v>358330</v>
      </c>
    </row>
    <row r="93" spans="1:4">
      <c r="A93">
        <v>92</v>
      </c>
      <c r="B93">
        <v>142000</v>
      </c>
      <c r="C93">
        <v>92</v>
      </c>
      <c r="D93">
        <v>363815</v>
      </c>
    </row>
    <row r="94" spans="1:4">
      <c r="A94">
        <v>93</v>
      </c>
      <c r="B94">
        <v>142000</v>
      </c>
      <c r="C94">
        <v>93</v>
      </c>
      <c r="D94">
        <v>369345</v>
      </c>
    </row>
    <row r="95" spans="1:4">
      <c r="A95">
        <v>94</v>
      </c>
      <c r="B95">
        <v>161000</v>
      </c>
      <c r="C95">
        <v>94</v>
      </c>
      <c r="D95">
        <v>374920</v>
      </c>
    </row>
    <row r="96" spans="1:4">
      <c r="A96">
        <v>95</v>
      </c>
      <c r="B96">
        <v>166000</v>
      </c>
      <c r="C96">
        <v>95</v>
      </c>
      <c r="D96">
        <v>380540</v>
      </c>
    </row>
    <row r="97" spans="1:4">
      <c r="A97">
        <v>96</v>
      </c>
      <c r="B97">
        <v>166000</v>
      </c>
      <c r="C97">
        <v>96</v>
      </c>
      <c r="D97">
        <v>386205</v>
      </c>
    </row>
    <row r="98" spans="1:4">
      <c r="A98">
        <v>97</v>
      </c>
      <c r="B98">
        <v>170000</v>
      </c>
      <c r="C98">
        <v>97</v>
      </c>
      <c r="D98">
        <v>391915</v>
      </c>
    </row>
    <row r="99" spans="1:4">
      <c r="A99">
        <v>98</v>
      </c>
      <c r="B99">
        <v>175000</v>
      </c>
      <c r="C99">
        <v>98</v>
      </c>
      <c r="D99">
        <v>397670</v>
      </c>
    </row>
    <row r="100" spans="1:4">
      <c r="A100">
        <v>99</v>
      </c>
      <c r="B100">
        <v>175000</v>
      </c>
      <c r="C100">
        <v>99</v>
      </c>
      <c r="D100">
        <v>403470</v>
      </c>
    </row>
    <row r="101" spans="1:4">
      <c r="A101">
        <v>100</v>
      </c>
      <c r="B101">
        <v>180000</v>
      </c>
      <c r="C101">
        <v>100</v>
      </c>
      <c r="D101">
        <v>408500</v>
      </c>
    </row>
    <row r="102" spans="1:4">
      <c r="A102">
        <v>101</v>
      </c>
      <c r="B102">
        <v>185000</v>
      </c>
      <c r="C102">
        <v>101</v>
      </c>
      <c r="D102">
        <v>417380</v>
      </c>
    </row>
    <row r="103" spans="1:4">
      <c r="A103">
        <v>102</v>
      </c>
      <c r="B103">
        <v>191000</v>
      </c>
      <c r="C103">
        <v>102</v>
      </c>
      <c r="D103">
        <v>426360</v>
      </c>
    </row>
    <row r="104" spans="1:4">
      <c r="A104">
        <v>103</v>
      </c>
      <c r="B104">
        <v>197000</v>
      </c>
      <c r="C104">
        <v>103</v>
      </c>
      <c r="D104">
        <v>435440</v>
      </c>
    </row>
    <row r="105" spans="1:4">
      <c r="A105">
        <v>104</v>
      </c>
      <c r="B105">
        <v>197000</v>
      </c>
      <c r="C105">
        <v>104</v>
      </c>
      <c r="D105">
        <v>444630</v>
      </c>
    </row>
    <row r="106" spans="1:4">
      <c r="A106">
        <v>105</v>
      </c>
      <c r="B106">
        <v>204000</v>
      </c>
      <c r="C106">
        <v>105</v>
      </c>
      <c r="D106">
        <v>453920</v>
      </c>
    </row>
    <row r="107" spans="1:4">
      <c r="A107">
        <v>106</v>
      </c>
      <c r="B107">
        <v>211000</v>
      </c>
      <c r="C107">
        <v>106</v>
      </c>
      <c r="D107">
        <v>463310</v>
      </c>
    </row>
    <row r="108" spans="1:4">
      <c r="A108">
        <v>107</v>
      </c>
      <c r="B108">
        <v>211000</v>
      </c>
      <c r="C108">
        <v>107</v>
      </c>
      <c r="D108">
        <v>472810</v>
      </c>
    </row>
    <row r="109" spans="1:4">
      <c r="A109">
        <v>108</v>
      </c>
      <c r="B109">
        <v>218000</v>
      </c>
      <c r="C109">
        <v>108</v>
      </c>
      <c r="D109">
        <v>482410</v>
      </c>
    </row>
    <row r="110" spans="1:4">
      <c r="A110">
        <v>109</v>
      </c>
      <c r="B110">
        <v>225000</v>
      </c>
      <c r="C110">
        <v>109</v>
      </c>
      <c r="D110">
        <v>492115</v>
      </c>
    </row>
    <row r="111" spans="1:4">
      <c r="A111">
        <v>110</v>
      </c>
      <c r="B111">
        <v>225000</v>
      </c>
      <c r="C111">
        <v>110</v>
      </c>
      <c r="D111">
        <v>501930</v>
      </c>
    </row>
    <row r="112" spans="1:4">
      <c r="A112">
        <v>111</v>
      </c>
      <c r="B112">
        <v>225000</v>
      </c>
      <c r="C112">
        <v>111</v>
      </c>
      <c r="D112">
        <v>511845</v>
      </c>
    </row>
    <row r="113" spans="1:4">
      <c r="A113">
        <v>112</v>
      </c>
      <c r="B113">
        <v>225000</v>
      </c>
      <c r="C113">
        <v>112</v>
      </c>
      <c r="D113">
        <v>521870</v>
      </c>
    </row>
    <row r="114" spans="1:4">
      <c r="A114">
        <v>113</v>
      </c>
      <c r="B114">
        <v>225000</v>
      </c>
      <c r="C114">
        <v>113</v>
      </c>
      <c r="D114">
        <v>532000</v>
      </c>
    </row>
    <row r="115" spans="1:4">
      <c r="A115">
        <v>114</v>
      </c>
      <c r="B115">
        <v>225000</v>
      </c>
      <c r="C115">
        <v>114</v>
      </c>
      <c r="D115">
        <v>542235</v>
      </c>
    </row>
    <row r="116" spans="1:4">
      <c r="A116">
        <v>115</v>
      </c>
      <c r="B116">
        <v>249000</v>
      </c>
      <c r="C116">
        <v>115</v>
      </c>
      <c r="D116">
        <v>551545</v>
      </c>
    </row>
    <row r="117" spans="1:4">
      <c r="A117">
        <v>116</v>
      </c>
      <c r="B117">
        <v>255000</v>
      </c>
      <c r="C117">
        <v>116</v>
      </c>
      <c r="D117">
        <v>560060</v>
      </c>
    </row>
    <row r="118" spans="1:4">
      <c r="A118">
        <v>117</v>
      </c>
      <c r="B118">
        <v>261000</v>
      </c>
      <c r="C118">
        <v>117</v>
      </c>
      <c r="D118">
        <v>568650</v>
      </c>
    </row>
    <row r="119" spans="1:4">
      <c r="A119">
        <v>118</v>
      </c>
      <c r="B119">
        <v>261000</v>
      </c>
      <c r="C119">
        <v>118</v>
      </c>
      <c r="D119">
        <v>577310</v>
      </c>
    </row>
    <row r="120" spans="1:4">
      <c r="A120">
        <v>119</v>
      </c>
      <c r="B120">
        <v>261000</v>
      </c>
      <c r="C120">
        <v>119</v>
      </c>
      <c r="D120">
        <v>586045</v>
      </c>
    </row>
    <row r="121" spans="1:4">
      <c r="A121">
        <v>120</v>
      </c>
      <c r="B121">
        <v>274000</v>
      </c>
      <c r="C121">
        <v>120</v>
      </c>
      <c r="D121">
        <v>594850</v>
      </c>
    </row>
    <row r="122" spans="1:4">
      <c r="A122">
        <v>121</v>
      </c>
      <c r="B122">
        <v>280000</v>
      </c>
      <c r="C122">
        <v>121</v>
      </c>
      <c r="D122">
        <v>603730</v>
      </c>
    </row>
    <row r="123" spans="1:4">
      <c r="A123">
        <v>122</v>
      </c>
      <c r="B123">
        <v>280000</v>
      </c>
      <c r="C123">
        <v>122</v>
      </c>
      <c r="D123">
        <v>612680</v>
      </c>
    </row>
    <row r="124" spans="1:4">
      <c r="A124">
        <v>123</v>
      </c>
      <c r="B124">
        <v>293000</v>
      </c>
      <c r="C124">
        <v>123</v>
      </c>
      <c r="D124">
        <v>621705</v>
      </c>
    </row>
    <row r="125" spans="1:4">
      <c r="A125">
        <v>124</v>
      </c>
      <c r="B125">
        <v>300000</v>
      </c>
      <c r="C125">
        <v>124</v>
      </c>
      <c r="D125">
        <v>630805</v>
      </c>
    </row>
    <row r="126" spans="1:4">
      <c r="A126">
        <v>125</v>
      </c>
      <c r="B126">
        <v>300000</v>
      </c>
      <c r="C126">
        <v>125</v>
      </c>
      <c r="D126">
        <v>639980</v>
      </c>
    </row>
    <row r="127" spans="1:4">
      <c r="A127">
        <v>126</v>
      </c>
      <c r="B127">
        <v>307000</v>
      </c>
      <c r="C127">
        <v>126</v>
      </c>
      <c r="D127">
        <v>649225</v>
      </c>
    </row>
    <row r="128" spans="1:4">
      <c r="A128">
        <v>127</v>
      </c>
      <c r="B128">
        <v>307000</v>
      </c>
      <c r="C128">
        <v>127</v>
      </c>
      <c r="D128">
        <v>658545</v>
      </c>
    </row>
    <row r="129" spans="1:4">
      <c r="A129">
        <v>128</v>
      </c>
      <c r="B129">
        <v>314000</v>
      </c>
      <c r="C129">
        <v>128</v>
      </c>
      <c r="D129">
        <v>667940</v>
      </c>
    </row>
    <row r="130" spans="1:4">
      <c r="A130">
        <v>129</v>
      </c>
      <c r="B130">
        <v>320000</v>
      </c>
      <c r="C130">
        <v>129</v>
      </c>
      <c r="D130">
        <v>677410</v>
      </c>
    </row>
    <row r="131" spans="1:4">
      <c r="A131">
        <v>130</v>
      </c>
      <c r="B131">
        <v>320000</v>
      </c>
      <c r="C131">
        <v>130</v>
      </c>
      <c r="D131">
        <v>686065</v>
      </c>
    </row>
    <row r="132" spans="1:4">
      <c r="A132">
        <v>131</v>
      </c>
      <c r="B132">
        <v>320000</v>
      </c>
      <c r="C132">
        <v>131</v>
      </c>
      <c r="D132">
        <v>694020</v>
      </c>
    </row>
    <row r="133" spans="1:4">
      <c r="A133">
        <v>132</v>
      </c>
      <c r="B133">
        <v>320000</v>
      </c>
      <c r="C133">
        <v>132</v>
      </c>
      <c r="D133">
        <v>702025</v>
      </c>
    </row>
    <row r="134" spans="1:4">
      <c r="A134">
        <v>133</v>
      </c>
      <c r="B134">
        <v>320000</v>
      </c>
      <c r="C134">
        <v>133</v>
      </c>
      <c r="D134">
        <v>710085</v>
      </c>
    </row>
    <row r="135" spans="1:4">
      <c r="A135">
        <v>134</v>
      </c>
      <c r="B135">
        <v>347000</v>
      </c>
      <c r="C135">
        <v>134</v>
      </c>
      <c r="D135">
        <v>718195</v>
      </c>
    </row>
    <row r="136" spans="1:4">
      <c r="A136">
        <v>135</v>
      </c>
      <c r="B136">
        <v>353000</v>
      </c>
      <c r="C136">
        <v>135</v>
      </c>
      <c r="D136">
        <v>726360</v>
      </c>
    </row>
    <row r="137" spans="1:4">
      <c r="A137">
        <v>136</v>
      </c>
      <c r="B137">
        <v>358000</v>
      </c>
      <c r="C137">
        <v>136</v>
      </c>
      <c r="D137">
        <v>734575</v>
      </c>
    </row>
    <row r="138" spans="1:4">
      <c r="A138">
        <v>137</v>
      </c>
      <c r="B138">
        <v>369000</v>
      </c>
      <c r="C138">
        <v>137</v>
      </c>
      <c r="D138">
        <v>742845</v>
      </c>
    </row>
    <row r="139" spans="1:4">
      <c r="A139">
        <v>138</v>
      </c>
      <c r="B139">
        <v>369000</v>
      </c>
      <c r="C139">
        <v>138</v>
      </c>
      <c r="D139">
        <v>751165</v>
      </c>
    </row>
    <row r="140" spans="1:4">
      <c r="A140">
        <v>139</v>
      </c>
      <c r="B140">
        <v>375000</v>
      </c>
      <c r="C140">
        <v>139</v>
      </c>
      <c r="D140">
        <v>759540</v>
      </c>
    </row>
    <row r="141" spans="1:4">
      <c r="A141">
        <v>140</v>
      </c>
      <c r="B141">
        <v>381000</v>
      </c>
      <c r="C141">
        <v>140</v>
      </c>
      <c r="D141">
        <v>767965</v>
      </c>
    </row>
    <row r="142" spans="1:4">
      <c r="A142">
        <v>141</v>
      </c>
      <c r="B142">
        <v>381000</v>
      </c>
      <c r="C142">
        <v>141</v>
      </c>
      <c r="D142">
        <v>776445</v>
      </c>
    </row>
    <row r="143" spans="1:4">
      <c r="A143">
        <v>142</v>
      </c>
      <c r="B143">
        <v>392000</v>
      </c>
      <c r="C143">
        <v>142</v>
      </c>
      <c r="D143">
        <v>784975</v>
      </c>
    </row>
    <row r="144" spans="1:4">
      <c r="A144">
        <v>143</v>
      </c>
      <c r="B144">
        <v>398000</v>
      </c>
      <c r="C144">
        <v>143</v>
      </c>
      <c r="D144">
        <v>793560</v>
      </c>
    </row>
    <row r="145" spans="1:4">
      <c r="A145">
        <v>144</v>
      </c>
      <c r="B145">
        <v>403000</v>
      </c>
      <c r="C145">
        <v>144</v>
      </c>
      <c r="D145">
        <v>802200</v>
      </c>
    </row>
    <row r="146" spans="1:4">
      <c r="A146">
        <v>145</v>
      </c>
      <c r="B146">
        <v>403000</v>
      </c>
      <c r="C146">
        <v>145</v>
      </c>
      <c r="D146">
        <v>810140</v>
      </c>
    </row>
    <row r="147" spans="1:4">
      <c r="A147">
        <v>146</v>
      </c>
      <c r="B147">
        <v>403000</v>
      </c>
      <c r="C147">
        <v>146</v>
      </c>
      <c r="D147">
        <v>817490</v>
      </c>
    </row>
    <row r="148" spans="1:4">
      <c r="A148">
        <v>147</v>
      </c>
      <c r="B148">
        <v>403000</v>
      </c>
      <c r="C148">
        <v>147</v>
      </c>
      <c r="D148">
        <v>824880</v>
      </c>
    </row>
    <row r="149" spans="1:4">
      <c r="A149">
        <v>148</v>
      </c>
      <c r="B149">
        <v>403000</v>
      </c>
      <c r="C149">
        <v>148</v>
      </c>
      <c r="D149">
        <v>832305</v>
      </c>
    </row>
    <row r="150" spans="1:4">
      <c r="A150">
        <v>149</v>
      </c>
      <c r="B150">
        <v>403000</v>
      </c>
      <c r="C150">
        <v>149</v>
      </c>
      <c r="D150">
        <v>839770</v>
      </c>
    </row>
    <row r="151" spans="1:4">
      <c r="A151">
        <v>150</v>
      </c>
      <c r="B151">
        <v>403000</v>
      </c>
      <c r="C151">
        <v>150</v>
      </c>
      <c r="D151">
        <v>847275</v>
      </c>
    </row>
    <row r="152" spans="1:4">
      <c r="A152">
        <v>151</v>
      </c>
      <c r="B152">
        <v>403000</v>
      </c>
      <c r="C152">
        <v>151</v>
      </c>
      <c r="D152">
        <v>854815</v>
      </c>
    </row>
    <row r="153" spans="1:4">
      <c r="A153">
        <v>152</v>
      </c>
      <c r="B153">
        <v>403000</v>
      </c>
      <c r="C153">
        <v>152</v>
      </c>
      <c r="D153">
        <v>862400</v>
      </c>
    </row>
    <row r="154" spans="1:4">
      <c r="A154">
        <v>153</v>
      </c>
      <c r="B154">
        <v>403000</v>
      </c>
      <c r="C154">
        <v>153</v>
      </c>
      <c r="D154">
        <v>870015</v>
      </c>
    </row>
    <row r="155" spans="1:4">
      <c r="A155">
        <v>154</v>
      </c>
      <c r="B155">
        <v>403000</v>
      </c>
      <c r="C155">
        <v>154</v>
      </c>
      <c r="D155">
        <v>877675</v>
      </c>
    </row>
    <row r="156" spans="1:4">
      <c r="A156">
        <v>155</v>
      </c>
      <c r="B156">
        <v>409000</v>
      </c>
      <c r="C156">
        <v>155</v>
      </c>
      <c r="D156">
        <v>885370</v>
      </c>
    </row>
    <row r="157" spans="1:4">
      <c r="A157">
        <v>156</v>
      </c>
      <c r="B157">
        <v>409000</v>
      </c>
      <c r="C157">
        <v>156</v>
      </c>
      <c r="D157">
        <v>893110</v>
      </c>
    </row>
    <row r="158" spans="1:4">
      <c r="A158">
        <v>157</v>
      </c>
      <c r="B158">
        <v>409000</v>
      </c>
      <c r="C158">
        <v>157</v>
      </c>
      <c r="D158">
        <v>900885</v>
      </c>
    </row>
    <row r="159" spans="1:4">
      <c r="A159">
        <v>158</v>
      </c>
      <c r="B159">
        <v>409000</v>
      </c>
      <c r="C159">
        <v>158</v>
      </c>
      <c r="D159">
        <v>908695</v>
      </c>
    </row>
    <row r="160" spans="1:4">
      <c r="A160">
        <v>159</v>
      </c>
      <c r="B160">
        <v>409000</v>
      </c>
      <c r="C160">
        <v>159</v>
      </c>
      <c r="D160">
        <v>916550</v>
      </c>
    </row>
    <row r="161" spans="1:4">
      <c r="A161">
        <v>160</v>
      </c>
      <c r="B161">
        <v>409000</v>
      </c>
      <c r="C161">
        <v>160</v>
      </c>
      <c r="D161">
        <v>923825</v>
      </c>
    </row>
    <row r="162" spans="1:4">
      <c r="A162">
        <v>161</v>
      </c>
      <c r="B162">
        <v>409000</v>
      </c>
      <c r="C162">
        <v>161</v>
      </c>
      <c r="D162">
        <v>930605</v>
      </c>
    </row>
    <row r="163" spans="1:4">
      <c r="A163">
        <v>162</v>
      </c>
      <c r="B163">
        <v>409000</v>
      </c>
      <c r="C163">
        <v>162</v>
      </c>
      <c r="D163">
        <v>937415</v>
      </c>
    </row>
    <row r="164" spans="1:4">
      <c r="A164">
        <v>163</v>
      </c>
      <c r="B164">
        <v>409000</v>
      </c>
      <c r="C164">
        <v>163</v>
      </c>
      <c r="D164">
        <v>944255</v>
      </c>
    </row>
    <row r="165" spans="1:4">
      <c r="A165">
        <v>164</v>
      </c>
      <c r="B165">
        <v>409000</v>
      </c>
      <c r="C165">
        <v>164</v>
      </c>
      <c r="D165">
        <v>951125</v>
      </c>
    </row>
    <row r="166" spans="1:4">
      <c r="A166">
        <v>165</v>
      </c>
      <c r="B166">
        <v>417000</v>
      </c>
      <c r="C166">
        <v>165</v>
      </c>
      <c r="D166">
        <v>958025</v>
      </c>
    </row>
    <row r="167" spans="1:4">
      <c r="A167">
        <v>166</v>
      </c>
      <c r="B167">
        <v>417000</v>
      </c>
      <c r="C167">
        <v>166</v>
      </c>
      <c r="D167">
        <v>964955</v>
      </c>
    </row>
    <row r="168" spans="1:4">
      <c r="A168">
        <v>167</v>
      </c>
      <c r="B168">
        <v>426000</v>
      </c>
      <c r="C168">
        <v>167</v>
      </c>
      <c r="D168">
        <v>971910</v>
      </c>
    </row>
    <row r="169" spans="1:4">
      <c r="A169">
        <v>168</v>
      </c>
      <c r="B169">
        <v>435000</v>
      </c>
      <c r="C169">
        <v>168</v>
      </c>
      <c r="D169">
        <v>978895</v>
      </c>
    </row>
    <row r="170" spans="1:4">
      <c r="A170">
        <v>169</v>
      </c>
      <c r="B170">
        <v>435000</v>
      </c>
      <c r="C170">
        <v>169</v>
      </c>
      <c r="D170">
        <v>985910</v>
      </c>
    </row>
    <row r="171" spans="1:4">
      <c r="A171">
        <v>170</v>
      </c>
      <c r="B171">
        <v>445000</v>
      </c>
      <c r="C171">
        <v>170</v>
      </c>
      <c r="D171">
        <v>992960</v>
      </c>
    </row>
    <row r="172" spans="1:4">
      <c r="A172">
        <v>171</v>
      </c>
      <c r="B172">
        <v>454000</v>
      </c>
      <c r="C172">
        <v>171</v>
      </c>
      <c r="D172">
        <v>1000030</v>
      </c>
    </row>
    <row r="173" spans="1:4">
      <c r="A173">
        <v>172</v>
      </c>
      <c r="B173">
        <v>454000</v>
      </c>
      <c r="C173">
        <v>172</v>
      </c>
      <c r="D173">
        <v>1007135</v>
      </c>
    </row>
    <row r="174" spans="1:4">
      <c r="A174">
        <v>173</v>
      </c>
      <c r="B174">
        <v>463000</v>
      </c>
      <c r="C174">
        <v>173</v>
      </c>
      <c r="D174">
        <v>1014270</v>
      </c>
    </row>
    <row r="175" spans="1:4">
      <c r="A175">
        <v>174</v>
      </c>
      <c r="B175">
        <v>463000</v>
      </c>
      <c r="C175">
        <v>174</v>
      </c>
      <c r="D175">
        <v>1021435</v>
      </c>
    </row>
    <row r="176" spans="1:4">
      <c r="A176">
        <v>175</v>
      </c>
      <c r="B176">
        <v>473000</v>
      </c>
      <c r="C176">
        <v>175</v>
      </c>
      <c r="D176">
        <v>1028120</v>
      </c>
    </row>
    <row r="177" spans="1:4">
      <c r="A177">
        <v>176</v>
      </c>
      <c r="B177">
        <v>482000</v>
      </c>
      <c r="C177">
        <v>176</v>
      </c>
      <c r="D177">
        <v>1034410</v>
      </c>
    </row>
    <row r="178" spans="1:4">
      <c r="A178">
        <v>177</v>
      </c>
      <c r="B178">
        <v>482000</v>
      </c>
      <c r="C178">
        <v>177</v>
      </c>
      <c r="D178">
        <v>1040720</v>
      </c>
    </row>
    <row r="179" spans="1:4">
      <c r="A179">
        <v>178</v>
      </c>
      <c r="B179">
        <v>492000</v>
      </c>
      <c r="C179">
        <v>178</v>
      </c>
      <c r="D179">
        <v>1047055</v>
      </c>
    </row>
    <row r="180" spans="1:4">
      <c r="A180">
        <v>179</v>
      </c>
      <c r="B180">
        <v>502000</v>
      </c>
      <c r="C180">
        <v>179</v>
      </c>
      <c r="D180">
        <v>1053415</v>
      </c>
    </row>
    <row r="181" spans="1:4">
      <c r="A181">
        <v>180</v>
      </c>
      <c r="B181">
        <v>502000</v>
      </c>
      <c r="C181">
        <v>180</v>
      </c>
      <c r="D181">
        <v>1059795</v>
      </c>
    </row>
    <row r="182" spans="1:4">
      <c r="A182">
        <v>181</v>
      </c>
      <c r="B182">
        <v>512000</v>
      </c>
      <c r="C182">
        <v>181</v>
      </c>
      <c r="D182">
        <v>1066195</v>
      </c>
    </row>
    <row r="183" spans="1:4">
      <c r="A183">
        <v>182</v>
      </c>
      <c r="B183">
        <v>522000</v>
      </c>
      <c r="C183">
        <v>182</v>
      </c>
      <c r="D183">
        <v>1072620</v>
      </c>
    </row>
    <row r="184" spans="1:4">
      <c r="A184">
        <v>183</v>
      </c>
      <c r="B184">
        <v>522000</v>
      </c>
      <c r="C184">
        <v>183</v>
      </c>
      <c r="D184">
        <v>1079070</v>
      </c>
    </row>
    <row r="185" spans="1:4">
      <c r="A185">
        <v>184</v>
      </c>
      <c r="B185">
        <v>532000</v>
      </c>
      <c r="C185">
        <v>184</v>
      </c>
      <c r="D185">
        <v>1085540</v>
      </c>
    </row>
    <row r="186" spans="1:4">
      <c r="A186">
        <v>185</v>
      </c>
      <c r="B186">
        <v>542000</v>
      </c>
      <c r="C186">
        <v>185</v>
      </c>
      <c r="D186">
        <v>1092035</v>
      </c>
    </row>
    <row r="187" spans="1:4">
      <c r="A187">
        <v>186</v>
      </c>
      <c r="B187">
        <v>542000</v>
      </c>
      <c r="C187">
        <v>186</v>
      </c>
      <c r="D187">
        <v>1098555</v>
      </c>
    </row>
    <row r="188" spans="1:4">
      <c r="A188">
        <v>187</v>
      </c>
      <c r="B188">
        <v>552000</v>
      </c>
      <c r="C188">
        <v>187</v>
      </c>
      <c r="D188">
        <v>1105095</v>
      </c>
    </row>
    <row r="189" spans="1:4">
      <c r="A189">
        <v>188</v>
      </c>
      <c r="B189">
        <v>560000</v>
      </c>
      <c r="C189">
        <v>188</v>
      </c>
      <c r="D189">
        <v>1111660</v>
      </c>
    </row>
    <row r="190" spans="1:4">
      <c r="A190">
        <v>189</v>
      </c>
      <c r="B190">
        <v>569000</v>
      </c>
      <c r="C190">
        <v>189</v>
      </c>
      <c r="D190">
        <v>1118245</v>
      </c>
    </row>
    <row r="191" spans="1:4">
      <c r="A191">
        <v>190</v>
      </c>
      <c r="B191">
        <v>577000</v>
      </c>
      <c r="C191">
        <v>190</v>
      </c>
      <c r="D191">
        <v>1124450</v>
      </c>
    </row>
    <row r="192" spans="1:4">
      <c r="A192">
        <v>191</v>
      </c>
      <c r="B192">
        <v>577000</v>
      </c>
      <c r="C192">
        <v>191</v>
      </c>
      <c r="D192">
        <v>1130330</v>
      </c>
    </row>
    <row r="193" spans="1:4">
      <c r="A193">
        <v>192</v>
      </c>
      <c r="B193">
        <v>586000</v>
      </c>
      <c r="C193">
        <v>192</v>
      </c>
      <c r="D193">
        <v>1136230</v>
      </c>
    </row>
    <row r="194" spans="1:4">
      <c r="A194">
        <v>193</v>
      </c>
      <c r="B194">
        <v>595000</v>
      </c>
      <c r="C194">
        <v>193</v>
      </c>
      <c r="D194">
        <v>1142150</v>
      </c>
    </row>
    <row r="195" spans="1:4">
      <c r="A195">
        <v>194</v>
      </c>
      <c r="B195">
        <v>604000</v>
      </c>
      <c r="C195">
        <v>194</v>
      </c>
      <c r="D195">
        <v>1148085</v>
      </c>
    </row>
    <row r="196" spans="1:4">
      <c r="A196">
        <v>195</v>
      </c>
      <c r="B196">
        <v>613000</v>
      </c>
      <c r="C196">
        <v>195</v>
      </c>
      <c r="D196">
        <v>1154040</v>
      </c>
    </row>
    <row r="197" spans="1:4">
      <c r="A197">
        <v>196</v>
      </c>
      <c r="B197">
        <v>613000</v>
      </c>
      <c r="C197">
        <v>196</v>
      </c>
      <c r="D197">
        <v>1160015</v>
      </c>
    </row>
    <row r="198" spans="1:4">
      <c r="A198">
        <v>197</v>
      </c>
      <c r="B198">
        <v>622000</v>
      </c>
      <c r="C198">
        <v>197</v>
      </c>
      <c r="D198">
        <v>1166005</v>
      </c>
    </row>
    <row r="199" spans="1:4">
      <c r="A199">
        <v>198</v>
      </c>
      <c r="B199">
        <v>631000</v>
      </c>
      <c r="C199">
        <v>198</v>
      </c>
      <c r="D199">
        <v>1172015</v>
      </c>
    </row>
    <row r="200" spans="1:4">
      <c r="A200">
        <v>199</v>
      </c>
      <c r="B200">
        <v>640000</v>
      </c>
      <c r="C200">
        <v>199</v>
      </c>
      <c r="D200">
        <v>1178045</v>
      </c>
    </row>
    <row r="201" spans="1:4">
      <c r="A201">
        <v>200</v>
      </c>
      <c r="B201">
        <v>649000</v>
      </c>
      <c r="C201">
        <v>200</v>
      </c>
      <c r="D201">
        <v>1184095</v>
      </c>
    </row>
    <row r="202" spans="1:4">
      <c r="A202">
        <v>201</v>
      </c>
      <c r="B202">
        <v>649000</v>
      </c>
      <c r="C202">
        <v>201</v>
      </c>
      <c r="D202">
        <v>1190160</v>
      </c>
    </row>
    <row r="203" spans="1:4">
      <c r="A203">
        <v>202</v>
      </c>
      <c r="B203">
        <v>659000</v>
      </c>
      <c r="C203">
        <v>202</v>
      </c>
      <c r="D203">
        <v>1196245</v>
      </c>
    </row>
    <row r="204" spans="1:4">
      <c r="A204">
        <v>203</v>
      </c>
      <c r="B204">
        <v>668000</v>
      </c>
      <c r="C204">
        <v>203</v>
      </c>
      <c r="D204">
        <v>1202350</v>
      </c>
    </row>
    <row r="205" spans="1:4">
      <c r="A205">
        <v>204</v>
      </c>
      <c r="B205">
        <v>677000</v>
      </c>
      <c r="C205">
        <v>204</v>
      </c>
      <c r="D205">
        <v>1208470</v>
      </c>
    </row>
    <row r="206" spans="1:4">
      <c r="A206">
        <v>205</v>
      </c>
      <c r="B206">
        <v>686000</v>
      </c>
      <c r="C206">
        <v>205</v>
      </c>
      <c r="D206">
        <v>1214285</v>
      </c>
    </row>
    <row r="207" spans="1:4">
      <c r="A207">
        <v>206</v>
      </c>
      <c r="B207">
        <v>694000</v>
      </c>
      <c r="C207">
        <v>206</v>
      </c>
      <c r="D207">
        <v>1219845</v>
      </c>
    </row>
    <row r="208" spans="1:4">
      <c r="A208">
        <v>207</v>
      </c>
      <c r="B208">
        <v>702000</v>
      </c>
      <c r="C208">
        <v>207</v>
      </c>
      <c r="D208">
        <v>1225420</v>
      </c>
    </row>
    <row r="209" spans="1:4">
      <c r="A209">
        <v>208</v>
      </c>
      <c r="B209">
        <v>710000</v>
      </c>
      <c r="C209">
        <v>208</v>
      </c>
      <c r="D209">
        <v>1231010</v>
      </c>
    </row>
    <row r="210" spans="1:4">
      <c r="A210">
        <v>209</v>
      </c>
      <c r="B210">
        <v>710000</v>
      </c>
      <c r="C210">
        <v>209</v>
      </c>
      <c r="D210">
        <v>1236615</v>
      </c>
    </row>
    <row r="211" spans="1:4">
      <c r="A211">
        <v>210</v>
      </c>
      <c r="B211">
        <v>718000</v>
      </c>
      <c r="C211">
        <v>210</v>
      </c>
      <c r="D211">
        <v>1242235</v>
      </c>
    </row>
    <row r="212" spans="1:4">
      <c r="A212">
        <v>211</v>
      </c>
      <c r="B212">
        <v>726000</v>
      </c>
      <c r="C212">
        <v>211</v>
      </c>
      <c r="D212">
        <v>1247870</v>
      </c>
    </row>
    <row r="213" spans="1:4">
      <c r="A213">
        <v>212</v>
      </c>
      <c r="B213">
        <v>735000</v>
      </c>
      <c r="C213">
        <v>212</v>
      </c>
      <c r="D213">
        <v>1253520</v>
      </c>
    </row>
    <row r="214" spans="1:4">
      <c r="A214">
        <v>213</v>
      </c>
      <c r="B214">
        <v>743000</v>
      </c>
      <c r="C214">
        <v>213</v>
      </c>
      <c r="D214">
        <v>1259190</v>
      </c>
    </row>
    <row r="215" spans="1:4">
      <c r="A215">
        <v>214</v>
      </c>
      <c r="B215">
        <v>751000</v>
      </c>
      <c r="C215">
        <v>214</v>
      </c>
      <c r="D215">
        <v>1264870</v>
      </c>
    </row>
    <row r="216" spans="1:4">
      <c r="A216">
        <v>215</v>
      </c>
      <c r="B216">
        <v>760000</v>
      </c>
      <c r="C216">
        <v>215</v>
      </c>
      <c r="D216">
        <v>1270570</v>
      </c>
    </row>
    <row r="217" spans="1:4">
      <c r="A217">
        <v>216</v>
      </c>
      <c r="B217">
        <v>768000</v>
      </c>
      <c r="C217">
        <v>216</v>
      </c>
      <c r="D217">
        <v>1276280</v>
      </c>
    </row>
    <row r="218" spans="1:4">
      <c r="A218">
        <v>217</v>
      </c>
      <c r="B218">
        <v>776000</v>
      </c>
      <c r="C218">
        <v>217</v>
      </c>
      <c r="D218">
        <v>1282010</v>
      </c>
    </row>
    <row r="219" spans="1:4">
      <c r="A219">
        <v>218</v>
      </c>
      <c r="B219">
        <v>785000</v>
      </c>
      <c r="C219">
        <v>218</v>
      </c>
      <c r="D219">
        <v>1287755</v>
      </c>
    </row>
    <row r="220" spans="1:4">
      <c r="A220">
        <v>219</v>
      </c>
      <c r="B220">
        <v>794000</v>
      </c>
      <c r="C220">
        <v>219</v>
      </c>
      <c r="D220">
        <v>1293515</v>
      </c>
    </row>
    <row r="221" spans="1:4">
      <c r="A221">
        <v>220</v>
      </c>
      <c r="B221">
        <v>802000</v>
      </c>
      <c r="C221">
        <v>220</v>
      </c>
      <c r="D221">
        <v>1299030</v>
      </c>
    </row>
    <row r="222" spans="1:4">
      <c r="A222">
        <v>221</v>
      </c>
      <c r="B222">
        <v>810000</v>
      </c>
      <c r="C222">
        <v>221</v>
      </c>
      <c r="D222">
        <v>1304345</v>
      </c>
    </row>
    <row r="223" spans="1:4">
      <c r="A223">
        <v>222</v>
      </c>
      <c r="B223">
        <v>817000</v>
      </c>
      <c r="C223">
        <v>222</v>
      </c>
      <c r="D223">
        <v>1309675</v>
      </c>
    </row>
    <row r="224" spans="1:4">
      <c r="A224">
        <v>223</v>
      </c>
      <c r="B224">
        <v>825000</v>
      </c>
      <c r="C224">
        <v>223</v>
      </c>
      <c r="D224">
        <v>1315015</v>
      </c>
    </row>
    <row r="225" spans="1:4">
      <c r="A225">
        <v>224</v>
      </c>
      <c r="B225">
        <v>832000</v>
      </c>
      <c r="C225">
        <v>224</v>
      </c>
      <c r="D225">
        <v>1320365</v>
      </c>
    </row>
    <row r="226" spans="1:4">
      <c r="A226">
        <v>225</v>
      </c>
      <c r="B226">
        <v>840000</v>
      </c>
      <c r="C226">
        <v>225</v>
      </c>
      <c r="D226">
        <v>1325730</v>
      </c>
    </row>
    <row r="227" spans="1:4">
      <c r="A227">
        <v>226</v>
      </c>
      <c r="B227">
        <v>847000</v>
      </c>
      <c r="C227">
        <v>226</v>
      </c>
      <c r="D227">
        <v>1331110</v>
      </c>
    </row>
    <row r="228" spans="1:4">
      <c r="A228">
        <v>227</v>
      </c>
      <c r="B228">
        <v>862000</v>
      </c>
      <c r="C228">
        <v>227</v>
      </c>
      <c r="D228">
        <v>1336505</v>
      </c>
    </row>
    <row r="229" spans="1:4">
      <c r="A229">
        <v>228</v>
      </c>
      <c r="B229">
        <v>870000</v>
      </c>
      <c r="C229">
        <v>228</v>
      </c>
      <c r="D229">
        <v>1341910</v>
      </c>
    </row>
    <row r="230" spans="1:4">
      <c r="A230">
        <v>229</v>
      </c>
      <c r="B230">
        <v>878000</v>
      </c>
      <c r="C230">
        <v>229</v>
      </c>
      <c r="D230">
        <v>1347330</v>
      </c>
    </row>
    <row r="231" spans="1:4">
      <c r="A231">
        <v>230</v>
      </c>
      <c r="B231">
        <v>885000</v>
      </c>
      <c r="C231">
        <v>230</v>
      </c>
      <c r="D231">
        <v>1352765</v>
      </c>
    </row>
    <row r="232" spans="1:4">
      <c r="A232">
        <v>231</v>
      </c>
      <c r="B232">
        <v>893000</v>
      </c>
      <c r="C232">
        <v>231</v>
      </c>
      <c r="D232">
        <v>1358210</v>
      </c>
    </row>
    <row r="233" spans="1:4">
      <c r="A233">
        <v>232</v>
      </c>
      <c r="B233">
        <v>901000</v>
      </c>
      <c r="C233">
        <v>232</v>
      </c>
      <c r="D233">
        <v>1363670</v>
      </c>
    </row>
    <row r="234" spans="1:4">
      <c r="A234">
        <v>233</v>
      </c>
      <c r="B234">
        <v>909000</v>
      </c>
      <c r="C234">
        <v>233</v>
      </c>
      <c r="D234">
        <v>1369145</v>
      </c>
    </row>
    <row r="235" spans="1:4">
      <c r="A235">
        <v>234</v>
      </c>
      <c r="B235">
        <v>917000</v>
      </c>
      <c r="C235">
        <v>234</v>
      </c>
      <c r="D235">
        <v>1374630</v>
      </c>
    </row>
    <row r="236" spans="1:4">
      <c r="A236">
        <v>235</v>
      </c>
      <c r="B236">
        <v>924000</v>
      </c>
      <c r="C236">
        <v>235</v>
      </c>
      <c r="D236">
        <v>1379925</v>
      </c>
    </row>
    <row r="237" spans="1:4">
      <c r="A237">
        <v>236</v>
      </c>
      <c r="B237">
        <v>937000</v>
      </c>
      <c r="C237">
        <v>236</v>
      </c>
      <c r="D237">
        <v>1385060</v>
      </c>
    </row>
    <row r="238" spans="1:4">
      <c r="A238">
        <v>237</v>
      </c>
      <c r="B238">
        <v>944000</v>
      </c>
      <c r="C238">
        <v>237</v>
      </c>
      <c r="D238">
        <v>1390210</v>
      </c>
    </row>
    <row r="239" spans="1:4">
      <c r="A239">
        <v>238</v>
      </c>
      <c r="B239">
        <v>951000</v>
      </c>
      <c r="C239">
        <v>238</v>
      </c>
      <c r="D239">
        <v>1395365</v>
      </c>
    </row>
    <row r="240" spans="1:4">
      <c r="A240">
        <v>239</v>
      </c>
      <c r="B240">
        <v>958000</v>
      </c>
      <c r="C240">
        <v>239</v>
      </c>
      <c r="D240">
        <v>1400535</v>
      </c>
    </row>
    <row r="241" spans="1:4">
      <c r="A241">
        <v>240</v>
      </c>
      <c r="B241">
        <v>972000</v>
      </c>
      <c r="C241">
        <v>240</v>
      </c>
      <c r="D241">
        <v>1405720</v>
      </c>
    </row>
    <row r="242" spans="1:4">
      <c r="A242">
        <v>241</v>
      </c>
      <c r="B242">
        <v>979000</v>
      </c>
      <c r="C242">
        <v>241</v>
      </c>
      <c r="D242">
        <v>1410915</v>
      </c>
    </row>
    <row r="243" spans="1:4">
      <c r="A243">
        <v>242</v>
      </c>
      <c r="B243">
        <v>986000</v>
      </c>
      <c r="C243">
        <v>242</v>
      </c>
      <c r="D243">
        <v>1416120</v>
      </c>
    </row>
    <row r="244" spans="1:4">
      <c r="A244">
        <v>243</v>
      </c>
      <c r="B244">
        <v>993000</v>
      </c>
      <c r="C244">
        <v>243</v>
      </c>
      <c r="D244">
        <v>1421335</v>
      </c>
    </row>
    <row r="245" spans="1:4">
      <c r="A245">
        <v>244</v>
      </c>
      <c r="B245">
        <v>1000000</v>
      </c>
      <c r="C245">
        <v>244</v>
      </c>
      <c r="D245">
        <v>1426565</v>
      </c>
    </row>
    <row r="246" spans="1:4">
      <c r="A246">
        <v>245</v>
      </c>
      <c r="B246">
        <v>1010000</v>
      </c>
      <c r="C246">
        <v>245</v>
      </c>
      <c r="D246">
        <v>1431805</v>
      </c>
    </row>
    <row r="247" spans="1:4">
      <c r="A247">
        <v>246</v>
      </c>
      <c r="B247">
        <v>1020000</v>
      </c>
      <c r="C247">
        <v>246</v>
      </c>
      <c r="D247">
        <v>1437060</v>
      </c>
    </row>
    <row r="248" spans="1:4">
      <c r="A248">
        <v>247</v>
      </c>
      <c r="B248">
        <v>1030000</v>
      </c>
      <c r="C248">
        <v>247</v>
      </c>
      <c r="D248">
        <v>1442325</v>
      </c>
    </row>
    <row r="249" spans="1:4">
      <c r="A249">
        <v>248</v>
      </c>
      <c r="B249">
        <v>1040000</v>
      </c>
      <c r="C249">
        <v>248</v>
      </c>
      <c r="D249">
        <v>1447600</v>
      </c>
    </row>
    <row r="250" spans="1:4">
      <c r="A250">
        <v>249</v>
      </c>
      <c r="B250">
        <v>1050000</v>
      </c>
      <c r="C250">
        <v>249</v>
      </c>
      <c r="D250">
        <v>1452890</v>
      </c>
    </row>
    <row r="251" spans="1:4">
      <c r="A251">
        <v>250</v>
      </c>
      <c r="B251">
        <v>1050000</v>
      </c>
      <c r="C251">
        <v>250</v>
      </c>
      <c r="D251">
        <v>1458030</v>
      </c>
    </row>
    <row r="252" spans="1:4">
      <c r="A252">
        <v>251</v>
      </c>
      <c r="B252">
        <v>1070000</v>
      </c>
      <c r="C252">
        <v>251</v>
      </c>
      <c r="D252">
        <v>1463040</v>
      </c>
    </row>
    <row r="253" spans="1:4">
      <c r="A253">
        <v>252</v>
      </c>
      <c r="B253">
        <v>1070000</v>
      </c>
      <c r="C253">
        <v>252</v>
      </c>
      <c r="D253">
        <v>1468065</v>
      </c>
    </row>
    <row r="254" spans="1:4">
      <c r="A254">
        <v>253</v>
      </c>
      <c r="B254">
        <v>1080000</v>
      </c>
      <c r="C254">
        <v>253</v>
      </c>
      <c r="D254">
        <v>1473100</v>
      </c>
    </row>
    <row r="255" spans="1:4">
      <c r="A255">
        <v>254</v>
      </c>
      <c r="B255">
        <v>1090000</v>
      </c>
      <c r="C255">
        <v>254</v>
      </c>
      <c r="D255">
        <v>1478145</v>
      </c>
    </row>
    <row r="256" spans="1:4">
      <c r="A256">
        <v>255</v>
      </c>
      <c r="B256">
        <v>1100000</v>
      </c>
      <c r="C256">
        <v>255</v>
      </c>
      <c r="D256">
        <v>1483200</v>
      </c>
    </row>
    <row r="257" spans="1:4">
      <c r="A257">
        <v>256</v>
      </c>
      <c r="B257">
        <v>1110000</v>
      </c>
      <c r="C257">
        <v>256</v>
      </c>
      <c r="D257">
        <v>1488270</v>
      </c>
    </row>
    <row r="258" spans="1:4">
      <c r="A258">
        <v>257</v>
      </c>
      <c r="B258">
        <v>1120000</v>
      </c>
      <c r="C258">
        <v>257</v>
      </c>
      <c r="D258">
        <v>1493345</v>
      </c>
    </row>
    <row r="259" spans="1:4">
      <c r="A259">
        <v>258</v>
      </c>
      <c r="B259">
        <v>1120000</v>
      </c>
      <c r="C259">
        <v>258</v>
      </c>
      <c r="D259">
        <v>1498435</v>
      </c>
    </row>
    <row r="260" spans="1:4">
      <c r="A260">
        <v>259</v>
      </c>
      <c r="B260">
        <v>1130000</v>
      </c>
      <c r="C260">
        <v>259</v>
      </c>
      <c r="D260">
        <v>1503535</v>
      </c>
    </row>
    <row r="261" spans="1:4">
      <c r="A261">
        <v>260</v>
      </c>
      <c r="B261">
        <v>1140000</v>
      </c>
      <c r="C261">
        <v>260</v>
      </c>
      <c r="D261">
        <v>1508640</v>
      </c>
    </row>
    <row r="262" spans="1:4">
      <c r="A262">
        <v>261</v>
      </c>
      <c r="B262">
        <v>1150000</v>
      </c>
      <c r="C262">
        <v>261</v>
      </c>
      <c r="D262">
        <v>1513765</v>
      </c>
    </row>
    <row r="263" spans="1:4">
      <c r="A263">
        <v>262</v>
      </c>
      <c r="B263">
        <v>1160000</v>
      </c>
      <c r="C263">
        <v>262</v>
      </c>
      <c r="D263">
        <v>1518895</v>
      </c>
    </row>
    <row r="264" spans="1:4">
      <c r="A264">
        <v>263</v>
      </c>
      <c r="B264">
        <v>1170000</v>
      </c>
      <c r="C264">
        <v>263</v>
      </c>
      <c r="D264">
        <v>1524035</v>
      </c>
    </row>
    <row r="265" spans="1:4">
      <c r="A265">
        <v>264</v>
      </c>
      <c r="B265">
        <v>1180000</v>
      </c>
      <c r="C265">
        <v>264</v>
      </c>
      <c r="D265">
        <v>1529190</v>
      </c>
    </row>
    <row r="266" spans="1:4">
      <c r="A266">
        <v>265</v>
      </c>
      <c r="B266">
        <v>1180000</v>
      </c>
      <c r="C266">
        <v>265</v>
      </c>
      <c r="D266">
        <v>1534225</v>
      </c>
    </row>
    <row r="267" spans="1:4">
      <c r="A267">
        <v>266</v>
      </c>
      <c r="B267">
        <v>1190000</v>
      </c>
      <c r="C267">
        <v>266</v>
      </c>
      <c r="D267">
        <v>1539160</v>
      </c>
    </row>
    <row r="268" spans="1:4">
      <c r="A268">
        <v>267</v>
      </c>
      <c r="B268">
        <v>1200000</v>
      </c>
      <c r="C268">
        <v>267</v>
      </c>
      <c r="D268">
        <v>1544110</v>
      </c>
    </row>
    <row r="269" spans="1:4">
      <c r="A269">
        <v>268</v>
      </c>
      <c r="B269">
        <v>1210000</v>
      </c>
      <c r="C269">
        <v>268</v>
      </c>
      <c r="D269">
        <v>1549070</v>
      </c>
    </row>
    <row r="270" spans="1:4">
      <c r="A270">
        <v>269</v>
      </c>
      <c r="B270">
        <v>1220000</v>
      </c>
      <c r="C270">
        <v>269</v>
      </c>
      <c r="D270">
        <v>1554040</v>
      </c>
    </row>
    <row r="271" spans="1:4">
      <c r="A271">
        <v>270</v>
      </c>
      <c r="B271">
        <v>1230000</v>
      </c>
      <c r="C271">
        <v>270</v>
      </c>
      <c r="D271">
        <v>1559015</v>
      </c>
    </row>
    <row r="272" spans="1:4">
      <c r="A272">
        <v>271</v>
      </c>
      <c r="B272">
        <v>1240000</v>
      </c>
      <c r="C272">
        <v>271</v>
      </c>
      <c r="D272">
        <v>1564005</v>
      </c>
    </row>
    <row r="273" spans="1:4">
      <c r="A273">
        <v>272</v>
      </c>
      <c r="B273">
        <v>1240000</v>
      </c>
      <c r="C273">
        <v>272</v>
      </c>
      <c r="D273">
        <v>1569000</v>
      </c>
    </row>
    <row r="274" spans="1:4">
      <c r="A274">
        <v>273</v>
      </c>
      <c r="B274">
        <v>1250000</v>
      </c>
      <c r="C274">
        <v>273</v>
      </c>
      <c r="D274">
        <v>1574010</v>
      </c>
    </row>
    <row r="275" spans="1:4">
      <c r="A275">
        <v>274</v>
      </c>
      <c r="B275">
        <v>1260000</v>
      </c>
      <c r="C275">
        <v>274</v>
      </c>
      <c r="D275">
        <v>1579030</v>
      </c>
    </row>
    <row r="276" spans="1:4">
      <c r="A276">
        <v>275</v>
      </c>
      <c r="B276">
        <v>1270000</v>
      </c>
      <c r="C276">
        <v>275</v>
      </c>
      <c r="D276">
        <v>1584055</v>
      </c>
    </row>
    <row r="277" spans="1:4">
      <c r="A277">
        <v>276</v>
      </c>
      <c r="B277">
        <v>1280000</v>
      </c>
      <c r="C277">
        <v>276</v>
      </c>
      <c r="D277">
        <v>1589095</v>
      </c>
    </row>
    <row r="278" spans="1:4">
      <c r="A278">
        <v>277</v>
      </c>
      <c r="B278">
        <v>1280000</v>
      </c>
      <c r="C278">
        <v>277</v>
      </c>
      <c r="D278">
        <v>1594140</v>
      </c>
    </row>
    <row r="279" spans="1:4">
      <c r="A279">
        <v>278</v>
      </c>
      <c r="B279">
        <v>1290000</v>
      </c>
      <c r="C279">
        <v>278</v>
      </c>
      <c r="D279">
        <v>1599200</v>
      </c>
    </row>
    <row r="280" spans="1:4">
      <c r="A280">
        <v>279</v>
      </c>
      <c r="B280">
        <v>1300000</v>
      </c>
      <c r="C280">
        <v>279</v>
      </c>
      <c r="D280">
        <v>1604265</v>
      </c>
    </row>
    <row r="281" spans="1:4">
      <c r="A281">
        <v>280</v>
      </c>
      <c r="B281">
        <v>1310000</v>
      </c>
    </row>
    <row r="282" spans="1:4">
      <c r="A282">
        <v>281</v>
      </c>
      <c r="B282">
        <v>1320000</v>
      </c>
    </row>
    <row r="283" spans="1:4">
      <c r="A283">
        <v>282</v>
      </c>
      <c r="B283">
        <v>1330000</v>
      </c>
    </row>
    <row r="284" spans="1:4">
      <c r="A284">
        <v>283</v>
      </c>
      <c r="B284">
        <v>1340000</v>
      </c>
    </row>
    <row r="285" spans="1:4">
      <c r="A285">
        <v>284</v>
      </c>
      <c r="B285">
        <v>1340000</v>
      </c>
    </row>
    <row r="286" spans="1:4">
      <c r="A286">
        <v>285</v>
      </c>
      <c r="B286">
        <v>1350000</v>
      </c>
    </row>
    <row r="287" spans="1:4">
      <c r="A287">
        <v>286</v>
      </c>
      <c r="B287">
        <v>1360000</v>
      </c>
    </row>
    <row r="288" spans="1:4">
      <c r="A288">
        <v>287</v>
      </c>
      <c r="B288">
        <v>1360000</v>
      </c>
    </row>
    <row r="289" spans="1:2">
      <c r="A289">
        <v>288</v>
      </c>
      <c r="B289">
        <v>1370000</v>
      </c>
    </row>
    <row r="290" spans="1:2">
      <c r="A290">
        <v>289</v>
      </c>
      <c r="B290">
        <v>1380000</v>
      </c>
    </row>
    <row r="291" spans="1:2">
      <c r="A291">
        <v>290</v>
      </c>
      <c r="B291">
        <v>1390000</v>
      </c>
    </row>
    <row r="292" spans="1:2">
      <c r="A292">
        <v>291</v>
      </c>
      <c r="B292">
        <v>1400000</v>
      </c>
    </row>
    <row r="293" spans="1:2">
      <c r="A293">
        <v>292</v>
      </c>
      <c r="B293">
        <v>1410000</v>
      </c>
    </row>
    <row r="294" spans="1:2">
      <c r="A294">
        <v>293</v>
      </c>
      <c r="B294">
        <v>1420000</v>
      </c>
    </row>
    <row r="295" spans="1:2">
      <c r="A295">
        <v>294</v>
      </c>
      <c r="B295">
        <v>1420000</v>
      </c>
    </row>
    <row r="296" spans="1:2">
      <c r="A296">
        <v>295</v>
      </c>
      <c r="B296">
        <v>1430000</v>
      </c>
    </row>
    <row r="297" spans="1:2">
      <c r="A297">
        <v>296</v>
      </c>
      <c r="B297">
        <v>1440000</v>
      </c>
    </row>
    <row r="298" spans="1:2">
      <c r="A298">
        <v>297</v>
      </c>
      <c r="B298">
        <v>1440000</v>
      </c>
    </row>
    <row r="299" spans="1:2">
      <c r="A299">
        <v>298</v>
      </c>
      <c r="B299">
        <v>1450000</v>
      </c>
    </row>
    <row r="300" spans="1:2">
      <c r="A300">
        <v>299</v>
      </c>
      <c r="B300">
        <v>1460000</v>
      </c>
    </row>
    <row r="301" spans="1:2">
      <c r="A301">
        <v>300</v>
      </c>
      <c r="B301">
        <v>1470000</v>
      </c>
    </row>
    <row r="302" spans="1:2">
      <c r="A302">
        <v>301</v>
      </c>
      <c r="B302">
        <v>1470000</v>
      </c>
    </row>
    <row r="303" spans="1:2">
      <c r="A303">
        <v>302</v>
      </c>
      <c r="B303">
        <v>1480000</v>
      </c>
    </row>
    <row r="304" spans="1:2">
      <c r="A304">
        <v>303</v>
      </c>
      <c r="B304">
        <v>1490000</v>
      </c>
    </row>
    <row r="305" spans="1:2">
      <c r="A305">
        <v>304</v>
      </c>
      <c r="B305">
        <v>1500000</v>
      </c>
    </row>
    <row r="306" spans="1:2">
      <c r="A306">
        <v>305</v>
      </c>
      <c r="B306">
        <v>1500000</v>
      </c>
    </row>
    <row r="307" spans="1:2">
      <c r="A307">
        <v>306</v>
      </c>
      <c r="B307">
        <v>1510000</v>
      </c>
    </row>
    <row r="308" spans="1:2">
      <c r="A308">
        <v>307</v>
      </c>
      <c r="B308">
        <v>1520000</v>
      </c>
    </row>
    <row r="309" spans="1:2">
      <c r="A309">
        <v>308</v>
      </c>
      <c r="B309">
        <v>1530000</v>
      </c>
    </row>
    <row r="310" spans="1:2">
      <c r="A310">
        <v>309</v>
      </c>
      <c r="B310">
        <v>1530000</v>
      </c>
    </row>
    <row r="311" spans="1:2">
      <c r="A311">
        <v>310</v>
      </c>
      <c r="B311">
        <v>1540000</v>
      </c>
    </row>
    <row r="312" spans="1:2">
      <c r="A312">
        <v>311</v>
      </c>
      <c r="B312">
        <v>1550000</v>
      </c>
    </row>
    <row r="313" spans="1:2">
      <c r="A313">
        <v>312</v>
      </c>
      <c r="B313">
        <v>1560000</v>
      </c>
    </row>
    <row r="314" spans="1:2">
      <c r="A314">
        <v>313</v>
      </c>
      <c r="B314">
        <v>1560000</v>
      </c>
    </row>
    <row r="315" spans="1:2">
      <c r="A315">
        <v>314</v>
      </c>
      <c r="B315">
        <v>1570000</v>
      </c>
    </row>
    <row r="316" spans="1:2">
      <c r="A316">
        <v>315</v>
      </c>
      <c r="B316">
        <v>1580000</v>
      </c>
    </row>
    <row r="317" spans="1:2">
      <c r="A317">
        <v>316</v>
      </c>
      <c r="B317">
        <v>1590000</v>
      </c>
    </row>
    <row r="318" spans="1:2">
      <c r="A318">
        <v>317</v>
      </c>
      <c r="B318">
        <v>1590000</v>
      </c>
    </row>
    <row r="319" spans="1:2">
      <c r="A319">
        <v>318</v>
      </c>
      <c r="B319">
        <v>1600000</v>
      </c>
    </row>
    <row r="320" spans="1:2">
      <c r="A320">
        <v>319</v>
      </c>
      <c r="B320">
        <v>1600000</v>
      </c>
    </row>
    <row r="321" spans="1:2">
      <c r="A321">
        <v>320</v>
      </c>
      <c r="B321">
        <v>1610000</v>
      </c>
    </row>
    <row r="322" spans="1:2">
      <c r="A322">
        <v>321</v>
      </c>
      <c r="B322">
        <v>1620000</v>
      </c>
    </row>
    <row r="323" spans="1:2">
      <c r="A323">
        <v>322</v>
      </c>
      <c r="B323">
        <v>1630000</v>
      </c>
    </row>
    <row r="324" spans="1:2">
      <c r="A324">
        <v>323</v>
      </c>
      <c r="B324">
        <v>1640000</v>
      </c>
    </row>
    <row r="325" spans="1:2">
      <c r="A325">
        <v>324</v>
      </c>
      <c r="B325">
        <v>1650000</v>
      </c>
    </row>
    <row r="326" spans="1:2">
      <c r="A326">
        <v>325</v>
      </c>
      <c r="B326">
        <v>1660000</v>
      </c>
    </row>
    <row r="327" spans="1:2">
      <c r="A327">
        <v>326</v>
      </c>
      <c r="B327">
        <v>1670000</v>
      </c>
    </row>
    <row r="328" spans="1:2">
      <c r="A328">
        <v>327</v>
      </c>
      <c r="B328">
        <v>1680000</v>
      </c>
    </row>
    <row r="329" spans="1:2">
      <c r="A329">
        <v>328</v>
      </c>
      <c r="B329">
        <v>1690000</v>
      </c>
    </row>
    <row r="330" spans="1:2">
      <c r="A330">
        <v>329</v>
      </c>
      <c r="B330">
        <v>1700000</v>
      </c>
    </row>
    <row r="331" spans="1:2">
      <c r="A331">
        <v>330</v>
      </c>
      <c r="B331">
        <v>1710000</v>
      </c>
    </row>
    <row r="332" spans="1:2">
      <c r="A332">
        <v>331</v>
      </c>
      <c r="B332">
        <v>1710000</v>
      </c>
    </row>
    <row r="333" spans="1:2">
      <c r="A333">
        <v>332</v>
      </c>
      <c r="B333">
        <v>1720000</v>
      </c>
    </row>
    <row r="334" spans="1:2">
      <c r="A334">
        <v>333</v>
      </c>
      <c r="B334">
        <v>1730000</v>
      </c>
    </row>
    <row r="335" spans="1:2">
      <c r="A335">
        <v>334</v>
      </c>
      <c r="B335">
        <v>1740000</v>
      </c>
    </row>
    <row r="336" spans="1:2">
      <c r="A336">
        <v>335</v>
      </c>
      <c r="B336">
        <v>1750000</v>
      </c>
    </row>
    <row r="337" spans="1:2">
      <c r="A337">
        <v>336</v>
      </c>
      <c r="B337">
        <v>1760000</v>
      </c>
    </row>
    <row r="338" spans="1:2">
      <c r="A338">
        <v>337</v>
      </c>
      <c r="B338">
        <v>1770000</v>
      </c>
    </row>
    <row r="339" spans="1:2">
      <c r="A339">
        <v>338</v>
      </c>
      <c r="B339">
        <v>1780000</v>
      </c>
    </row>
    <row r="340" spans="1:2">
      <c r="A340">
        <v>339</v>
      </c>
      <c r="B340">
        <v>1790000</v>
      </c>
    </row>
    <row r="341" spans="1:2">
      <c r="A341">
        <v>340</v>
      </c>
      <c r="B341">
        <v>1800000</v>
      </c>
    </row>
    <row r="342" spans="1:2">
      <c r="A342">
        <v>341</v>
      </c>
      <c r="B342">
        <v>1810000</v>
      </c>
    </row>
    <row r="343" spans="1:2">
      <c r="A343">
        <v>342</v>
      </c>
      <c r="B343">
        <v>1820000</v>
      </c>
    </row>
    <row r="344" spans="1:2">
      <c r="A344">
        <v>343</v>
      </c>
      <c r="B344">
        <v>1830000</v>
      </c>
    </row>
    <row r="345" spans="1:2">
      <c r="A345">
        <v>344</v>
      </c>
      <c r="B345">
        <v>1840000</v>
      </c>
    </row>
    <row r="346" spans="1:2">
      <c r="A346">
        <v>345</v>
      </c>
      <c r="B346">
        <v>1850000</v>
      </c>
    </row>
    <row r="347" spans="1:2">
      <c r="A347">
        <v>346</v>
      </c>
      <c r="B347">
        <v>1860000</v>
      </c>
    </row>
    <row r="348" spans="1:2">
      <c r="A348">
        <v>347</v>
      </c>
      <c r="B348">
        <v>1870000</v>
      </c>
    </row>
    <row r="349" spans="1:2">
      <c r="A349">
        <v>348</v>
      </c>
      <c r="B349">
        <v>1880000</v>
      </c>
    </row>
    <row r="350" spans="1:2">
      <c r="A350">
        <v>349</v>
      </c>
      <c r="B350">
        <v>1890000</v>
      </c>
    </row>
    <row r="351" spans="1:2">
      <c r="A351">
        <v>350</v>
      </c>
      <c r="B351">
        <v>1900000</v>
      </c>
    </row>
    <row r="352" spans="1:2">
      <c r="A352">
        <v>351</v>
      </c>
      <c r="B352">
        <v>1910000</v>
      </c>
    </row>
    <row r="353" spans="1:2">
      <c r="A353">
        <v>352</v>
      </c>
      <c r="B353">
        <v>1920000</v>
      </c>
    </row>
    <row r="354" spans="1:2">
      <c r="A354">
        <v>353</v>
      </c>
      <c r="B354">
        <v>1930000</v>
      </c>
    </row>
    <row r="355" spans="1:2">
      <c r="A355">
        <v>354</v>
      </c>
      <c r="B355">
        <v>1940000</v>
      </c>
    </row>
    <row r="356" spans="1:2">
      <c r="A356">
        <v>355</v>
      </c>
      <c r="B356">
        <v>1950000</v>
      </c>
    </row>
    <row r="357" spans="1:2">
      <c r="A357">
        <v>356</v>
      </c>
      <c r="B357">
        <v>1960000</v>
      </c>
    </row>
    <row r="358" spans="1:2">
      <c r="A358">
        <v>357</v>
      </c>
      <c r="B358">
        <v>1970000</v>
      </c>
    </row>
    <row r="359" spans="1:2">
      <c r="A359">
        <v>358</v>
      </c>
      <c r="B359">
        <v>1980000</v>
      </c>
    </row>
    <row r="360" spans="1:2">
      <c r="A360">
        <v>359</v>
      </c>
      <c r="B360">
        <v>1990000</v>
      </c>
    </row>
    <row r="361" spans="1:2">
      <c r="A361">
        <v>360</v>
      </c>
      <c r="B361">
        <v>2000000</v>
      </c>
    </row>
    <row r="362" spans="1:2">
      <c r="A362">
        <v>361</v>
      </c>
      <c r="B362">
        <v>2010000</v>
      </c>
    </row>
    <row r="363" spans="1:2">
      <c r="A363">
        <v>362</v>
      </c>
      <c r="B363">
        <v>2020000</v>
      </c>
    </row>
    <row r="364" spans="1:2">
      <c r="A364">
        <v>363</v>
      </c>
      <c r="B364">
        <v>2030000</v>
      </c>
    </row>
    <row r="365" spans="1:2">
      <c r="A365">
        <v>364</v>
      </c>
      <c r="B365">
        <v>2040000</v>
      </c>
    </row>
    <row r="366" spans="1:2">
      <c r="A366">
        <v>365</v>
      </c>
      <c r="B366">
        <v>2050000</v>
      </c>
    </row>
    <row r="367" spans="1:2">
      <c r="A367">
        <v>366</v>
      </c>
      <c r="B367">
        <v>2060000</v>
      </c>
    </row>
    <row r="368" spans="1:2">
      <c r="A368">
        <v>367</v>
      </c>
      <c r="B368">
        <v>2070000</v>
      </c>
    </row>
    <row r="369" spans="1:2">
      <c r="A369">
        <v>368</v>
      </c>
      <c r="B369">
        <v>2080000</v>
      </c>
    </row>
    <row r="370" spans="1:2">
      <c r="A370">
        <v>369</v>
      </c>
      <c r="B370">
        <v>2100000</v>
      </c>
    </row>
    <row r="371" spans="1:2">
      <c r="A371">
        <v>370</v>
      </c>
      <c r="B371">
        <v>2110000</v>
      </c>
    </row>
    <row r="372" spans="1:2">
      <c r="A372">
        <v>371</v>
      </c>
      <c r="B372">
        <v>2120000</v>
      </c>
    </row>
    <row r="373" spans="1:2">
      <c r="A373">
        <v>372</v>
      </c>
      <c r="B373">
        <v>2130000</v>
      </c>
    </row>
    <row r="374" spans="1:2">
      <c r="A374">
        <v>373</v>
      </c>
      <c r="B374">
        <v>2140000</v>
      </c>
    </row>
    <row r="375" spans="1:2">
      <c r="A375">
        <v>374</v>
      </c>
      <c r="B375">
        <v>2150000</v>
      </c>
    </row>
    <row r="376" spans="1:2">
      <c r="A376">
        <v>375</v>
      </c>
      <c r="B376">
        <v>2160000</v>
      </c>
    </row>
    <row r="377" spans="1:2">
      <c r="A377">
        <v>376</v>
      </c>
      <c r="B377">
        <v>2170000</v>
      </c>
    </row>
    <row r="378" spans="1:2">
      <c r="A378">
        <v>377</v>
      </c>
      <c r="B378">
        <v>2180000</v>
      </c>
    </row>
    <row r="379" spans="1:2">
      <c r="A379">
        <v>378</v>
      </c>
      <c r="B379">
        <v>2190000</v>
      </c>
    </row>
    <row r="380" spans="1:2">
      <c r="A380">
        <v>379</v>
      </c>
      <c r="B380">
        <v>2200000</v>
      </c>
    </row>
    <row r="381" spans="1:2">
      <c r="A381">
        <v>380</v>
      </c>
      <c r="B381">
        <v>2210000</v>
      </c>
    </row>
    <row r="382" spans="1:2">
      <c r="A382">
        <v>381</v>
      </c>
      <c r="B382">
        <v>2230000</v>
      </c>
    </row>
    <row r="383" spans="1:2">
      <c r="A383">
        <v>382</v>
      </c>
      <c r="B383">
        <v>2240000</v>
      </c>
    </row>
    <row r="384" spans="1:2">
      <c r="A384">
        <v>383</v>
      </c>
      <c r="B384">
        <v>2250000</v>
      </c>
    </row>
    <row r="385" spans="1:2">
      <c r="A385">
        <v>384</v>
      </c>
      <c r="B385">
        <v>2260000</v>
      </c>
    </row>
    <row r="386" spans="1:2">
      <c r="A386">
        <v>385</v>
      </c>
      <c r="B386">
        <v>2270000</v>
      </c>
    </row>
    <row r="387" spans="1:2">
      <c r="A387">
        <v>386</v>
      </c>
      <c r="B387">
        <v>2280000</v>
      </c>
    </row>
    <row r="388" spans="1:2">
      <c r="A388">
        <v>387</v>
      </c>
      <c r="B388">
        <v>2290000</v>
      </c>
    </row>
    <row r="389" spans="1:2">
      <c r="A389">
        <v>388</v>
      </c>
      <c r="B389">
        <v>2300000</v>
      </c>
    </row>
    <row r="390" spans="1:2">
      <c r="A390">
        <v>389</v>
      </c>
      <c r="B390">
        <v>2310000</v>
      </c>
    </row>
    <row r="391" spans="1:2">
      <c r="A391">
        <v>390</v>
      </c>
      <c r="B391">
        <v>2330000</v>
      </c>
    </row>
    <row r="392" spans="1:2">
      <c r="A392">
        <v>391</v>
      </c>
      <c r="B392">
        <v>2340000</v>
      </c>
    </row>
    <row r="393" spans="1:2">
      <c r="A393">
        <v>392</v>
      </c>
      <c r="B393">
        <v>2350000</v>
      </c>
    </row>
    <row r="394" spans="1:2">
      <c r="A394">
        <v>393</v>
      </c>
      <c r="B394">
        <v>2360000</v>
      </c>
    </row>
    <row r="395" spans="1:2">
      <c r="A395">
        <v>394</v>
      </c>
      <c r="B395">
        <v>2370000</v>
      </c>
    </row>
    <row r="396" spans="1:2">
      <c r="A396">
        <v>395</v>
      </c>
      <c r="B396">
        <v>2380000</v>
      </c>
    </row>
    <row r="397" spans="1:2">
      <c r="A397">
        <v>396</v>
      </c>
      <c r="B397">
        <v>2390000</v>
      </c>
    </row>
    <row r="398" spans="1:2">
      <c r="A398">
        <v>397</v>
      </c>
      <c r="B398">
        <v>2410000</v>
      </c>
    </row>
    <row r="399" spans="1:2">
      <c r="A399">
        <v>398</v>
      </c>
      <c r="B399">
        <v>2420000</v>
      </c>
    </row>
    <row r="400" spans="1:2">
      <c r="A400">
        <v>399</v>
      </c>
      <c r="B400">
        <v>2430000</v>
      </c>
    </row>
    <row r="401" spans="1:2">
      <c r="A401">
        <v>400</v>
      </c>
      <c r="B401">
        <v>2440000</v>
      </c>
    </row>
    <row r="402" spans="1:2">
      <c r="A402">
        <v>401</v>
      </c>
      <c r="B402">
        <v>2450000</v>
      </c>
    </row>
    <row r="403" spans="1:2">
      <c r="A403">
        <v>402</v>
      </c>
      <c r="B403">
        <v>2460000</v>
      </c>
    </row>
    <row r="404" spans="1:2">
      <c r="A404">
        <v>403</v>
      </c>
      <c r="B404">
        <v>2480000</v>
      </c>
    </row>
    <row r="405" spans="1:2">
      <c r="A405">
        <v>404</v>
      </c>
      <c r="B405">
        <v>2490000</v>
      </c>
    </row>
    <row r="406" spans="1:2">
      <c r="A406">
        <v>405</v>
      </c>
      <c r="B406">
        <v>2500000</v>
      </c>
    </row>
    <row r="407" spans="1:2">
      <c r="A407">
        <v>406</v>
      </c>
      <c r="B407">
        <v>2510000</v>
      </c>
    </row>
    <row r="408" spans="1:2">
      <c r="A408">
        <v>407</v>
      </c>
      <c r="B408">
        <v>2520000</v>
      </c>
    </row>
    <row r="409" spans="1:2">
      <c r="A409">
        <v>408</v>
      </c>
      <c r="B409">
        <v>2540000</v>
      </c>
    </row>
    <row r="410" spans="1:2">
      <c r="A410">
        <v>409</v>
      </c>
      <c r="B410">
        <v>2550000</v>
      </c>
    </row>
    <row r="411" spans="1:2">
      <c r="A411">
        <v>410</v>
      </c>
      <c r="B411">
        <v>2560000</v>
      </c>
    </row>
    <row r="412" spans="1:2">
      <c r="A412">
        <v>411</v>
      </c>
      <c r="B412">
        <v>2570000</v>
      </c>
    </row>
    <row r="413" spans="1:2">
      <c r="A413">
        <v>412</v>
      </c>
      <c r="B413">
        <v>2580000</v>
      </c>
    </row>
    <row r="414" spans="1:2">
      <c r="A414">
        <v>413</v>
      </c>
      <c r="B414">
        <v>2600000</v>
      </c>
    </row>
    <row r="415" spans="1:2">
      <c r="A415">
        <v>414</v>
      </c>
      <c r="B415">
        <v>2610000</v>
      </c>
    </row>
    <row r="416" spans="1:2">
      <c r="A416">
        <v>415</v>
      </c>
      <c r="B416">
        <v>2620000</v>
      </c>
    </row>
    <row r="417" spans="1:2">
      <c r="A417">
        <v>416</v>
      </c>
      <c r="B417">
        <v>2630000</v>
      </c>
    </row>
    <row r="418" spans="1:2">
      <c r="A418">
        <v>417</v>
      </c>
      <c r="B418">
        <v>2640000</v>
      </c>
    </row>
    <row r="419" spans="1:2">
      <c r="A419">
        <v>418</v>
      </c>
      <c r="B419">
        <v>2660000</v>
      </c>
    </row>
    <row r="420" spans="1:2">
      <c r="A420">
        <v>419</v>
      </c>
      <c r="B420">
        <v>2670000</v>
      </c>
    </row>
    <row r="421" spans="1:2">
      <c r="A421">
        <v>420</v>
      </c>
      <c r="B421">
        <v>2680000</v>
      </c>
    </row>
    <row r="422" spans="1:2">
      <c r="A422">
        <v>421</v>
      </c>
      <c r="B422">
        <v>2690000</v>
      </c>
    </row>
    <row r="423" spans="1:2">
      <c r="A423">
        <v>422</v>
      </c>
      <c r="B423">
        <v>2710000</v>
      </c>
    </row>
    <row r="424" spans="1:2">
      <c r="A424">
        <v>423</v>
      </c>
      <c r="B424">
        <v>2720000</v>
      </c>
    </row>
    <row r="425" spans="1:2">
      <c r="A425">
        <v>424</v>
      </c>
      <c r="B425">
        <v>2730000</v>
      </c>
    </row>
    <row r="426" spans="1:2">
      <c r="A426">
        <v>425</v>
      </c>
      <c r="B426">
        <v>2740000</v>
      </c>
    </row>
    <row r="427" spans="1:2">
      <c r="A427">
        <v>426</v>
      </c>
      <c r="B427">
        <v>2760000</v>
      </c>
    </row>
    <row r="428" spans="1:2">
      <c r="A428">
        <v>427</v>
      </c>
      <c r="B428">
        <v>2770000</v>
      </c>
    </row>
    <row r="429" spans="1:2">
      <c r="A429">
        <v>428</v>
      </c>
      <c r="B429">
        <v>2780000</v>
      </c>
    </row>
    <row r="430" spans="1:2">
      <c r="A430">
        <v>429</v>
      </c>
      <c r="B430">
        <v>2790000</v>
      </c>
    </row>
    <row r="431" spans="1:2">
      <c r="A431">
        <v>430</v>
      </c>
      <c r="B431">
        <v>2810000</v>
      </c>
    </row>
    <row r="432" spans="1:2">
      <c r="A432">
        <v>431</v>
      </c>
      <c r="B432">
        <v>2820000</v>
      </c>
    </row>
    <row r="433" spans="1:2">
      <c r="A433">
        <v>432</v>
      </c>
      <c r="B433">
        <v>2830000</v>
      </c>
    </row>
    <row r="434" spans="1:2">
      <c r="A434">
        <v>433</v>
      </c>
      <c r="B434">
        <v>2840000</v>
      </c>
    </row>
    <row r="435" spans="1:2">
      <c r="A435">
        <v>434</v>
      </c>
      <c r="B435">
        <v>2860000</v>
      </c>
    </row>
    <row r="436" spans="1:2">
      <c r="A436">
        <v>435</v>
      </c>
      <c r="B436">
        <v>2870000</v>
      </c>
    </row>
    <row r="437" spans="1:2">
      <c r="A437">
        <v>436</v>
      </c>
      <c r="B437">
        <v>2880000</v>
      </c>
    </row>
    <row r="438" spans="1:2">
      <c r="A438">
        <v>437</v>
      </c>
      <c r="B438">
        <v>2900000</v>
      </c>
    </row>
    <row r="439" spans="1:2">
      <c r="A439">
        <v>438</v>
      </c>
      <c r="B439">
        <v>2910000</v>
      </c>
    </row>
    <row r="440" spans="1:2">
      <c r="A440">
        <v>439</v>
      </c>
      <c r="B440">
        <v>2920000</v>
      </c>
    </row>
    <row r="441" spans="1:2">
      <c r="A441">
        <v>440</v>
      </c>
      <c r="B441">
        <v>2940000</v>
      </c>
    </row>
    <row r="442" spans="1:2">
      <c r="A442">
        <v>441</v>
      </c>
      <c r="B442">
        <v>2950000</v>
      </c>
    </row>
    <row r="443" spans="1:2">
      <c r="A443">
        <v>442</v>
      </c>
      <c r="B443">
        <v>2960000</v>
      </c>
    </row>
    <row r="444" spans="1:2">
      <c r="A444">
        <v>443</v>
      </c>
      <c r="B444">
        <v>2970000</v>
      </c>
    </row>
    <row r="445" spans="1:2">
      <c r="A445">
        <v>444</v>
      </c>
      <c r="B445">
        <v>2990000</v>
      </c>
    </row>
    <row r="446" spans="1:2">
      <c r="A446">
        <v>445</v>
      </c>
      <c r="B446">
        <v>3000000</v>
      </c>
    </row>
    <row r="447" spans="1:2">
      <c r="A447">
        <v>446</v>
      </c>
      <c r="B447">
        <v>3010000</v>
      </c>
    </row>
    <row r="448" spans="1:2">
      <c r="A448">
        <v>447</v>
      </c>
      <c r="B448">
        <v>3030000</v>
      </c>
    </row>
    <row r="449" spans="1:2">
      <c r="A449">
        <v>448</v>
      </c>
      <c r="B449">
        <v>3040000</v>
      </c>
    </row>
    <row r="450" spans="1:2">
      <c r="A450">
        <v>449</v>
      </c>
      <c r="B450">
        <v>3050000</v>
      </c>
    </row>
    <row r="451" spans="1:2">
      <c r="A451">
        <v>450</v>
      </c>
      <c r="B451">
        <v>3070000</v>
      </c>
    </row>
    <row r="452" spans="1:2">
      <c r="A452">
        <v>451</v>
      </c>
      <c r="B452">
        <v>3080000</v>
      </c>
    </row>
    <row r="453" spans="1:2">
      <c r="A453">
        <v>452</v>
      </c>
      <c r="B453">
        <v>3090000</v>
      </c>
    </row>
    <row r="454" spans="1:2">
      <c r="A454">
        <v>453</v>
      </c>
      <c r="B454">
        <v>3110000</v>
      </c>
    </row>
    <row r="455" spans="1:2">
      <c r="A455">
        <v>454</v>
      </c>
      <c r="B455">
        <v>3120000</v>
      </c>
    </row>
    <row r="456" spans="1:2">
      <c r="A456">
        <v>455</v>
      </c>
      <c r="B456">
        <v>3140000</v>
      </c>
    </row>
    <row r="457" spans="1:2">
      <c r="A457">
        <v>456</v>
      </c>
      <c r="B457">
        <v>3150000</v>
      </c>
    </row>
    <row r="458" spans="1:2">
      <c r="A458">
        <v>457</v>
      </c>
      <c r="B458">
        <v>3160000</v>
      </c>
    </row>
    <row r="459" spans="1:2">
      <c r="A459">
        <v>458</v>
      </c>
      <c r="B459">
        <v>3180000</v>
      </c>
    </row>
    <row r="460" spans="1:2">
      <c r="A460">
        <v>459</v>
      </c>
      <c r="B460">
        <v>3190000</v>
      </c>
    </row>
    <row r="461" spans="1:2">
      <c r="A461">
        <v>460</v>
      </c>
      <c r="B461">
        <v>3200000</v>
      </c>
    </row>
    <row r="462" spans="1:2">
      <c r="A462">
        <v>461</v>
      </c>
      <c r="B462">
        <v>3220000</v>
      </c>
    </row>
    <row r="463" spans="1:2">
      <c r="A463">
        <v>462</v>
      </c>
      <c r="B463">
        <v>3230000</v>
      </c>
    </row>
    <row r="464" spans="1:2">
      <c r="A464">
        <v>463</v>
      </c>
      <c r="B464">
        <v>3250000</v>
      </c>
    </row>
    <row r="465" spans="1:2">
      <c r="A465">
        <v>464</v>
      </c>
      <c r="B465">
        <v>3260000</v>
      </c>
    </row>
    <row r="466" spans="1:2">
      <c r="A466">
        <v>465</v>
      </c>
      <c r="B466">
        <v>3270000</v>
      </c>
    </row>
    <row r="467" spans="1:2">
      <c r="A467">
        <v>466</v>
      </c>
      <c r="B467">
        <v>3290000</v>
      </c>
    </row>
    <row r="468" spans="1:2">
      <c r="A468">
        <v>467</v>
      </c>
      <c r="B468">
        <v>3300000</v>
      </c>
    </row>
    <row r="469" spans="1:2">
      <c r="A469">
        <v>468</v>
      </c>
      <c r="B469">
        <v>3320000</v>
      </c>
    </row>
    <row r="470" spans="1:2">
      <c r="A470">
        <v>469</v>
      </c>
      <c r="B470">
        <v>3330000</v>
      </c>
    </row>
    <row r="471" spans="1:2">
      <c r="A471">
        <v>470</v>
      </c>
      <c r="B471">
        <v>3340000</v>
      </c>
    </row>
    <row r="472" spans="1:2">
      <c r="A472">
        <v>471</v>
      </c>
      <c r="B472">
        <v>3360000</v>
      </c>
    </row>
    <row r="473" spans="1:2">
      <c r="A473">
        <v>472</v>
      </c>
      <c r="B473">
        <v>3370000</v>
      </c>
    </row>
    <row r="474" spans="1:2">
      <c r="A474">
        <v>473</v>
      </c>
      <c r="B474">
        <v>3390000</v>
      </c>
    </row>
    <row r="475" spans="1:2">
      <c r="A475">
        <v>474</v>
      </c>
      <c r="B475">
        <v>3400000</v>
      </c>
    </row>
    <row r="476" spans="1:2">
      <c r="A476">
        <v>475</v>
      </c>
      <c r="B476">
        <v>3410000</v>
      </c>
    </row>
    <row r="477" spans="1:2">
      <c r="A477">
        <v>476</v>
      </c>
      <c r="B477">
        <v>3430000</v>
      </c>
    </row>
    <row r="478" spans="1:2">
      <c r="A478">
        <v>477</v>
      </c>
      <c r="B478">
        <v>3440000</v>
      </c>
    </row>
    <row r="479" spans="1:2">
      <c r="A479">
        <v>478</v>
      </c>
      <c r="B479">
        <v>3460000</v>
      </c>
    </row>
    <row r="480" spans="1:2">
      <c r="A480">
        <v>479</v>
      </c>
      <c r="B480">
        <v>3470000</v>
      </c>
    </row>
    <row r="481" spans="1:2">
      <c r="A481">
        <v>480</v>
      </c>
      <c r="B481">
        <v>3490000</v>
      </c>
    </row>
    <row r="482" spans="1:2">
      <c r="A482">
        <v>481</v>
      </c>
      <c r="B482">
        <v>3500000</v>
      </c>
    </row>
    <row r="483" spans="1:2">
      <c r="A483">
        <v>482</v>
      </c>
      <c r="B483">
        <v>3520000</v>
      </c>
    </row>
    <row r="484" spans="1:2">
      <c r="A484">
        <v>483</v>
      </c>
      <c r="B484">
        <v>3530000</v>
      </c>
    </row>
    <row r="485" spans="1:2">
      <c r="A485">
        <v>484</v>
      </c>
      <c r="B485">
        <v>3550000</v>
      </c>
    </row>
    <row r="486" spans="1:2">
      <c r="A486">
        <v>485</v>
      </c>
      <c r="B486">
        <v>3560000</v>
      </c>
    </row>
    <row r="487" spans="1:2">
      <c r="A487">
        <v>486</v>
      </c>
      <c r="B487">
        <v>3580000</v>
      </c>
    </row>
    <row r="488" spans="1:2">
      <c r="A488">
        <v>487</v>
      </c>
      <c r="B488">
        <v>3590000</v>
      </c>
    </row>
    <row r="489" spans="1:2">
      <c r="A489">
        <v>488</v>
      </c>
      <c r="B489">
        <v>3600000</v>
      </c>
    </row>
    <row r="490" spans="1:2">
      <c r="A490">
        <v>489</v>
      </c>
      <c r="B490">
        <v>3620000</v>
      </c>
    </row>
    <row r="491" spans="1:2">
      <c r="A491">
        <v>490</v>
      </c>
      <c r="B491">
        <v>3630000</v>
      </c>
    </row>
    <row r="492" spans="1:2">
      <c r="A492">
        <v>491</v>
      </c>
      <c r="B492">
        <v>3650000</v>
      </c>
    </row>
    <row r="493" spans="1:2">
      <c r="A493">
        <v>492</v>
      </c>
      <c r="B493">
        <v>3660000</v>
      </c>
    </row>
    <row r="494" spans="1:2">
      <c r="A494">
        <v>493</v>
      </c>
      <c r="B494">
        <v>3680000</v>
      </c>
    </row>
    <row r="495" spans="1:2">
      <c r="A495">
        <v>494</v>
      </c>
      <c r="B495">
        <v>3690000</v>
      </c>
    </row>
    <row r="496" spans="1:2">
      <c r="A496">
        <v>495</v>
      </c>
      <c r="B496">
        <v>3710000</v>
      </c>
    </row>
    <row r="497" spans="1:2">
      <c r="A497">
        <v>496</v>
      </c>
      <c r="B497">
        <v>3720000</v>
      </c>
    </row>
    <row r="498" spans="1:2">
      <c r="A498">
        <v>497</v>
      </c>
      <c r="B498">
        <v>3740000</v>
      </c>
    </row>
    <row r="499" spans="1:2">
      <c r="A499">
        <v>498</v>
      </c>
      <c r="B499">
        <v>3760000</v>
      </c>
    </row>
    <row r="500" spans="1:2">
      <c r="A500">
        <v>499</v>
      </c>
      <c r="B500">
        <v>3770000</v>
      </c>
    </row>
    <row r="501" spans="1:2">
      <c r="A501">
        <v>500</v>
      </c>
      <c r="B501">
        <v>3790000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1"/>
  <sheetViews>
    <sheetView workbookViewId="0">
      <selection activeCell="A1" sqref="A1"/>
    </sheetView>
  </sheetViews>
  <sheetFormatPr defaultColWidth="9" defaultRowHeight="13.5" outlineLevelCol="5"/>
  <cols>
    <col min="1" max="6" width="16" customWidth="1"/>
  </cols>
  <sheetData>
    <row r="1" ht="32" customHeight="1" spans="1:6">
      <c r="A1" s="3" t="s">
        <v>6143</v>
      </c>
      <c r="B1" s="3" t="s">
        <v>6144</v>
      </c>
      <c r="C1" s="3" t="s">
        <v>6145</v>
      </c>
      <c r="D1" s="3" t="s">
        <v>6146</v>
      </c>
      <c r="E1" s="3" t="s">
        <v>6147</v>
      </c>
      <c r="F1" s="3" t="s">
        <v>6148</v>
      </c>
    </row>
    <row r="2" spans="1:6">
      <c r="A2">
        <v>1</v>
      </c>
      <c r="B2">
        <v>1</v>
      </c>
      <c r="C2">
        <v>12925</v>
      </c>
      <c r="D2">
        <v>743</v>
      </c>
      <c r="E2">
        <v>1700</v>
      </c>
      <c r="F2">
        <f t="shared" ref="F2:F65" si="0">C2/(1-MIN(0.75,E2/(24000+E2)))</f>
        <v>13840.5208333333</v>
      </c>
    </row>
    <row r="3" spans="1:6">
      <c r="A3">
        <v>1</v>
      </c>
      <c r="B3">
        <v>2</v>
      </c>
      <c r="C3">
        <v>8617</v>
      </c>
      <c r="D3">
        <v>892</v>
      </c>
      <c r="E3">
        <v>1133</v>
      </c>
      <c r="F3">
        <f t="shared" si="0"/>
        <v>9023.79420833333</v>
      </c>
    </row>
    <row r="4" spans="1:6">
      <c r="A4">
        <v>1</v>
      </c>
      <c r="B4">
        <v>3</v>
      </c>
      <c r="C4">
        <v>8617</v>
      </c>
      <c r="D4">
        <v>892</v>
      </c>
      <c r="E4">
        <v>1133</v>
      </c>
      <c r="F4">
        <f t="shared" si="0"/>
        <v>9023.79420833333</v>
      </c>
    </row>
    <row r="5" spans="1:6">
      <c r="A5">
        <v>1</v>
      </c>
      <c r="B5">
        <v>4</v>
      </c>
      <c r="C5">
        <v>8617</v>
      </c>
      <c r="D5">
        <v>892</v>
      </c>
      <c r="E5">
        <v>1133</v>
      </c>
      <c r="F5">
        <f t="shared" si="0"/>
        <v>9023.79420833333</v>
      </c>
    </row>
    <row r="6" spans="1:6">
      <c r="A6">
        <v>1</v>
      </c>
      <c r="B6">
        <v>5</v>
      </c>
      <c r="C6">
        <v>10771</v>
      </c>
      <c r="D6">
        <v>743</v>
      </c>
      <c r="E6">
        <v>1416</v>
      </c>
      <c r="F6">
        <f t="shared" si="0"/>
        <v>11406.489</v>
      </c>
    </row>
    <row r="7" spans="1:6">
      <c r="A7">
        <v>2</v>
      </c>
      <c r="B7">
        <v>6</v>
      </c>
      <c r="C7">
        <v>16789</v>
      </c>
      <c r="D7">
        <v>907</v>
      </c>
      <c r="E7">
        <v>2049</v>
      </c>
      <c r="F7">
        <f t="shared" si="0"/>
        <v>18222.360875</v>
      </c>
    </row>
    <row r="8" spans="1:6">
      <c r="A8">
        <v>2</v>
      </c>
      <c r="B8">
        <v>7</v>
      </c>
      <c r="C8">
        <v>11193</v>
      </c>
      <c r="D8">
        <v>1088</v>
      </c>
      <c r="E8">
        <v>1366</v>
      </c>
      <c r="F8">
        <f t="shared" si="0"/>
        <v>11830.06825</v>
      </c>
    </row>
    <row r="9" spans="1:6">
      <c r="A9">
        <v>2</v>
      </c>
      <c r="B9">
        <v>8</v>
      </c>
      <c r="C9">
        <v>11193</v>
      </c>
      <c r="D9">
        <v>1088</v>
      </c>
      <c r="E9">
        <v>1366</v>
      </c>
      <c r="F9">
        <f t="shared" si="0"/>
        <v>11830.06825</v>
      </c>
    </row>
    <row r="10" spans="1:6">
      <c r="A10">
        <v>2</v>
      </c>
      <c r="B10">
        <v>9</v>
      </c>
      <c r="C10">
        <v>11193</v>
      </c>
      <c r="D10">
        <v>1088</v>
      </c>
      <c r="E10">
        <v>1366</v>
      </c>
      <c r="F10">
        <f t="shared" si="0"/>
        <v>11830.06825</v>
      </c>
    </row>
    <row r="11" spans="1:6">
      <c r="A11">
        <v>2</v>
      </c>
      <c r="B11">
        <v>10</v>
      </c>
      <c r="C11">
        <v>11193</v>
      </c>
      <c r="D11">
        <v>1088</v>
      </c>
      <c r="E11">
        <v>1366</v>
      </c>
      <c r="F11">
        <f t="shared" si="0"/>
        <v>11830.06825</v>
      </c>
    </row>
    <row r="12" spans="1:6">
      <c r="A12">
        <v>3</v>
      </c>
      <c r="B12">
        <v>11</v>
      </c>
      <c r="C12">
        <v>21843</v>
      </c>
      <c r="D12">
        <v>1105</v>
      </c>
      <c r="E12">
        <v>2519</v>
      </c>
      <c r="F12">
        <f t="shared" si="0"/>
        <v>24135.604875</v>
      </c>
    </row>
    <row r="13" spans="1:6">
      <c r="A13">
        <v>3</v>
      </c>
      <c r="B13">
        <v>12</v>
      </c>
      <c r="C13">
        <v>21843</v>
      </c>
      <c r="D13">
        <v>1105</v>
      </c>
      <c r="E13">
        <v>2519</v>
      </c>
      <c r="F13">
        <f t="shared" si="0"/>
        <v>24135.604875</v>
      </c>
    </row>
    <row r="14" spans="1:6">
      <c r="A14">
        <v>3</v>
      </c>
      <c r="B14">
        <v>13</v>
      </c>
      <c r="C14">
        <v>21843</v>
      </c>
      <c r="D14">
        <v>1105</v>
      </c>
      <c r="E14">
        <v>2519</v>
      </c>
      <c r="F14">
        <f t="shared" si="0"/>
        <v>24135.604875</v>
      </c>
    </row>
    <row r="15" spans="1:6">
      <c r="A15">
        <v>3</v>
      </c>
      <c r="B15">
        <v>14</v>
      </c>
      <c r="C15">
        <v>18203</v>
      </c>
      <c r="D15">
        <v>1105</v>
      </c>
      <c r="E15">
        <v>2099</v>
      </c>
      <c r="F15">
        <f t="shared" si="0"/>
        <v>19795.0040416667</v>
      </c>
    </row>
    <row r="16" spans="1:6">
      <c r="A16">
        <v>3</v>
      </c>
      <c r="B16">
        <v>15</v>
      </c>
      <c r="C16">
        <v>18203</v>
      </c>
      <c r="D16">
        <v>1105</v>
      </c>
      <c r="E16">
        <v>2099</v>
      </c>
      <c r="F16">
        <f t="shared" si="0"/>
        <v>19795.0040416667</v>
      </c>
    </row>
    <row r="17" spans="1:6">
      <c r="A17">
        <v>4</v>
      </c>
      <c r="B17">
        <v>16</v>
      </c>
      <c r="C17">
        <v>17861</v>
      </c>
      <c r="D17">
        <v>1530</v>
      </c>
      <c r="E17">
        <v>1917</v>
      </c>
      <c r="F17">
        <f t="shared" si="0"/>
        <v>19287.647375</v>
      </c>
    </row>
    <row r="18" spans="1:6">
      <c r="A18">
        <v>4</v>
      </c>
      <c r="B18">
        <v>17</v>
      </c>
      <c r="C18">
        <v>17861</v>
      </c>
      <c r="D18">
        <v>1530</v>
      </c>
      <c r="E18">
        <v>1917</v>
      </c>
      <c r="F18">
        <f t="shared" si="0"/>
        <v>19287.647375</v>
      </c>
    </row>
    <row r="19" spans="1:6">
      <c r="A19">
        <v>4</v>
      </c>
      <c r="B19">
        <v>18</v>
      </c>
      <c r="C19">
        <v>17861</v>
      </c>
      <c r="D19">
        <v>1530</v>
      </c>
      <c r="E19">
        <v>1917</v>
      </c>
      <c r="F19">
        <f t="shared" si="0"/>
        <v>19287.647375</v>
      </c>
    </row>
    <row r="20" spans="1:6">
      <c r="A20">
        <v>4</v>
      </c>
      <c r="B20">
        <v>19</v>
      </c>
      <c r="C20">
        <v>17861</v>
      </c>
      <c r="D20">
        <v>1530</v>
      </c>
      <c r="E20">
        <v>1917</v>
      </c>
      <c r="F20">
        <f t="shared" si="0"/>
        <v>19287.647375</v>
      </c>
    </row>
    <row r="21" spans="1:6">
      <c r="A21">
        <v>4</v>
      </c>
      <c r="B21">
        <v>20</v>
      </c>
      <c r="C21">
        <v>22326</v>
      </c>
      <c r="D21">
        <v>1275</v>
      </c>
      <c r="E21">
        <v>2396</v>
      </c>
      <c r="F21">
        <f t="shared" si="0"/>
        <v>24554.879</v>
      </c>
    </row>
    <row r="22" spans="1:6">
      <c r="A22">
        <v>5</v>
      </c>
      <c r="B22">
        <v>21</v>
      </c>
      <c r="C22">
        <v>30866</v>
      </c>
      <c r="D22">
        <v>1412</v>
      </c>
      <c r="E22">
        <v>3234</v>
      </c>
      <c r="F22">
        <f t="shared" si="0"/>
        <v>35025.1935</v>
      </c>
    </row>
    <row r="23" spans="1:6">
      <c r="A23">
        <v>5</v>
      </c>
      <c r="B23">
        <v>22</v>
      </c>
      <c r="C23">
        <v>20577</v>
      </c>
      <c r="D23">
        <v>1695</v>
      </c>
      <c r="E23">
        <v>2156</v>
      </c>
      <c r="F23">
        <f t="shared" si="0"/>
        <v>22425.5005</v>
      </c>
    </row>
    <row r="24" spans="1:6">
      <c r="A24">
        <v>5</v>
      </c>
      <c r="B24">
        <v>23</v>
      </c>
      <c r="C24">
        <v>25722</v>
      </c>
      <c r="D24">
        <v>1412</v>
      </c>
      <c r="E24">
        <v>2695</v>
      </c>
      <c r="F24">
        <f t="shared" si="0"/>
        <v>28610.36625</v>
      </c>
    </row>
    <row r="25" spans="1:6">
      <c r="A25">
        <v>5</v>
      </c>
      <c r="B25">
        <v>24</v>
      </c>
      <c r="C25">
        <v>25722</v>
      </c>
      <c r="D25">
        <v>1412</v>
      </c>
      <c r="E25">
        <v>2695</v>
      </c>
      <c r="F25">
        <f t="shared" si="0"/>
        <v>28610.36625</v>
      </c>
    </row>
    <row r="26" spans="1:6">
      <c r="A26">
        <v>5</v>
      </c>
      <c r="B26">
        <v>25</v>
      </c>
      <c r="C26">
        <v>25722</v>
      </c>
      <c r="D26">
        <v>1412</v>
      </c>
      <c r="E26">
        <v>2695</v>
      </c>
      <c r="F26">
        <f t="shared" si="0"/>
        <v>28610.36625</v>
      </c>
    </row>
    <row r="27" spans="1:6">
      <c r="A27">
        <v>6</v>
      </c>
      <c r="B27">
        <v>26</v>
      </c>
      <c r="C27">
        <v>38108</v>
      </c>
      <c r="D27">
        <v>1617</v>
      </c>
      <c r="E27">
        <v>3719</v>
      </c>
      <c r="F27">
        <f t="shared" si="0"/>
        <v>44013.1521666667</v>
      </c>
    </row>
    <row r="28" spans="1:6">
      <c r="A28">
        <v>6</v>
      </c>
      <c r="B28">
        <v>27</v>
      </c>
      <c r="C28">
        <v>25406</v>
      </c>
      <c r="D28">
        <v>1941</v>
      </c>
      <c r="E28">
        <v>2479</v>
      </c>
      <c r="F28">
        <f t="shared" si="0"/>
        <v>28030.2280833333</v>
      </c>
    </row>
    <row r="29" spans="1:6">
      <c r="A29">
        <v>6</v>
      </c>
      <c r="B29">
        <v>28</v>
      </c>
      <c r="C29">
        <v>25406</v>
      </c>
      <c r="D29">
        <v>1941</v>
      </c>
      <c r="E29">
        <v>2479</v>
      </c>
      <c r="F29">
        <f t="shared" si="0"/>
        <v>28030.2280833333</v>
      </c>
    </row>
    <row r="30" spans="1:6">
      <c r="A30">
        <v>6</v>
      </c>
      <c r="B30">
        <v>29</v>
      </c>
      <c r="C30">
        <v>25406</v>
      </c>
      <c r="D30">
        <v>1941</v>
      </c>
      <c r="E30">
        <v>2479</v>
      </c>
      <c r="F30">
        <f t="shared" si="0"/>
        <v>28030.2280833333</v>
      </c>
    </row>
    <row r="31" spans="1:6">
      <c r="A31">
        <v>6</v>
      </c>
      <c r="B31">
        <v>30</v>
      </c>
      <c r="C31">
        <v>31757</v>
      </c>
      <c r="D31">
        <v>1617</v>
      </c>
      <c r="E31">
        <v>3099</v>
      </c>
      <c r="F31">
        <f t="shared" si="0"/>
        <v>35857.622625</v>
      </c>
    </row>
    <row r="32" spans="1:6">
      <c r="A32">
        <v>7</v>
      </c>
      <c r="B32">
        <v>31</v>
      </c>
      <c r="C32">
        <v>43864</v>
      </c>
      <c r="D32">
        <v>1763</v>
      </c>
      <c r="E32">
        <v>4085</v>
      </c>
      <c r="F32">
        <f t="shared" si="0"/>
        <v>51330.0183333333</v>
      </c>
    </row>
    <row r="33" spans="1:6">
      <c r="A33">
        <v>7</v>
      </c>
      <c r="B33">
        <v>32</v>
      </c>
      <c r="C33">
        <v>29243</v>
      </c>
      <c r="D33">
        <v>2115</v>
      </c>
      <c r="E33">
        <v>2723</v>
      </c>
      <c r="F33">
        <f t="shared" si="0"/>
        <v>32560.8620416667</v>
      </c>
    </row>
    <row r="34" spans="1:6">
      <c r="A34">
        <v>7</v>
      </c>
      <c r="B34">
        <v>33</v>
      </c>
      <c r="C34">
        <v>36554</v>
      </c>
      <c r="D34">
        <v>1763</v>
      </c>
      <c r="E34">
        <v>3404</v>
      </c>
      <c r="F34">
        <f t="shared" si="0"/>
        <v>41738.5756666667</v>
      </c>
    </row>
    <row r="35" spans="1:6">
      <c r="A35">
        <v>7</v>
      </c>
      <c r="B35">
        <v>34</v>
      </c>
      <c r="C35">
        <v>36554</v>
      </c>
      <c r="D35">
        <v>1763</v>
      </c>
      <c r="E35">
        <v>3404</v>
      </c>
      <c r="F35">
        <f t="shared" si="0"/>
        <v>41738.5756666667</v>
      </c>
    </row>
    <row r="36" spans="1:6">
      <c r="A36">
        <v>7</v>
      </c>
      <c r="B36">
        <v>35</v>
      </c>
      <c r="C36">
        <v>29243</v>
      </c>
      <c r="D36">
        <v>2115</v>
      </c>
      <c r="E36">
        <v>2723</v>
      </c>
      <c r="F36">
        <f t="shared" si="0"/>
        <v>32560.8620416667</v>
      </c>
    </row>
    <row r="37" spans="1:6">
      <c r="A37">
        <v>8</v>
      </c>
      <c r="B37">
        <v>36</v>
      </c>
      <c r="C37">
        <v>48763</v>
      </c>
      <c r="D37">
        <v>1870</v>
      </c>
      <c r="E37">
        <v>4454</v>
      </c>
      <c r="F37">
        <f t="shared" si="0"/>
        <v>57812.6000833333</v>
      </c>
    </row>
    <row r="38" spans="1:6">
      <c r="A38">
        <v>8</v>
      </c>
      <c r="B38">
        <v>37</v>
      </c>
      <c r="C38">
        <v>40636</v>
      </c>
      <c r="D38">
        <v>1870</v>
      </c>
      <c r="E38">
        <v>3711</v>
      </c>
      <c r="F38">
        <f t="shared" si="0"/>
        <v>46919.3415</v>
      </c>
    </row>
    <row r="39" spans="1:6">
      <c r="A39">
        <v>8</v>
      </c>
      <c r="B39">
        <v>38</v>
      </c>
      <c r="C39">
        <v>40636</v>
      </c>
      <c r="D39">
        <v>1870</v>
      </c>
      <c r="E39">
        <v>3711</v>
      </c>
      <c r="F39">
        <f t="shared" si="0"/>
        <v>46919.3415</v>
      </c>
    </row>
    <row r="40" spans="1:6">
      <c r="A40">
        <v>8</v>
      </c>
      <c r="B40">
        <v>39</v>
      </c>
      <c r="C40">
        <v>40636</v>
      </c>
      <c r="D40">
        <v>1870</v>
      </c>
      <c r="E40">
        <v>3711</v>
      </c>
      <c r="F40">
        <f t="shared" si="0"/>
        <v>46919.3415</v>
      </c>
    </row>
    <row r="41" spans="1:6">
      <c r="A41">
        <v>8</v>
      </c>
      <c r="B41">
        <v>40</v>
      </c>
      <c r="C41">
        <v>40636</v>
      </c>
      <c r="D41">
        <v>1870</v>
      </c>
      <c r="E41">
        <v>3711</v>
      </c>
      <c r="F41">
        <f t="shared" si="0"/>
        <v>46919.3415</v>
      </c>
    </row>
    <row r="42" spans="1:6">
      <c r="A42">
        <v>9</v>
      </c>
      <c r="B42">
        <v>41</v>
      </c>
      <c r="C42">
        <v>57801</v>
      </c>
      <c r="D42">
        <v>2086</v>
      </c>
      <c r="E42">
        <v>4952</v>
      </c>
      <c r="F42">
        <f t="shared" si="0"/>
        <v>69727.273</v>
      </c>
    </row>
    <row r="43" spans="1:6">
      <c r="A43">
        <v>9</v>
      </c>
      <c r="B43">
        <v>42</v>
      </c>
      <c r="C43">
        <v>38534</v>
      </c>
      <c r="D43">
        <v>2503</v>
      </c>
      <c r="E43">
        <v>3301</v>
      </c>
      <c r="F43">
        <f t="shared" si="0"/>
        <v>43834.0305833333</v>
      </c>
    </row>
    <row r="44" spans="1:6">
      <c r="A44">
        <v>9</v>
      </c>
      <c r="B44">
        <v>43</v>
      </c>
      <c r="C44">
        <v>48167</v>
      </c>
      <c r="D44">
        <v>2086</v>
      </c>
      <c r="E44">
        <v>4126</v>
      </c>
      <c r="F44">
        <f t="shared" si="0"/>
        <v>56447.7100833333</v>
      </c>
    </row>
    <row r="45" spans="1:6">
      <c r="A45">
        <v>9</v>
      </c>
      <c r="B45">
        <v>44</v>
      </c>
      <c r="C45">
        <v>48167</v>
      </c>
      <c r="D45">
        <v>2086</v>
      </c>
      <c r="E45">
        <v>4126</v>
      </c>
      <c r="F45">
        <f t="shared" si="0"/>
        <v>56447.7100833333</v>
      </c>
    </row>
    <row r="46" spans="1:6">
      <c r="A46">
        <v>9</v>
      </c>
      <c r="B46">
        <v>45</v>
      </c>
      <c r="C46">
        <v>38534</v>
      </c>
      <c r="D46">
        <v>2503</v>
      </c>
      <c r="E46">
        <v>3301</v>
      </c>
      <c r="F46">
        <f t="shared" si="0"/>
        <v>43834.0305833333</v>
      </c>
    </row>
    <row r="47" spans="1:6">
      <c r="A47">
        <v>10</v>
      </c>
      <c r="B47">
        <v>46</v>
      </c>
      <c r="C47">
        <v>54706</v>
      </c>
      <c r="D47">
        <v>2253</v>
      </c>
      <c r="E47">
        <v>4440</v>
      </c>
      <c r="F47">
        <f t="shared" si="0"/>
        <v>64826.61</v>
      </c>
    </row>
    <row r="48" spans="1:6">
      <c r="A48">
        <v>10</v>
      </c>
      <c r="B48">
        <v>47</v>
      </c>
      <c r="C48">
        <v>43765</v>
      </c>
      <c r="D48">
        <v>2704</v>
      </c>
      <c r="E48">
        <v>3552</v>
      </c>
      <c r="F48">
        <f t="shared" si="0"/>
        <v>50242.22</v>
      </c>
    </row>
    <row r="49" spans="1:6">
      <c r="A49">
        <v>10</v>
      </c>
      <c r="B49">
        <v>48</v>
      </c>
      <c r="C49">
        <v>43765</v>
      </c>
      <c r="D49">
        <v>2704</v>
      </c>
      <c r="E49">
        <v>3552</v>
      </c>
      <c r="F49">
        <f t="shared" si="0"/>
        <v>50242.22</v>
      </c>
    </row>
    <row r="50" spans="1:6">
      <c r="A50">
        <v>10</v>
      </c>
      <c r="B50">
        <v>49</v>
      </c>
      <c r="C50">
        <v>43765</v>
      </c>
      <c r="D50">
        <v>2704</v>
      </c>
      <c r="E50">
        <v>3552</v>
      </c>
      <c r="F50">
        <f t="shared" si="0"/>
        <v>50242.22</v>
      </c>
    </row>
    <row r="51" spans="1:6">
      <c r="A51">
        <v>10</v>
      </c>
      <c r="B51">
        <v>50</v>
      </c>
      <c r="C51">
        <v>54706</v>
      </c>
      <c r="D51">
        <v>2253</v>
      </c>
      <c r="E51">
        <v>4440</v>
      </c>
      <c r="F51">
        <f t="shared" si="0"/>
        <v>64826.61</v>
      </c>
    </row>
    <row r="52" spans="1:6">
      <c r="A52">
        <v>11</v>
      </c>
      <c r="B52">
        <v>51</v>
      </c>
      <c r="C52">
        <v>62351</v>
      </c>
      <c r="D52">
        <v>2457</v>
      </c>
      <c r="E52">
        <v>4863</v>
      </c>
      <c r="F52">
        <f t="shared" si="0"/>
        <v>74984.871375</v>
      </c>
    </row>
    <row r="53" spans="1:6">
      <c r="A53">
        <v>11</v>
      </c>
      <c r="B53">
        <v>52</v>
      </c>
      <c r="C53">
        <v>49881</v>
      </c>
      <c r="D53">
        <v>2949</v>
      </c>
      <c r="E53">
        <v>3890</v>
      </c>
      <c r="F53">
        <f t="shared" si="0"/>
        <v>57965.87875</v>
      </c>
    </row>
    <row r="54" spans="1:6">
      <c r="A54">
        <v>11</v>
      </c>
      <c r="B54">
        <v>53</v>
      </c>
      <c r="C54">
        <v>49881</v>
      </c>
      <c r="D54">
        <v>2949</v>
      </c>
      <c r="E54">
        <v>3890</v>
      </c>
      <c r="F54">
        <f t="shared" si="0"/>
        <v>57965.87875</v>
      </c>
    </row>
    <row r="55" spans="1:6">
      <c r="A55">
        <v>11</v>
      </c>
      <c r="B55">
        <v>54</v>
      </c>
      <c r="C55">
        <v>62351</v>
      </c>
      <c r="D55">
        <v>2457</v>
      </c>
      <c r="E55">
        <v>4863</v>
      </c>
      <c r="F55">
        <f t="shared" si="0"/>
        <v>74984.871375</v>
      </c>
    </row>
    <row r="56" spans="1:6">
      <c r="A56">
        <v>11</v>
      </c>
      <c r="B56">
        <v>55</v>
      </c>
      <c r="C56">
        <v>49881</v>
      </c>
      <c r="D56">
        <v>2949</v>
      </c>
      <c r="E56">
        <v>3890</v>
      </c>
      <c r="F56">
        <f t="shared" si="0"/>
        <v>57965.87875</v>
      </c>
    </row>
    <row r="57" spans="1:6">
      <c r="A57">
        <v>12</v>
      </c>
      <c r="B57">
        <v>56</v>
      </c>
      <c r="C57">
        <v>82296</v>
      </c>
      <c r="D57">
        <v>2599</v>
      </c>
      <c r="E57">
        <v>6219</v>
      </c>
      <c r="F57">
        <f t="shared" si="0"/>
        <v>103620.951</v>
      </c>
    </row>
    <row r="58" spans="1:6">
      <c r="A58">
        <v>12</v>
      </c>
      <c r="B58">
        <v>57</v>
      </c>
      <c r="C58">
        <v>54864</v>
      </c>
      <c r="D58">
        <v>3118</v>
      </c>
      <c r="E58">
        <v>4146</v>
      </c>
      <c r="F58">
        <f t="shared" si="0"/>
        <v>64341.756</v>
      </c>
    </row>
    <row r="59" spans="1:6">
      <c r="A59">
        <v>12</v>
      </c>
      <c r="B59">
        <v>58</v>
      </c>
      <c r="C59">
        <v>68580</v>
      </c>
      <c r="D59">
        <v>2599</v>
      </c>
      <c r="E59">
        <v>5183</v>
      </c>
      <c r="F59">
        <f t="shared" si="0"/>
        <v>83390.4225</v>
      </c>
    </row>
    <row r="60" spans="1:6">
      <c r="A60">
        <v>12</v>
      </c>
      <c r="B60">
        <v>59</v>
      </c>
      <c r="C60">
        <v>68580</v>
      </c>
      <c r="D60">
        <v>2599</v>
      </c>
      <c r="E60">
        <v>5183</v>
      </c>
      <c r="F60">
        <f t="shared" si="0"/>
        <v>83390.4225</v>
      </c>
    </row>
    <row r="61" spans="1:6">
      <c r="A61">
        <v>12</v>
      </c>
      <c r="B61">
        <v>60</v>
      </c>
      <c r="C61">
        <v>54864</v>
      </c>
      <c r="D61">
        <v>3118</v>
      </c>
      <c r="E61">
        <v>4146</v>
      </c>
      <c r="F61">
        <f t="shared" si="0"/>
        <v>64341.756</v>
      </c>
    </row>
    <row r="62" spans="1:6">
      <c r="A62">
        <v>13</v>
      </c>
      <c r="B62">
        <v>61</v>
      </c>
      <c r="C62">
        <v>61327</v>
      </c>
      <c r="D62">
        <v>3368</v>
      </c>
      <c r="E62">
        <v>4491</v>
      </c>
      <c r="F62">
        <f t="shared" si="0"/>
        <v>72802.814875</v>
      </c>
    </row>
    <row r="63" spans="1:6">
      <c r="A63">
        <v>13</v>
      </c>
      <c r="B63">
        <v>62</v>
      </c>
      <c r="C63">
        <v>76659</v>
      </c>
      <c r="D63">
        <v>2807</v>
      </c>
      <c r="E63">
        <v>5614</v>
      </c>
      <c r="F63">
        <f t="shared" si="0"/>
        <v>94590.81775</v>
      </c>
    </row>
    <row r="64" spans="1:6">
      <c r="A64">
        <v>13</v>
      </c>
      <c r="B64">
        <v>63</v>
      </c>
      <c r="C64">
        <v>61327</v>
      </c>
      <c r="D64">
        <v>3368</v>
      </c>
      <c r="E64">
        <v>4491</v>
      </c>
      <c r="F64">
        <f t="shared" si="0"/>
        <v>72802.814875</v>
      </c>
    </row>
    <row r="65" spans="1:6">
      <c r="A65">
        <v>13</v>
      </c>
      <c r="B65">
        <v>64</v>
      </c>
      <c r="C65">
        <v>61327</v>
      </c>
      <c r="D65">
        <v>3368</v>
      </c>
      <c r="E65">
        <v>4491</v>
      </c>
      <c r="F65">
        <f t="shared" si="0"/>
        <v>72802.814875</v>
      </c>
    </row>
    <row r="66" spans="1:6">
      <c r="A66">
        <v>13</v>
      </c>
      <c r="B66">
        <v>65</v>
      </c>
      <c r="C66">
        <v>61327</v>
      </c>
      <c r="D66">
        <v>3368</v>
      </c>
      <c r="E66">
        <v>4491</v>
      </c>
      <c r="F66">
        <f t="shared" ref="F66:F129" si="1">C66/(1-MIN(0.75,E66/(24000+E66)))</f>
        <v>72802.814875</v>
      </c>
    </row>
    <row r="67" spans="1:6">
      <c r="A67">
        <v>14</v>
      </c>
      <c r="B67">
        <v>66</v>
      </c>
      <c r="C67">
        <v>99795</v>
      </c>
      <c r="D67">
        <v>2943</v>
      </c>
      <c r="E67">
        <v>7127</v>
      </c>
      <c r="F67">
        <f t="shared" si="1"/>
        <v>129429.956875</v>
      </c>
    </row>
    <row r="68" spans="1:6">
      <c r="A68">
        <v>14</v>
      </c>
      <c r="B68">
        <v>67</v>
      </c>
      <c r="C68">
        <v>83162</v>
      </c>
      <c r="D68">
        <v>2943</v>
      </c>
      <c r="E68">
        <v>5939</v>
      </c>
      <c r="F68">
        <f t="shared" si="1"/>
        <v>103741.129916667</v>
      </c>
    </row>
    <row r="69" spans="1:6">
      <c r="A69">
        <v>14</v>
      </c>
      <c r="B69">
        <v>68</v>
      </c>
      <c r="C69">
        <v>66530</v>
      </c>
      <c r="D69">
        <v>3532</v>
      </c>
      <c r="E69">
        <v>4751</v>
      </c>
      <c r="F69">
        <f t="shared" si="1"/>
        <v>79700.1679166667</v>
      </c>
    </row>
    <row r="70" spans="1:6">
      <c r="A70">
        <v>14</v>
      </c>
      <c r="B70">
        <v>69</v>
      </c>
      <c r="C70">
        <v>83162</v>
      </c>
      <c r="D70">
        <v>2943</v>
      </c>
      <c r="E70">
        <v>5939</v>
      </c>
      <c r="F70">
        <f t="shared" si="1"/>
        <v>103741.129916667</v>
      </c>
    </row>
    <row r="71" spans="1:6">
      <c r="A71">
        <v>14</v>
      </c>
      <c r="B71">
        <v>70</v>
      </c>
      <c r="C71">
        <v>83162</v>
      </c>
      <c r="D71">
        <v>2943</v>
      </c>
      <c r="E71">
        <v>5939</v>
      </c>
      <c r="F71">
        <f t="shared" si="1"/>
        <v>103741.129916667</v>
      </c>
    </row>
    <row r="72" spans="1:6">
      <c r="A72">
        <v>15</v>
      </c>
      <c r="B72">
        <v>71</v>
      </c>
      <c r="C72">
        <v>112335</v>
      </c>
      <c r="D72">
        <v>3185</v>
      </c>
      <c r="E72">
        <v>7653</v>
      </c>
      <c r="F72">
        <f t="shared" si="1"/>
        <v>148155.823125</v>
      </c>
    </row>
    <row r="73" spans="1:6">
      <c r="A73">
        <v>15</v>
      </c>
      <c r="B73">
        <v>72</v>
      </c>
      <c r="C73">
        <v>74890</v>
      </c>
      <c r="D73">
        <v>3822</v>
      </c>
      <c r="E73">
        <v>5102</v>
      </c>
      <c r="F73">
        <f t="shared" si="1"/>
        <v>90810.3658333333</v>
      </c>
    </row>
    <row r="74" spans="1:6">
      <c r="A74">
        <v>15</v>
      </c>
      <c r="B74">
        <v>73</v>
      </c>
      <c r="C74">
        <v>93613</v>
      </c>
      <c r="D74">
        <v>3185</v>
      </c>
      <c r="E74">
        <v>6378</v>
      </c>
      <c r="F74">
        <f t="shared" si="1"/>
        <v>118490.65475</v>
      </c>
    </row>
    <row r="75" spans="1:6">
      <c r="A75">
        <v>15</v>
      </c>
      <c r="B75">
        <v>74</v>
      </c>
      <c r="C75">
        <v>74890</v>
      </c>
      <c r="D75">
        <v>3822</v>
      </c>
      <c r="E75">
        <v>5102</v>
      </c>
      <c r="F75">
        <f t="shared" si="1"/>
        <v>90810.3658333333</v>
      </c>
    </row>
    <row r="76" spans="1:6">
      <c r="A76">
        <v>15</v>
      </c>
      <c r="B76">
        <v>75</v>
      </c>
      <c r="C76">
        <v>93613</v>
      </c>
      <c r="D76">
        <v>3185</v>
      </c>
      <c r="E76">
        <v>6378</v>
      </c>
      <c r="F76">
        <f t="shared" si="1"/>
        <v>118490.65475</v>
      </c>
    </row>
    <row r="77" spans="1:6">
      <c r="A77">
        <v>16</v>
      </c>
      <c r="B77">
        <v>76</v>
      </c>
      <c r="C77">
        <v>122916</v>
      </c>
      <c r="D77">
        <v>3364</v>
      </c>
      <c r="E77">
        <v>8051</v>
      </c>
      <c r="F77">
        <f t="shared" si="1"/>
        <v>164149.1965</v>
      </c>
    </row>
    <row r="78" spans="1:6">
      <c r="A78">
        <v>16</v>
      </c>
      <c r="B78">
        <v>77</v>
      </c>
      <c r="C78">
        <v>122916</v>
      </c>
      <c r="D78">
        <v>3364</v>
      </c>
      <c r="E78">
        <v>8051</v>
      </c>
      <c r="F78">
        <f t="shared" si="1"/>
        <v>164149.1965</v>
      </c>
    </row>
    <row r="79" spans="1:6">
      <c r="A79">
        <v>16</v>
      </c>
      <c r="B79">
        <v>78</v>
      </c>
      <c r="C79">
        <v>102430</v>
      </c>
      <c r="D79">
        <v>3364</v>
      </c>
      <c r="E79">
        <v>6709</v>
      </c>
      <c r="F79">
        <f t="shared" si="1"/>
        <v>131063.452916667</v>
      </c>
    </row>
    <row r="80" spans="1:6">
      <c r="A80">
        <v>16</v>
      </c>
      <c r="B80">
        <v>79</v>
      </c>
      <c r="C80">
        <v>81944</v>
      </c>
      <c r="D80">
        <v>4037</v>
      </c>
      <c r="E80">
        <v>5367</v>
      </c>
      <c r="F80">
        <f t="shared" si="1"/>
        <v>100268.727</v>
      </c>
    </row>
    <row r="81" spans="1:6">
      <c r="A81">
        <v>16</v>
      </c>
      <c r="B81">
        <v>80</v>
      </c>
      <c r="C81">
        <v>81944</v>
      </c>
      <c r="D81">
        <v>4037</v>
      </c>
      <c r="E81">
        <v>5367</v>
      </c>
      <c r="F81">
        <f t="shared" si="1"/>
        <v>100268.727</v>
      </c>
    </row>
    <row r="82" spans="1:6">
      <c r="A82">
        <v>17</v>
      </c>
      <c r="B82">
        <v>81</v>
      </c>
      <c r="C82">
        <v>134342</v>
      </c>
      <c r="D82">
        <v>3570</v>
      </c>
      <c r="E82">
        <v>8588</v>
      </c>
      <c r="F82">
        <f t="shared" si="1"/>
        <v>182414.045666667</v>
      </c>
    </row>
    <row r="83" spans="1:6">
      <c r="A83">
        <v>17</v>
      </c>
      <c r="B83">
        <v>82</v>
      </c>
      <c r="C83">
        <v>134342</v>
      </c>
      <c r="D83">
        <v>3570</v>
      </c>
      <c r="E83">
        <v>8588</v>
      </c>
      <c r="F83">
        <f t="shared" si="1"/>
        <v>182414.045666667</v>
      </c>
    </row>
    <row r="84" spans="1:6">
      <c r="A84">
        <v>17</v>
      </c>
      <c r="B84">
        <v>83</v>
      </c>
      <c r="C84">
        <v>89561</v>
      </c>
      <c r="D84">
        <v>4284</v>
      </c>
      <c r="E84">
        <v>5725</v>
      </c>
      <c r="F84">
        <f t="shared" si="1"/>
        <v>110925.030208333</v>
      </c>
    </row>
    <row r="85" spans="1:6">
      <c r="A85">
        <v>17</v>
      </c>
      <c r="B85">
        <v>84</v>
      </c>
      <c r="C85">
        <v>89561</v>
      </c>
      <c r="D85">
        <v>4284</v>
      </c>
      <c r="E85">
        <v>5725</v>
      </c>
      <c r="F85">
        <f t="shared" si="1"/>
        <v>110925.030208333</v>
      </c>
    </row>
    <row r="86" spans="1:6">
      <c r="A86">
        <v>17</v>
      </c>
      <c r="B86">
        <v>85</v>
      </c>
      <c r="C86">
        <v>111951</v>
      </c>
      <c r="D86">
        <v>3570</v>
      </c>
      <c r="E86">
        <v>7156</v>
      </c>
      <c r="F86">
        <f t="shared" si="1"/>
        <v>145331.0565</v>
      </c>
    </row>
    <row r="87" spans="1:6">
      <c r="A87">
        <v>18</v>
      </c>
      <c r="B87">
        <v>86</v>
      </c>
      <c r="C87">
        <v>97666</v>
      </c>
      <c r="D87">
        <v>4530</v>
      </c>
      <c r="E87">
        <v>5995</v>
      </c>
      <c r="F87">
        <f t="shared" si="1"/>
        <v>122062.152916667</v>
      </c>
    </row>
    <row r="88" spans="1:6">
      <c r="A88">
        <v>18</v>
      </c>
      <c r="B88">
        <v>87</v>
      </c>
      <c r="C88">
        <v>122083</v>
      </c>
      <c r="D88">
        <v>3775</v>
      </c>
      <c r="E88">
        <v>7494</v>
      </c>
      <c r="F88">
        <f t="shared" si="1"/>
        <v>160203.41675</v>
      </c>
    </row>
    <row r="89" spans="1:6">
      <c r="A89">
        <v>18</v>
      </c>
      <c r="B89">
        <v>88</v>
      </c>
      <c r="C89">
        <v>97666</v>
      </c>
      <c r="D89">
        <v>4530</v>
      </c>
      <c r="E89">
        <v>5995</v>
      </c>
      <c r="F89">
        <f t="shared" si="1"/>
        <v>122062.152916667</v>
      </c>
    </row>
    <row r="90" spans="1:6">
      <c r="A90">
        <v>18</v>
      </c>
      <c r="B90">
        <v>89</v>
      </c>
      <c r="C90">
        <v>122083</v>
      </c>
      <c r="D90">
        <v>3775</v>
      </c>
      <c r="E90">
        <v>7494</v>
      </c>
      <c r="F90">
        <f t="shared" si="1"/>
        <v>160203.41675</v>
      </c>
    </row>
    <row r="91" spans="1:6">
      <c r="A91">
        <v>18</v>
      </c>
      <c r="B91">
        <v>90</v>
      </c>
      <c r="C91">
        <v>122083</v>
      </c>
      <c r="D91">
        <v>3775</v>
      </c>
      <c r="E91">
        <v>7494</v>
      </c>
      <c r="F91">
        <f t="shared" si="1"/>
        <v>160203.41675</v>
      </c>
    </row>
    <row r="92" spans="1:6">
      <c r="A92">
        <v>19</v>
      </c>
      <c r="B92">
        <v>91</v>
      </c>
      <c r="C92">
        <v>158986</v>
      </c>
      <c r="D92">
        <v>3972</v>
      </c>
      <c r="E92">
        <v>9537</v>
      </c>
      <c r="F92">
        <f t="shared" si="1"/>
        <v>222163.06175</v>
      </c>
    </row>
    <row r="93" spans="1:6">
      <c r="A93">
        <v>19</v>
      </c>
      <c r="B93">
        <v>92</v>
      </c>
      <c r="C93">
        <v>132488</v>
      </c>
      <c r="D93">
        <v>3972</v>
      </c>
      <c r="E93">
        <v>7948</v>
      </c>
      <c r="F93">
        <f t="shared" si="1"/>
        <v>176363.609333333</v>
      </c>
    </row>
    <row r="94" spans="1:6">
      <c r="A94">
        <v>19</v>
      </c>
      <c r="B94">
        <v>93</v>
      </c>
      <c r="C94">
        <v>132488</v>
      </c>
      <c r="D94">
        <v>3972</v>
      </c>
      <c r="E94">
        <v>7948</v>
      </c>
      <c r="F94">
        <f t="shared" si="1"/>
        <v>176363.609333333</v>
      </c>
    </row>
    <row r="95" spans="1:6">
      <c r="A95">
        <v>19</v>
      </c>
      <c r="B95">
        <v>94</v>
      </c>
      <c r="C95">
        <v>132488</v>
      </c>
      <c r="D95">
        <v>3972</v>
      </c>
      <c r="E95">
        <v>7948</v>
      </c>
      <c r="F95">
        <f t="shared" si="1"/>
        <v>176363.609333333</v>
      </c>
    </row>
    <row r="96" spans="1:6">
      <c r="A96">
        <v>19</v>
      </c>
      <c r="B96">
        <v>95</v>
      </c>
      <c r="C96">
        <v>105990</v>
      </c>
      <c r="D96">
        <v>4766</v>
      </c>
      <c r="E96">
        <v>6358</v>
      </c>
      <c r="F96">
        <f t="shared" si="1"/>
        <v>134068.5175</v>
      </c>
    </row>
    <row r="97" spans="1:6">
      <c r="A97">
        <v>20</v>
      </c>
      <c r="B97">
        <v>96</v>
      </c>
      <c r="C97">
        <v>113609</v>
      </c>
      <c r="D97">
        <v>4998</v>
      </c>
      <c r="E97">
        <v>6633</v>
      </c>
      <c r="F97">
        <f t="shared" si="1"/>
        <v>145007.687375</v>
      </c>
    </row>
    <row r="98" spans="1:6">
      <c r="A98">
        <v>20</v>
      </c>
      <c r="B98">
        <v>97</v>
      </c>
      <c r="C98">
        <v>113609</v>
      </c>
      <c r="D98">
        <v>4998</v>
      </c>
      <c r="E98">
        <v>6633</v>
      </c>
      <c r="F98">
        <f t="shared" si="1"/>
        <v>145007.687375</v>
      </c>
    </row>
    <row r="99" spans="1:6">
      <c r="A99">
        <v>20</v>
      </c>
      <c r="B99">
        <v>98</v>
      </c>
      <c r="C99">
        <v>113609</v>
      </c>
      <c r="D99">
        <v>4998</v>
      </c>
      <c r="E99">
        <v>6633</v>
      </c>
      <c r="F99">
        <f t="shared" si="1"/>
        <v>145007.687375</v>
      </c>
    </row>
    <row r="100" spans="1:6">
      <c r="A100">
        <v>20</v>
      </c>
      <c r="B100">
        <v>99</v>
      </c>
      <c r="C100">
        <v>142011</v>
      </c>
      <c r="D100">
        <v>4165</v>
      </c>
      <c r="E100">
        <v>8291</v>
      </c>
      <c r="F100">
        <f t="shared" si="1"/>
        <v>191069.883375</v>
      </c>
    </row>
    <row r="101" spans="1:6">
      <c r="A101">
        <v>20</v>
      </c>
      <c r="B101">
        <v>100</v>
      </c>
      <c r="C101">
        <v>142011</v>
      </c>
      <c r="D101">
        <v>4165</v>
      </c>
      <c r="E101">
        <v>8291</v>
      </c>
      <c r="F101">
        <f t="shared" si="1"/>
        <v>191069.883375</v>
      </c>
    </row>
    <row r="102" spans="1:6">
      <c r="A102">
        <v>21</v>
      </c>
      <c r="B102">
        <v>101</v>
      </c>
      <c r="C102">
        <v>188492</v>
      </c>
      <c r="D102">
        <v>4425</v>
      </c>
      <c r="E102">
        <v>10505</v>
      </c>
      <c r="F102">
        <f t="shared" si="1"/>
        <v>270996.519166667</v>
      </c>
    </row>
    <row r="103" spans="1:6">
      <c r="A103">
        <v>21</v>
      </c>
      <c r="B103">
        <v>102</v>
      </c>
      <c r="C103">
        <v>188492</v>
      </c>
      <c r="D103">
        <v>4425</v>
      </c>
      <c r="E103">
        <v>10505</v>
      </c>
      <c r="F103">
        <f t="shared" si="1"/>
        <v>270996.519166667</v>
      </c>
    </row>
    <row r="104" spans="1:6">
      <c r="A104">
        <v>21</v>
      </c>
      <c r="B104">
        <v>103</v>
      </c>
      <c r="C104">
        <v>157077</v>
      </c>
      <c r="D104">
        <v>4425</v>
      </c>
      <c r="E104">
        <v>8754</v>
      </c>
      <c r="F104">
        <f t="shared" si="1"/>
        <v>214370.83575</v>
      </c>
    </row>
    <row r="105" spans="1:6">
      <c r="A105">
        <v>21</v>
      </c>
      <c r="B105">
        <v>104</v>
      </c>
      <c r="C105">
        <v>125661</v>
      </c>
      <c r="D105">
        <v>5310</v>
      </c>
      <c r="E105">
        <v>7003</v>
      </c>
      <c r="F105">
        <f t="shared" si="1"/>
        <v>162327.832625</v>
      </c>
    </row>
    <row r="106" spans="1:6">
      <c r="A106">
        <v>21</v>
      </c>
      <c r="B106">
        <v>105</v>
      </c>
      <c r="C106">
        <v>125661</v>
      </c>
      <c r="D106">
        <v>5310</v>
      </c>
      <c r="E106">
        <v>7003</v>
      </c>
      <c r="F106">
        <f t="shared" si="1"/>
        <v>162327.832625</v>
      </c>
    </row>
    <row r="107" spans="1:6">
      <c r="A107">
        <v>22</v>
      </c>
      <c r="B107">
        <v>106</v>
      </c>
      <c r="C107">
        <v>206539</v>
      </c>
      <c r="D107">
        <v>4698</v>
      </c>
      <c r="E107">
        <v>11066</v>
      </c>
      <c r="F107">
        <f t="shared" si="1"/>
        <v>301770.690583333</v>
      </c>
    </row>
    <row r="108" spans="1:6">
      <c r="A108">
        <v>22</v>
      </c>
      <c r="B108">
        <v>107</v>
      </c>
      <c r="C108">
        <v>206539</v>
      </c>
      <c r="D108">
        <v>4698</v>
      </c>
      <c r="E108">
        <v>11066</v>
      </c>
      <c r="F108">
        <f t="shared" si="1"/>
        <v>301770.690583333</v>
      </c>
    </row>
    <row r="109" spans="1:6">
      <c r="A109">
        <v>22</v>
      </c>
      <c r="B109">
        <v>108</v>
      </c>
      <c r="C109">
        <v>137692</v>
      </c>
      <c r="D109">
        <v>5637</v>
      </c>
      <c r="E109">
        <v>7377</v>
      </c>
      <c r="F109">
        <f t="shared" si="1"/>
        <v>180015.0785</v>
      </c>
    </row>
    <row r="110" spans="1:6">
      <c r="A110">
        <v>22</v>
      </c>
      <c r="B110">
        <v>109</v>
      </c>
      <c r="C110">
        <v>137692</v>
      </c>
      <c r="D110">
        <v>5637</v>
      </c>
      <c r="E110">
        <v>7377</v>
      </c>
      <c r="F110">
        <f t="shared" si="1"/>
        <v>180015.0785</v>
      </c>
    </row>
    <row r="111" spans="1:6">
      <c r="A111">
        <v>22</v>
      </c>
      <c r="B111">
        <v>110</v>
      </c>
      <c r="C111">
        <v>137692</v>
      </c>
      <c r="D111">
        <v>5637</v>
      </c>
      <c r="E111">
        <v>7377</v>
      </c>
      <c r="F111">
        <f t="shared" si="1"/>
        <v>180015.0785</v>
      </c>
    </row>
    <row r="112" spans="1:6">
      <c r="A112">
        <v>23</v>
      </c>
      <c r="B112">
        <v>111</v>
      </c>
      <c r="C112">
        <v>220482</v>
      </c>
      <c r="D112">
        <v>4910</v>
      </c>
      <c r="E112">
        <v>11631</v>
      </c>
      <c r="F112">
        <f t="shared" si="1"/>
        <v>327333.08925</v>
      </c>
    </row>
    <row r="113" spans="1:6">
      <c r="A113">
        <v>23</v>
      </c>
      <c r="B113">
        <v>112</v>
      </c>
      <c r="C113">
        <v>220482</v>
      </c>
      <c r="D113">
        <v>4910</v>
      </c>
      <c r="E113">
        <v>11631</v>
      </c>
      <c r="F113">
        <f t="shared" si="1"/>
        <v>327333.08925</v>
      </c>
    </row>
    <row r="114" spans="1:6">
      <c r="A114">
        <v>23</v>
      </c>
      <c r="B114">
        <v>113</v>
      </c>
      <c r="C114">
        <v>183735</v>
      </c>
      <c r="D114">
        <v>4910</v>
      </c>
      <c r="E114">
        <v>9693</v>
      </c>
      <c r="F114">
        <f t="shared" si="1"/>
        <v>257940.973125</v>
      </c>
    </row>
    <row r="115" spans="1:6">
      <c r="A115">
        <v>23</v>
      </c>
      <c r="B115">
        <v>114</v>
      </c>
      <c r="C115">
        <v>146988</v>
      </c>
      <c r="D115">
        <v>5892</v>
      </c>
      <c r="E115">
        <v>7754</v>
      </c>
      <c r="F115">
        <f t="shared" si="1"/>
        <v>194477.373</v>
      </c>
    </row>
    <row r="116" spans="1:6">
      <c r="A116">
        <v>23</v>
      </c>
      <c r="B116">
        <v>115</v>
      </c>
      <c r="C116">
        <v>183735</v>
      </c>
      <c r="D116">
        <v>4910</v>
      </c>
      <c r="E116">
        <v>9693</v>
      </c>
      <c r="F116">
        <f t="shared" si="1"/>
        <v>257940.973125</v>
      </c>
    </row>
    <row r="117" spans="1:6">
      <c r="A117">
        <v>24</v>
      </c>
      <c r="B117">
        <v>116</v>
      </c>
      <c r="C117">
        <v>242233</v>
      </c>
      <c r="D117">
        <v>5202</v>
      </c>
      <c r="E117">
        <v>12203</v>
      </c>
      <c r="F117">
        <f t="shared" si="1"/>
        <v>365398.387458333</v>
      </c>
    </row>
    <row r="118" spans="1:6">
      <c r="A118">
        <v>24</v>
      </c>
      <c r="B118">
        <v>117</v>
      </c>
      <c r="C118">
        <v>201861</v>
      </c>
      <c r="D118">
        <v>5202</v>
      </c>
      <c r="E118">
        <v>10169</v>
      </c>
      <c r="F118">
        <f t="shared" si="1"/>
        <v>287391.187875</v>
      </c>
    </row>
    <row r="119" spans="1:6">
      <c r="A119">
        <v>24</v>
      </c>
      <c r="B119">
        <v>118</v>
      </c>
      <c r="C119">
        <v>201861</v>
      </c>
      <c r="D119">
        <v>5202</v>
      </c>
      <c r="E119">
        <v>10169</v>
      </c>
      <c r="F119">
        <f t="shared" si="1"/>
        <v>287391.187875</v>
      </c>
    </row>
    <row r="120" spans="1:6">
      <c r="A120">
        <v>24</v>
      </c>
      <c r="B120">
        <v>119</v>
      </c>
      <c r="C120">
        <v>201861</v>
      </c>
      <c r="D120">
        <v>5202</v>
      </c>
      <c r="E120">
        <v>10169</v>
      </c>
      <c r="F120">
        <f t="shared" si="1"/>
        <v>287391.187875</v>
      </c>
    </row>
    <row r="121" spans="1:6">
      <c r="A121">
        <v>24</v>
      </c>
      <c r="B121">
        <v>120</v>
      </c>
      <c r="C121">
        <v>201861</v>
      </c>
      <c r="D121">
        <v>5202</v>
      </c>
      <c r="E121">
        <v>10169</v>
      </c>
      <c r="F121">
        <f t="shared" si="1"/>
        <v>287391.187875</v>
      </c>
    </row>
    <row r="122" spans="1:6">
      <c r="A122">
        <v>25</v>
      </c>
      <c r="B122">
        <v>121</v>
      </c>
      <c r="C122">
        <v>258695</v>
      </c>
      <c r="D122">
        <v>5437</v>
      </c>
      <c r="E122">
        <v>12779</v>
      </c>
      <c r="F122">
        <f t="shared" si="1"/>
        <v>396439.308541667</v>
      </c>
    </row>
    <row r="123" spans="1:6">
      <c r="A123">
        <v>25</v>
      </c>
      <c r="B123">
        <v>122</v>
      </c>
      <c r="C123">
        <v>172463</v>
      </c>
      <c r="D123">
        <v>6525</v>
      </c>
      <c r="E123">
        <v>8519</v>
      </c>
      <c r="F123">
        <f t="shared" si="1"/>
        <v>233680.179041667</v>
      </c>
    </row>
    <row r="124" spans="1:6">
      <c r="A124">
        <v>25</v>
      </c>
      <c r="B124">
        <v>123</v>
      </c>
      <c r="C124">
        <v>215579</v>
      </c>
      <c r="D124">
        <v>5437</v>
      </c>
      <c r="E124">
        <v>10649</v>
      </c>
      <c r="F124">
        <f t="shared" si="1"/>
        <v>311233.198791667</v>
      </c>
    </row>
    <row r="125" spans="1:6">
      <c r="A125">
        <v>25</v>
      </c>
      <c r="B125">
        <v>124</v>
      </c>
      <c r="C125">
        <v>215579</v>
      </c>
      <c r="D125">
        <v>5437</v>
      </c>
      <c r="E125">
        <v>10649</v>
      </c>
      <c r="F125">
        <f t="shared" si="1"/>
        <v>311233.198791667</v>
      </c>
    </row>
    <row r="126" spans="1:6">
      <c r="A126">
        <v>25</v>
      </c>
      <c r="B126">
        <v>125</v>
      </c>
      <c r="C126">
        <v>215579</v>
      </c>
      <c r="D126">
        <v>5437</v>
      </c>
      <c r="E126">
        <v>10649</v>
      </c>
      <c r="F126">
        <f t="shared" si="1"/>
        <v>311233.198791667</v>
      </c>
    </row>
    <row r="127" spans="1:6">
      <c r="A127">
        <v>26</v>
      </c>
      <c r="B127">
        <v>126</v>
      </c>
      <c r="C127">
        <v>283107</v>
      </c>
      <c r="D127">
        <v>5788</v>
      </c>
      <c r="E127">
        <v>13361</v>
      </c>
      <c r="F127">
        <f t="shared" si="1"/>
        <v>440715.026125</v>
      </c>
    </row>
    <row r="128" spans="1:6">
      <c r="A128">
        <v>26</v>
      </c>
      <c r="B128">
        <v>127</v>
      </c>
      <c r="C128">
        <v>188738</v>
      </c>
      <c r="D128">
        <v>6945</v>
      </c>
      <c r="E128">
        <v>8907</v>
      </c>
      <c r="F128">
        <f t="shared" si="1"/>
        <v>258783.39025</v>
      </c>
    </row>
    <row r="129" spans="1:6">
      <c r="A129">
        <v>26</v>
      </c>
      <c r="B129">
        <v>128</v>
      </c>
      <c r="C129">
        <v>188738</v>
      </c>
      <c r="D129">
        <v>6945</v>
      </c>
      <c r="E129">
        <v>8907</v>
      </c>
      <c r="F129">
        <f t="shared" si="1"/>
        <v>258783.39025</v>
      </c>
    </row>
    <row r="130" spans="1:6">
      <c r="A130">
        <v>26</v>
      </c>
      <c r="B130">
        <v>129</v>
      </c>
      <c r="C130">
        <v>188738</v>
      </c>
      <c r="D130">
        <v>6945</v>
      </c>
      <c r="E130">
        <v>8907</v>
      </c>
      <c r="F130">
        <f t="shared" ref="F130:F193" si="2">C130/(1-MIN(0.75,E130/(24000+E130)))</f>
        <v>258783.39025</v>
      </c>
    </row>
    <row r="131" spans="1:6">
      <c r="A131">
        <v>26</v>
      </c>
      <c r="B131">
        <v>130</v>
      </c>
      <c r="C131">
        <v>235923</v>
      </c>
      <c r="D131">
        <v>5788</v>
      </c>
      <c r="E131">
        <v>11134</v>
      </c>
      <c r="F131">
        <f t="shared" si="2"/>
        <v>345371.61175</v>
      </c>
    </row>
    <row r="132" spans="1:6">
      <c r="A132">
        <v>27</v>
      </c>
      <c r="B132">
        <v>131</v>
      </c>
      <c r="C132">
        <v>303481</v>
      </c>
      <c r="D132">
        <v>6035</v>
      </c>
      <c r="E132">
        <v>13949</v>
      </c>
      <c r="F132">
        <f t="shared" si="2"/>
        <v>479866.686208333</v>
      </c>
    </row>
    <row r="133" spans="1:6">
      <c r="A133">
        <v>27</v>
      </c>
      <c r="B133">
        <v>132</v>
      </c>
      <c r="C133">
        <v>303481</v>
      </c>
      <c r="D133">
        <v>6035</v>
      </c>
      <c r="E133">
        <v>13949</v>
      </c>
      <c r="F133">
        <f t="shared" si="2"/>
        <v>479866.686208333</v>
      </c>
    </row>
    <row r="134" spans="1:6">
      <c r="A134">
        <v>27</v>
      </c>
      <c r="B134">
        <v>133</v>
      </c>
      <c r="C134">
        <v>252901</v>
      </c>
      <c r="D134">
        <v>6035</v>
      </c>
      <c r="E134">
        <v>11624</v>
      </c>
      <c r="F134">
        <f t="shared" si="2"/>
        <v>375389.384333333</v>
      </c>
    </row>
    <row r="135" spans="1:6">
      <c r="A135">
        <v>27</v>
      </c>
      <c r="B135">
        <v>134</v>
      </c>
      <c r="C135">
        <v>202321</v>
      </c>
      <c r="D135">
        <v>7242</v>
      </c>
      <c r="E135">
        <v>9299</v>
      </c>
      <c r="F135">
        <f t="shared" si="2"/>
        <v>280711.957458333</v>
      </c>
    </row>
    <row r="136" spans="1:6">
      <c r="A136">
        <v>27</v>
      </c>
      <c r="B136">
        <v>135</v>
      </c>
      <c r="C136">
        <v>252901</v>
      </c>
      <c r="D136">
        <v>6035</v>
      </c>
      <c r="E136">
        <v>11624</v>
      </c>
      <c r="F136">
        <f t="shared" si="2"/>
        <v>375389.384333333</v>
      </c>
    </row>
    <row r="137" spans="1:6">
      <c r="A137">
        <v>28</v>
      </c>
      <c r="B137">
        <v>136</v>
      </c>
      <c r="C137">
        <v>326882</v>
      </c>
      <c r="D137">
        <v>6348</v>
      </c>
      <c r="E137">
        <v>14541</v>
      </c>
      <c r="F137">
        <f t="shared" si="2"/>
        <v>524931.63175</v>
      </c>
    </row>
    <row r="138" spans="1:6">
      <c r="A138">
        <v>28</v>
      </c>
      <c r="B138">
        <v>137</v>
      </c>
      <c r="C138">
        <v>326882</v>
      </c>
      <c r="D138">
        <v>6348</v>
      </c>
      <c r="E138">
        <v>14541</v>
      </c>
      <c r="F138">
        <f t="shared" si="2"/>
        <v>524931.63175</v>
      </c>
    </row>
    <row r="139" spans="1:6">
      <c r="A139">
        <v>28</v>
      </c>
      <c r="B139">
        <v>138</v>
      </c>
      <c r="C139">
        <v>326882</v>
      </c>
      <c r="D139">
        <v>6348</v>
      </c>
      <c r="E139">
        <v>14541</v>
      </c>
      <c r="F139">
        <f t="shared" si="2"/>
        <v>524931.63175</v>
      </c>
    </row>
    <row r="140" spans="1:6">
      <c r="A140">
        <v>28</v>
      </c>
      <c r="B140">
        <v>139</v>
      </c>
      <c r="C140">
        <v>217921</v>
      </c>
      <c r="D140">
        <v>7618</v>
      </c>
      <c r="E140">
        <v>9694</v>
      </c>
      <c r="F140">
        <f t="shared" si="2"/>
        <v>305942.923916667</v>
      </c>
    </row>
    <row r="141" spans="1:6">
      <c r="A141">
        <v>28</v>
      </c>
      <c r="B141">
        <v>140</v>
      </c>
      <c r="C141">
        <v>217921</v>
      </c>
      <c r="D141">
        <v>7618</v>
      </c>
      <c r="E141">
        <v>9694</v>
      </c>
      <c r="F141">
        <f t="shared" si="2"/>
        <v>305942.923916667</v>
      </c>
    </row>
    <row r="142" spans="1:6">
      <c r="A142">
        <v>29</v>
      </c>
      <c r="B142">
        <v>141</v>
      </c>
      <c r="C142">
        <v>349410</v>
      </c>
      <c r="D142">
        <v>6669</v>
      </c>
      <c r="E142">
        <v>15140</v>
      </c>
      <c r="F142">
        <f t="shared" si="2"/>
        <v>569829.475</v>
      </c>
    </row>
    <row r="143" spans="1:6">
      <c r="A143">
        <v>29</v>
      </c>
      <c r="B143">
        <v>142</v>
      </c>
      <c r="C143">
        <v>349410</v>
      </c>
      <c r="D143">
        <v>6669</v>
      </c>
      <c r="E143">
        <v>15140</v>
      </c>
      <c r="F143">
        <f t="shared" si="2"/>
        <v>569829.475</v>
      </c>
    </row>
    <row r="144" spans="1:6">
      <c r="A144">
        <v>29</v>
      </c>
      <c r="B144">
        <v>143</v>
      </c>
      <c r="C144">
        <v>232940</v>
      </c>
      <c r="D144">
        <v>8003</v>
      </c>
      <c r="E144">
        <v>10093</v>
      </c>
      <c r="F144">
        <f t="shared" si="2"/>
        <v>330900.975833333</v>
      </c>
    </row>
    <row r="145" spans="1:6">
      <c r="A145">
        <v>29</v>
      </c>
      <c r="B145">
        <v>144</v>
      </c>
      <c r="C145">
        <v>232940</v>
      </c>
      <c r="D145">
        <v>8003</v>
      </c>
      <c r="E145">
        <v>10093</v>
      </c>
      <c r="F145">
        <f t="shared" si="2"/>
        <v>330900.975833333</v>
      </c>
    </row>
    <row r="146" spans="1:6">
      <c r="A146">
        <v>29</v>
      </c>
      <c r="B146">
        <v>145</v>
      </c>
      <c r="C146">
        <v>232940</v>
      </c>
      <c r="D146">
        <v>8003</v>
      </c>
      <c r="E146">
        <v>10093</v>
      </c>
      <c r="F146">
        <f t="shared" si="2"/>
        <v>330900.975833333</v>
      </c>
    </row>
    <row r="147" spans="1:6">
      <c r="A147">
        <v>30</v>
      </c>
      <c r="B147">
        <v>146</v>
      </c>
      <c r="C147">
        <v>372479</v>
      </c>
      <c r="D147">
        <v>6967</v>
      </c>
      <c r="E147">
        <v>15744</v>
      </c>
      <c r="F147">
        <f t="shared" si="2"/>
        <v>616825.224</v>
      </c>
    </row>
    <row r="148" spans="1:6">
      <c r="A148">
        <v>30</v>
      </c>
      <c r="B148">
        <v>147</v>
      </c>
      <c r="C148">
        <v>248319</v>
      </c>
      <c r="D148">
        <v>8360</v>
      </c>
      <c r="E148">
        <v>10496</v>
      </c>
      <c r="F148">
        <f t="shared" si="2"/>
        <v>356917.176</v>
      </c>
    </row>
    <row r="149" spans="1:6">
      <c r="A149">
        <v>30</v>
      </c>
      <c r="B149">
        <v>148</v>
      </c>
      <c r="C149">
        <v>248319</v>
      </c>
      <c r="D149">
        <v>8360</v>
      </c>
      <c r="E149">
        <v>10496</v>
      </c>
      <c r="F149">
        <f t="shared" si="2"/>
        <v>356917.176</v>
      </c>
    </row>
    <row r="150" spans="1:6">
      <c r="A150">
        <v>30</v>
      </c>
      <c r="B150">
        <v>149</v>
      </c>
      <c r="C150">
        <v>310399</v>
      </c>
      <c r="D150">
        <v>6967</v>
      </c>
      <c r="E150">
        <v>13120</v>
      </c>
      <c r="F150">
        <f t="shared" si="2"/>
        <v>480083.786666667</v>
      </c>
    </row>
    <row r="151" spans="1:6">
      <c r="A151">
        <v>30</v>
      </c>
      <c r="B151">
        <v>150</v>
      </c>
      <c r="C151">
        <v>310399</v>
      </c>
      <c r="D151">
        <v>6967</v>
      </c>
      <c r="E151">
        <v>13120</v>
      </c>
      <c r="F151">
        <f t="shared" si="2"/>
        <v>480083.786666667</v>
      </c>
    </row>
    <row r="152" spans="1:6">
      <c r="A152">
        <v>31</v>
      </c>
      <c r="B152">
        <v>151</v>
      </c>
      <c r="C152">
        <v>402226</v>
      </c>
      <c r="D152">
        <v>7322</v>
      </c>
      <c r="E152">
        <v>16353</v>
      </c>
      <c r="F152">
        <f t="shared" si="2"/>
        <v>676292.74075</v>
      </c>
    </row>
    <row r="153" spans="1:6">
      <c r="A153">
        <v>31</v>
      </c>
      <c r="B153">
        <v>152</v>
      </c>
      <c r="C153">
        <v>268151</v>
      </c>
      <c r="D153">
        <v>8786</v>
      </c>
      <c r="E153">
        <v>10902</v>
      </c>
      <c r="F153">
        <f t="shared" si="2"/>
        <v>389958.59175</v>
      </c>
    </row>
    <row r="154" spans="1:6">
      <c r="A154">
        <v>31</v>
      </c>
      <c r="B154">
        <v>153</v>
      </c>
      <c r="C154">
        <v>268151</v>
      </c>
      <c r="D154">
        <v>8786</v>
      </c>
      <c r="E154">
        <v>10902</v>
      </c>
      <c r="F154">
        <f t="shared" si="2"/>
        <v>389958.59175</v>
      </c>
    </row>
    <row r="155" spans="1:6">
      <c r="A155">
        <v>31</v>
      </c>
      <c r="B155">
        <v>154</v>
      </c>
      <c r="C155">
        <v>335189</v>
      </c>
      <c r="D155">
        <v>7322</v>
      </c>
      <c r="E155">
        <v>13628</v>
      </c>
      <c r="F155">
        <f t="shared" si="2"/>
        <v>525520.487166667</v>
      </c>
    </row>
    <row r="156" spans="1:6">
      <c r="A156">
        <v>31</v>
      </c>
      <c r="B156">
        <v>155</v>
      </c>
      <c r="C156">
        <v>335189</v>
      </c>
      <c r="D156">
        <v>7322</v>
      </c>
      <c r="E156">
        <v>13628</v>
      </c>
      <c r="F156">
        <f t="shared" si="2"/>
        <v>525520.487166667</v>
      </c>
    </row>
    <row r="157" spans="1:6">
      <c r="A157">
        <v>32</v>
      </c>
      <c r="B157">
        <v>156</v>
      </c>
      <c r="C157">
        <v>430969</v>
      </c>
      <c r="D157">
        <v>7665</v>
      </c>
      <c r="E157">
        <v>16968</v>
      </c>
      <c r="F157">
        <f t="shared" si="2"/>
        <v>735664.083</v>
      </c>
    </row>
    <row r="158" spans="1:6">
      <c r="A158">
        <v>32</v>
      </c>
      <c r="B158">
        <v>157</v>
      </c>
      <c r="C158">
        <v>359141</v>
      </c>
      <c r="D158">
        <v>7665</v>
      </c>
      <c r="E158">
        <v>14140</v>
      </c>
      <c r="F158">
        <f t="shared" si="2"/>
        <v>570734.905833333</v>
      </c>
    </row>
    <row r="159" spans="1:6">
      <c r="A159">
        <v>32</v>
      </c>
      <c r="B159">
        <v>158</v>
      </c>
      <c r="C159">
        <v>287313</v>
      </c>
      <c r="D159">
        <v>9198</v>
      </c>
      <c r="E159">
        <v>11312</v>
      </c>
      <c r="F159">
        <f t="shared" si="2"/>
        <v>422733.194</v>
      </c>
    </row>
    <row r="160" spans="1:6">
      <c r="A160">
        <v>32</v>
      </c>
      <c r="B160">
        <v>159</v>
      </c>
      <c r="C160">
        <v>359141</v>
      </c>
      <c r="D160">
        <v>7665</v>
      </c>
      <c r="E160">
        <v>14140</v>
      </c>
      <c r="F160">
        <f t="shared" si="2"/>
        <v>570734.905833333</v>
      </c>
    </row>
    <row r="161" spans="1:6">
      <c r="A161">
        <v>32</v>
      </c>
      <c r="B161">
        <v>160</v>
      </c>
      <c r="C161">
        <v>359141</v>
      </c>
      <c r="D161">
        <v>7665</v>
      </c>
      <c r="E161">
        <v>14140</v>
      </c>
      <c r="F161">
        <f t="shared" si="2"/>
        <v>570734.905833333</v>
      </c>
    </row>
    <row r="162" spans="1:6">
      <c r="A162">
        <v>33</v>
      </c>
      <c r="B162">
        <v>161</v>
      </c>
      <c r="C162">
        <v>457900</v>
      </c>
      <c r="D162">
        <v>8000</v>
      </c>
      <c r="E162">
        <v>17589</v>
      </c>
      <c r="F162">
        <f t="shared" si="2"/>
        <v>793483.4625</v>
      </c>
    </row>
    <row r="163" spans="1:6">
      <c r="A163">
        <v>33</v>
      </c>
      <c r="B163">
        <v>162</v>
      </c>
      <c r="C163">
        <v>305267</v>
      </c>
      <c r="D163">
        <v>9600</v>
      </c>
      <c r="E163">
        <v>11726</v>
      </c>
      <c r="F163">
        <f t="shared" si="2"/>
        <v>454415.368416667</v>
      </c>
    </row>
    <row r="164" spans="1:6">
      <c r="A164">
        <v>33</v>
      </c>
      <c r="B164">
        <v>163</v>
      </c>
      <c r="C164">
        <v>305267</v>
      </c>
      <c r="D164">
        <v>9600</v>
      </c>
      <c r="E164">
        <v>11726</v>
      </c>
      <c r="F164">
        <f t="shared" si="2"/>
        <v>454415.368416667</v>
      </c>
    </row>
    <row r="165" spans="1:6">
      <c r="A165">
        <v>33</v>
      </c>
      <c r="B165">
        <v>164</v>
      </c>
      <c r="C165">
        <v>381583</v>
      </c>
      <c r="D165">
        <v>8000</v>
      </c>
      <c r="E165">
        <v>14658</v>
      </c>
      <c r="F165">
        <f t="shared" si="2"/>
        <v>614634.81725</v>
      </c>
    </row>
    <row r="166" spans="1:6">
      <c r="A166">
        <v>33</v>
      </c>
      <c r="B166">
        <v>165</v>
      </c>
      <c r="C166">
        <v>381583</v>
      </c>
      <c r="D166">
        <v>8000</v>
      </c>
      <c r="E166">
        <v>14658</v>
      </c>
      <c r="F166">
        <f t="shared" si="2"/>
        <v>614634.81725</v>
      </c>
    </row>
    <row r="167" spans="1:6">
      <c r="A167">
        <v>34</v>
      </c>
      <c r="B167">
        <v>166</v>
      </c>
      <c r="C167">
        <v>490200</v>
      </c>
      <c r="D167">
        <v>8385</v>
      </c>
      <c r="E167">
        <v>18215</v>
      </c>
      <c r="F167">
        <f t="shared" si="2"/>
        <v>862241.375</v>
      </c>
    </row>
    <row r="168" spans="1:6">
      <c r="A168">
        <v>34</v>
      </c>
      <c r="B168">
        <v>167</v>
      </c>
      <c r="C168">
        <v>326800</v>
      </c>
      <c r="D168">
        <v>10062</v>
      </c>
      <c r="E168">
        <v>12143</v>
      </c>
      <c r="F168">
        <f t="shared" si="2"/>
        <v>492147.183333333</v>
      </c>
    </row>
    <row r="169" spans="1:6">
      <c r="A169">
        <v>34</v>
      </c>
      <c r="B169">
        <v>168</v>
      </c>
      <c r="C169">
        <v>408500</v>
      </c>
      <c r="D169">
        <v>8385</v>
      </c>
      <c r="E169">
        <v>15179</v>
      </c>
      <c r="F169">
        <f t="shared" si="2"/>
        <v>666859.229166667</v>
      </c>
    </row>
    <row r="170" spans="1:6">
      <c r="A170">
        <v>34</v>
      </c>
      <c r="B170">
        <v>169</v>
      </c>
      <c r="C170">
        <v>408500</v>
      </c>
      <c r="D170">
        <v>8385</v>
      </c>
      <c r="E170">
        <v>15179</v>
      </c>
      <c r="F170">
        <f t="shared" si="2"/>
        <v>666859.229166667</v>
      </c>
    </row>
    <row r="171" spans="1:6">
      <c r="A171">
        <v>34</v>
      </c>
      <c r="B171">
        <v>170</v>
      </c>
      <c r="C171">
        <v>326800</v>
      </c>
      <c r="D171">
        <v>10062</v>
      </c>
      <c r="E171">
        <v>12143</v>
      </c>
      <c r="F171">
        <f t="shared" si="2"/>
        <v>492147.183333333</v>
      </c>
    </row>
    <row r="172" spans="1:6">
      <c r="A172">
        <v>35</v>
      </c>
      <c r="B172">
        <v>171</v>
      </c>
      <c r="C172">
        <v>515540</v>
      </c>
      <c r="D172">
        <v>8690</v>
      </c>
      <c r="E172">
        <v>18846</v>
      </c>
      <c r="F172">
        <f t="shared" si="2"/>
        <v>920367.785</v>
      </c>
    </row>
    <row r="173" spans="1:6">
      <c r="A173">
        <v>35</v>
      </c>
      <c r="B173">
        <v>172</v>
      </c>
      <c r="C173">
        <v>343693</v>
      </c>
      <c r="D173">
        <v>10428</v>
      </c>
      <c r="E173">
        <v>12564</v>
      </c>
      <c r="F173">
        <f t="shared" si="2"/>
        <v>523616.2855</v>
      </c>
    </row>
    <row r="174" spans="1:6">
      <c r="A174">
        <v>35</v>
      </c>
      <c r="B174">
        <v>173</v>
      </c>
      <c r="C174">
        <v>429617</v>
      </c>
      <c r="D174">
        <v>8690</v>
      </c>
      <c r="E174">
        <v>15705</v>
      </c>
      <c r="F174">
        <f t="shared" si="2"/>
        <v>710747.624375</v>
      </c>
    </row>
    <row r="175" spans="1:6">
      <c r="A175">
        <v>35</v>
      </c>
      <c r="B175">
        <v>174</v>
      </c>
      <c r="C175">
        <v>429617</v>
      </c>
      <c r="D175">
        <v>8690</v>
      </c>
      <c r="E175">
        <v>15705</v>
      </c>
      <c r="F175">
        <f t="shared" si="2"/>
        <v>710747.624375</v>
      </c>
    </row>
    <row r="176" spans="1:6">
      <c r="A176">
        <v>35</v>
      </c>
      <c r="B176">
        <v>175</v>
      </c>
      <c r="C176">
        <v>429617</v>
      </c>
      <c r="D176">
        <v>8690</v>
      </c>
      <c r="E176">
        <v>15705</v>
      </c>
      <c r="F176">
        <f t="shared" si="2"/>
        <v>710747.624375</v>
      </c>
    </row>
    <row r="177" spans="1:6">
      <c r="A177">
        <v>36</v>
      </c>
      <c r="B177">
        <v>176</v>
      </c>
      <c r="C177">
        <v>553548</v>
      </c>
      <c r="D177">
        <v>9124</v>
      </c>
      <c r="E177">
        <v>19482</v>
      </c>
      <c r="F177">
        <f t="shared" si="2"/>
        <v>1002890.589</v>
      </c>
    </row>
    <row r="178" spans="1:6">
      <c r="A178">
        <v>36</v>
      </c>
      <c r="B178">
        <v>177</v>
      </c>
      <c r="C178">
        <v>369032</v>
      </c>
      <c r="D178">
        <v>10949</v>
      </c>
      <c r="E178">
        <v>12988</v>
      </c>
      <c r="F178">
        <f t="shared" si="2"/>
        <v>568739.817333333</v>
      </c>
    </row>
    <row r="179" spans="1:6">
      <c r="A179">
        <v>36</v>
      </c>
      <c r="B179">
        <v>178</v>
      </c>
      <c r="C179">
        <v>461290</v>
      </c>
      <c r="D179">
        <v>9124</v>
      </c>
      <c r="E179">
        <v>16235</v>
      </c>
      <c r="F179">
        <f t="shared" si="2"/>
        <v>773333.464583333</v>
      </c>
    </row>
    <row r="180" spans="1:6">
      <c r="A180">
        <v>36</v>
      </c>
      <c r="B180">
        <v>179</v>
      </c>
      <c r="C180">
        <v>461290</v>
      </c>
      <c r="D180">
        <v>9124</v>
      </c>
      <c r="E180">
        <v>16235</v>
      </c>
      <c r="F180">
        <f t="shared" si="2"/>
        <v>773333.464583333</v>
      </c>
    </row>
    <row r="181" spans="1:6">
      <c r="A181">
        <v>36</v>
      </c>
      <c r="B181">
        <v>180</v>
      </c>
      <c r="C181">
        <v>369032</v>
      </c>
      <c r="D181">
        <v>10949</v>
      </c>
      <c r="E181">
        <v>12988</v>
      </c>
      <c r="F181">
        <f t="shared" si="2"/>
        <v>568739.817333333</v>
      </c>
    </row>
    <row r="182" spans="1:6">
      <c r="A182">
        <v>37</v>
      </c>
      <c r="B182">
        <v>181</v>
      </c>
      <c r="C182">
        <v>585948</v>
      </c>
      <c r="D182">
        <v>9475</v>
      </c>
      <c r="E182">
        <v>20126</v>
      </c>
      <c r="F182">
        <f t="shared" si="2"/>
        <v>1077314.227</v>
      </c>
    </row>
    <row r="183" spans="1:6">
      <c r="A183">
        <v>37</v>
      </c>
      <c r="B183">
        <v>182</v>
      </c>
      <c r="C183">
        <v>585948</v>
      </c>
      <c r="D183">
        <v>9475</v>
      </c>
      <c r="E183">
        <v>20126</v>
      </c>
      <c r="F183">
        <f t="shared" si="2"/>
        <v>1077314.227</v>
      </c>
    </row>
    <row r="184" spans="1:6">
      <c r="A184">
        <v>37</v>
      </c>
      <c r="B184">
        <v>183</v>
      </c>
      <c r="C184">
        <v>390632</v>
      </c>
      <c r="D184">
        <v>11370</v>
      </c>
      <c r="E184">
        <v>13417</v>
      </c>
      <c r="F184">
        <f t="shared" si="2"/>
        <v>609011.564333333</v>
      </c>
    </row>
    <row r="185" spans="1:6">
      <c r="A185">
        <v>37</v>
      </c>
      <c r="B185">
        <v>184</v>
      </c>
      <c r="C185">
        <v>488290</v>
      </c>
      <c r="D185">
        <v>9475</v>
      </c>
      <c r="E185">
        <v>16771</v>
      </c>
      <c r="F185">
        <f t="shared" si="2"/>
        <v>829502.982916667</v>
      </c>
    </row>
    <row r="186" spans="1:6">
      <c r="A186">
        <v>37</v>
      </c>
      <c r="B186">
        <v>185</v>
      </c>
      <c r="C186">
        <v>488290</v>
      </c>
      <c r="D186">
        <v>9475</v>
      </c>
      <c r="E186">
        <v>16771</v>
      </c>
      <c r="F186">
        <f t="shared" si="2"/>
        <v>829502.982916667</v>
      </c>
    </row>
    <row r="187" spans="1:6">
      <c r="A187">
        <v>38</v>
      </c>
      <c r="B187">
        <v>186</v>
      </c>
      <c r="C187">
        <v>618932</v>
      </c>
      <c r="D187">
        <v>9899</v>
      </c>
      <c r="E187">
        <v>20772</v>
      </c>
      <c r="F187">
        <f t="shared" si="2"/>
        <v>1154617.646</v>
      </c>
    </row>
    <row r="188" spans="1:6">
      <c r="A188">
        <v>38</v>
      </c>
      <c r="B188">
        <v>187</v>
      </c>
      <c r="C188">
        <v>412621</v>
      </c>
      <c r="D188">
        <v>11879</v>
      </c>
      <c r="E188">
        <v>13848</v>
      </c>
      <c r="F188">
        <f t="shared" si="2"/>
        <v>650703.317</v>
      </c>
    </row>
    <row r="189" spans="1:6">
      <c r="A189">
        <v>38</v>
      </c>
      <c r="B189">
        <v>188</v>
      </c>
      <c r="C189">
        <v>412621</v>
      </c>
      <c r="D189">
        <v>11879</v>
      </c>
      <c r="E189">
        <v>13848</v>
      </c>
      <c r="F189">
        <f t="shared" si="2"/>
        <v>650703.317</v>
      </c>
    </row>
    <row r="190" spans="1:6">
      <c r="A190">
        <v>38</v>
      </c>
      <c r="B190">
        <v>189</v>
      </c>
      <c r="C190">
        <v>412621</v>
      </c>
      <c r="D190">
        <v>11879</v>
      </c>
      <c r="E190">
        <v>13848</v>
      </c>
      <c r="F190">
        <f t="shared" si="2"/>
        <v>650703.317</v>
      </c>
    </row>
    <row r="191" spans="1:6">
      <c r="A191">
        <v>38</v>
      </c>
      <c r="B191">
        <v>190</v>
      </c>
      <c r="C191">
        <v>515777</v>
      </c>
      <c r="D191">
        <v>9899</v>
      </c>
      <c r="E191">
        <v>17310</v>
      </c>
      <c r="F191">
        <f t="shared" si="2"/>
        <v>887781.16125</v>
      </c>
    </row>
    <row r="192" spans="1:6">
      <c r="A192">
        <v>39</v>
      </c>
      <c r="B192">
        <v>191</v>
      </c>
      <c r="C192">
        <v>659945</v>
      </c>
      <c r="D192">
        <v>10349</v>
      </c>
      <c r="E192">
        <v>21426</v>
      </c>
      <c r="F192">
        <f t="shared" si="2"/>
        <v>1249110.89875</v>
      </c>
    </row>
    <row r="193" spans="1:6">
      <c r="A193">
        <v>39</v>
      </c>
      <c r="B193">
        <v>192</v>
      </c>
      <c r="C193">
        <v>659945</v>
      </c>
      <c r="D193">
        <v>10349</v>
      </c>
      <c r="E193">
        <v>21426</v>
      </c>
      <c r="F193">
        <f t="shared" si="2"/>
        <v>1249110.89875</v>
      </c>
    </row>
    <row r="194" spans="1:6">
      <c r="A194">
        <v>39</v>
      </c>
      <c r="B194">
        <v>193</v>
      </c>
      <c r="C194">
        <v>439963</v>
      </c>
      <c r="D194">
        <v>12418</v>
      </c>
      <c r="E194">
        <v>14284</v>
      </c>
      <c r="F194">
        <f t="shared" ref="F194:F257" si="3">C194/(1-MIN(0.75,E194/(24000+E194)))</f>
        <v>701814.312166667</v>
      </c>
    </row>
    <row r="195" spans="1:6">
      <c r="A195">
        <v>39</v>
      </c>
      <c r="B195">
        <v>194</v>
      </c>
      <c r="C195">
        <v>439963</v>
      </c>
      <c r="D195">
        <v>12418</v>
      </c>
      <c r="E195">
        <v>14284</v>
      </c>
      <c r="F195">
        <f t="shared" si="3"/>
        <v>701814.312166667</v>
      </c>
    </row>
    <row r="196" spans="1:6">
      <c r="A196">
        <v>39</v>
      </c>
      <c r="B196">
        <v>195</v>
      </c>
      <c r="C196">
        <v>439963</v>
      </c>
      <c r="D196">
        <v>12418</v>
      </c>
      <c r="E196">
        <v>14284</v>
      </c>
      <c r="F196">
        <f t="shared" si="3"/>
        <v>701814.312166667</v>
      </c>
    </row>
    <row r="197" spans="1:6">
      <c r="A197">
        <v>40</v>
      </c>
      <c r="B197">
        <v>196</v>
      </c>
      <c r="C197">
        <v>690988</v>
      </c>
      <c r="D197">
        <v>10710</v>
      </c>
      <c r="E197">
        <v>22085</v>
      </c>
      <c r="F197">
        <f t="shared" si="3"/>
        <v>1326840.91583333</v>
      </c>
    </row>
    <row r="198" spans="1:6">
      <c r="A198">
        <v>40</v>
      </c>
      <c r="B198">
        <v>197</v>
      </c>
      <c r="C198">
        <v>460658</v>
      </c>
      <c r="D198">
        <v>12852</v>
      </c>
      <c r="E198">
        <v>14723</v>
      </c>
      <c r="F198">
        <f t="shared" si="3"/>
        <v>743252.488916667</v>
      </c>
    </row>
    <row r="199" spans="1:6">
      <c r="A199">
        <v>40</v>
      </c>
      <c r="B199">
        <v>198</v>
      </c>
      <c r="C199">
        <v>575823</v>
      </c>
      <c r="D199">
        <v>10710</v>
      </c>
      <c r="E199">
        <v>18404</v>
      </c>
      <c r="F199">
        <f t="shared" si="3"/>
        <v>1017383.2705</v>
      </c>
    </row>
    <row r="200" spans="1:6">
      <c r="A200">
        <v>40</v>
      </c>
      <c r="B200">
        <v>199</v>
      </c>
      <c r="C200">
        <v>575823</v>
      </c>
      <c r="D200">
        <v>10710</v>
      </c>
      <c r="E200">
        <v>18404</v>
      </c>
      <c r="F200">
        <f t="shared" si="3"/>
        <v>1017383.2705</v>
      </c>
    </row>
    <row r="201" spans="1:6">
      <c r="A201">
        <v>40</v>
      </c>
      <c r="B201">
        <v>200</v>
      </c>
      <c r="C201">
        <v>575823</v>
      </c>
      <c r="D201">
        <v>10710</v>
      </c>
      <c r="E201">
        <v>18404</v>
      </c>
      <c r="F201">
        <f t="shared" si="3"/>
        <v>1017383.2705</v>
      </c>
    </row>
    <row r="202" spans="1:6">
      <c r="A202">
        <v>41</v>
      </c>
      <c r="B202">
        <v>201</v>
      </c>
      <c r="C202">
        <v>732638</v>
      </c>
      <c r="D202">
        <v>11180</v>
      </c>
      <c r="E202">
        <v>22748</v>
      </c>
      <c r="F202">
        <f t="shared" si="3"/>
        <v>1427056.71766667</v>
      </c>
    </row>
    <row r="203" spans="1:6">
      <c r="A203">
        <v>41</v>
      </c>
      <c r="B203">
        <v>202</v>
      </c>
      <c r="C203">
        <v>732638</v>
      </c>
      <c r="D203">
        <v>11180</v>
      </c>
      <c r="E203">
        <v>22748</v>
      </c>
      <c r="F203">
        <f t="shared" si="3"/>
        <v>1427056.71766667</v>
      </c>
    </row>
    <row r="204" spans="1:6">
      <c r="A204">
        <v>41</v>
      </c>
      <c r="B204">
        <v>203</v>
      </c>
      <c r="C204">
        <v>610532</v>
      </c>
      <c r="D204">
        <v>11180</v>
      </c>
      <c r="E204">
        <v>18956</v>
      </c>
      <c r="F204">
        <f t="shared" si="3"/>
        <v>1092750.52466667</v>
      </c>
    </row>
    <row r="205" spans="1:6">
      <c r="A205">
        <v>41</v>
      </c>
      <c r="B205">
        <v>204</v>
      </c>
      <c r="C205">
        <v>488426</v>
      </c>
      <c r="D205">
        <v>13416</v>
      </c>
      <c r="E205">
        <v>15165</v>
      </c>
      <c r="F205">
        <f t="shared" si="3"/>
        <v>797050.17875</v>
      </c>
    </row>
    <row r="206" spans="1:6">
      <c r="A206">
        <v>41</v>
      </c>
      <c r="B206">
        <v>205</v>
      </c>
      <c r="C206">
        <v>610532</v>
      </c>
      <c r="D206">
        <v>11180</v>
      </c>
      <c r="E206">
        <v>18956</v>
      </c>
      <c r="F206">
        <f t="shared" si="3"/>
        <v>1092750.52466667</v>
      </c>
    </row>
    <row r="207" spans="1:6">
      <c r="A207">
        <v>42</v>
      </c>
      <c r="B207">
        <v>206</v>
      </c>
      <c r="C207">
        <v>760695</v>
      </c>
      <c r="D207">
        <v>11515</v>
      </c>
      <c r="E207">
        <v>23250</v>
      </c>
      <c r="F207">
        <f t="shared" si="3"/>
        <v>1497618.28125</v>
      </c>
    </row>
    <row r="208" spans="1:6">
      <c r="A208">
        <v>42</v>
      </c>
      <c r="B208">
        <v>207</v>
      </c>
      <c r="C208">
        <v>633912</v>
      </c>
      <c r="D208">
        <v>11515</v>
      </c>
      <c r="E208">
        <v>19375</v>
      </c>
      <c r="F208">
        <f t="shared" si="3"/>
        <v>1145663.875</v>
      </c>
    </row>
    <row r="209" spans="1:6">
      <c r="A209">
        <v>42</v>
      </c>
      <c r="B209">
        <v>208</v>
      </c>
      <c r="C209">
        <v>507130</v>
      </c>
      <c r="D209">
        <v>13817</v>
      </c>
      <c r="E209">
        <v>15500</v>
      </c>
      <c r="F209">
        <f t="shared" si="3"/>
        <v>834651.458333333</v>
      </c>
    </row>
    <row r="210" spans="1:6">
      <c r="A210">
        <v>42</v>
      </c>
      <c r="B210">
        <v>209</v>
      </c>
      <c r="C210">
        <v>633912</v>
      </c>
      <c r="D210">
        <v>11515</v>
      </c>
      <c r="E210">
        <v>19375</v>
      </c>
      <c r="F210">
        <f t="shared" si="3"/>
        <v>1145663.875</v>
      </c>
    </row>
    <row r="211" spans="1:6">
      <c r="A211">
        <v>42</v>
      </c>
      <c r="B211">
        <v>210</v>
      </c>
      <c r="C211">
        <v>633912</v>
      </c>
      <c r="D211">
        <v>11515</v>
      </c>
      <c r="E211">
        <v>19375</v>
      </c>
      <c r="F211">
        <f t="shared" si="3"/>
        <v>1145663.875</v>
      </c>
    </row>
    <row r="212" spans="1:6">
      <c r="A212">
        <v>43</v>
      </c>
      <c r="B212">
        <v>211</v>
      </c>
      <c r="C212">
        <v>799177</v>
      </c>
      <c r="D212">
        <v>11930</v>
      </c>
      <c r="E212">
        <v>23924</v>
      </c>
      <c r="F212">
        <f t="shared" si="3"/>
        <v>1595823.27283333</v>
      </c>
    </row>
    <row r="213" spans="1:6">
      <c r="A213">
        <v>43</v>
      </c>
      <c r="B213">
        <v>212</v>
      </c>
      <c r="C213">
        <v>799177</v>
      </c>
      <c r="D213">
        <v>11930</v>
      </c>
      <c r="E213">
        <v>23924</v>
      </c>
      <c r="F213">
        <f t="shared" si="3"/>
        <v>1595823.27283333</v>
      </c>
    </row>
    <row r="214" spans="1:6">
      <c r="A214">
        <v>43</v>
      </c>
      <c r="B214">
        <v>213</v>
      </c>
      <c r="C214">
        <v>665981</v>
      </c>
      <c r="D214">
        <v>11930</v>
      </c>
      <c r="E214">
        <v>19936</v>
      </c>
      <c r="F214">
        <f t="shared" si="3"/>
        <v>1219189.21733333</v>
      </c>
    </row>
    <row r="215" spans="1:6">
      <c r="A215">
        <v>43</v>
      </c>
      <c r="B215">
        <v>214</v>
      </c>
      <c r="C215">
        <v>532785</v>
      </c>
      <c r="D215">
        <v>14316</v>
      </c>
      <c r="E215">
        <v>15949</v>
      </c>
      <c r="F215">
        <f t="shared" si="3"/>
        <v>886842.831875</v>
      </c>
    </row>
    <row r="216" spans="1:6">
      <c r="A216">
        <v>43</v>
      </c>
      <c r="B216">
        <v>215</v>
      </c>
      <c r="C216">
        <v>665981</v>
      </c>
      <c r="D216">
        <v>11930</v>
      </c>
      <c r="E216">
        <v>19936</v>
      </c>
      <c r="F216">
        <f t="shared" si="3"/>
        <v>1219189.21733333</v>
      </c>
    </row>
    <row r="217" spans="1:6">
      <c r="A217">
        <v>44</v>
      </c>
      <c r="B217">
        <v>216</v>
      </c>
      <c r="C217">
        <v>838962</v>
      </c>
      <c r="D217">
        <v>12360</v>
      </c>
      <c r="E217">
        <v>24432</v>
      </c>
      <c r="F217">
        <f t="shared" si="3"/>
        <v>1693025.316</v>
      </c>
    </row>
    <row r="218" spans="1:6">
      <c r="A218">
        <v>44</v>
      </c>
      <c r="B218">
        <v>217</v>
      </c>
      <c r="C218">
        <v>838962</v>
      </c>
      <c r="D218">
        <v>12360</v>
      </c>
      <c r="E218">
        <v>24432</v>
      </c>
      <c r="F218">
        <f t="shared" si="3"/>
        <v>1693025.316</v>
      </c>
    </row>
    <row r="219" spans="1:6">
      <c r="A219">
        <v>44</v>
      </c>
      <c r="B219">
        <v>218</v>
      </c>
      <c r="C219">
        <v>559308</v>
      </c>
      <c r="D219">
        <v>14832</v>
      </c>
      <c r="E219">
        <v>16288</v>
      </c>
      <c r="F219">
        <f t="shared" si="3"/>
        <v>938891.696</v>
      </c>
    </row>
    <row r="220" spans="1:6">
      <c r="A220">
        <v>44</v>
      </c>
      <c r="B220">
        <v>219</v>
      </c>
      <c r="C220">
        <v>699135</v>
      </c>
      <c r="D220">
        <v>12360</v>
      </c>
      <c r="E220">
        <v>20360</v>
      </c>
      <c r="F220">
        <f t="shared" si="3"/>
        <v>1292234.525</v>
      </c>
    </row>
    <row r="221" spans="1:6">
      <c r="A221">
        <v>44</v>
      </c>
      <c r="B221">
        <v>220</v>
      </c>
      <c r="C221">
        <v>699135</v>
      </c>
      <c r="D221">
        <v>12360</v>
      </c>
      <c r="E221">
        <v>20360</v>
      </c>
      <c r="F221">
        <f t="shared" si="3"/>
        <v>1292234.525</v>
      </c>
    </row>
    <row r="222" spans="1:6">
      <c r="A222">
        <v>45</v>
      </c>
      <c r="B222">
        <v>221</v>
      </c>
      <c r="C222">
        <v>877226</v>
      </c>
      <c r="D222">
        <v>12826</v>
      </c>
      <c r="E222">
        <v>25115</v>
      </c>
      <c r="F222">
        <f t="shared" si="3"/>
        <v>1795206.45791667</v>
      </c>
    </row>
    <row r="223" spans="1:6">
      <c r="A223">
        <v>45</v>
      </c>
      <c r="B223">
        <v>222</v>
      </c>
      <c r="C223">
        <v>584817</v>
      </c>
      <c r="D223">
        <v>15391</v>
      </c>
      <c r="E223">
        <v>16743</v>
      </c>
      <c r="F223">
        <f t="shared" si="3"/>
        <v>992799.959625</v>
      </c>
    </row>
    <row r="224" spans="1:6">
      <c r="A224">
        <v>45</v>
      </c>
      <c r="B224">
        <v>223</v>
      </c>
      <c r="C224">
        <v>584817</v>
      </c>
      <c r="D224">
        <v>15391</v>
      </c>
      <c r="E224">
        <v>16743</v>
      </c>
      <c r="F224">
        <f t="shared" si="3"/>
        <v>992799.959625</v>
      </c>
    </row>
    <row r="225" spans="1:6">
      <c r="A225">
        <v>45</v>
      </c>
      <c r="B225">
        <v>224</v>
      </c>
      <c r="C225">
        <v>731022</v>
      </c>
      <c r="D225">
        <v>12826</v>
      </c>
      <c r="E225">
        <v>20929</v>
      </c>
      <c r="F225">
        <f t="shared" si="3"/>
        <v>1368503.64325</v>
      </c>
    </row>
    <row r="226" spans="1:6">
      <c r="A226">
        <v>45</v>
      </c>
      <c r="B226">
        <v>225</v>
      </c>
      <c r="C226">
        <v>731022</v>
      </c>
      <c r="D226">
        <v>12826</v>
      </c>
      <c r="E226">
        <v>20929</v>
      </c>
      <c r="F226">
        <f t="shared" si="3"/>
        <v>1368503.64325</v>
      </c>
    </row>
    <row r="227" spans="1:6">
      <c r="A227">
        <v>46</v>
      </c>
      <c r="B227">
        <v>226</v>
      </c>
      <c r="C227">
        <v>925415</v>
      </c>
      <c r="D227">
        <v>13332</v>
      </c>
      <c r="E227">
        <v>25805</v>
      </c>
      <c r="F227">
        <f t="shared" si="3"/>
        <v>1920428.91979167</v>
      </c>
    </row>
    <row r="228" spans="1:6">
      <c r="A228">
        <v>46</v>
      </c>
      <c r="B228">
        <v>227</v>
      </c>
      <c r="C228">
        <v>771179</v>
      </c>
      <c r="D228">
        <v>13332</v>
      </c>
      <c r="E228">
        <v>21504</v>
      </c>
      <c r="F228">
        <f t="shared" si="3"/>
        <v>1462155.384</v>
      </c>
    </row>
    <row r="229" spans="1:6">
      <c r="A229">
        <v>46</v>
      </c>
      <c r="B229">
        <v>228</v>
      </c>
      <c r="C229">
        <v>771179</v>
      </c>
      <c r="D229">
        <v>13332</v>
      </c>
      <c r="E229">
        <v>21504</v>
      </c>
      <c r="F229">
        <f t="shared" si="3"/>
        <v>1462155.384</v>
      </c>
    </row>
    <row r="230" spans="1:6">
      <c r="A230">
        <v>46</v>
      </c>
      <c r="B230">
        <v>229</v>
      </c>
      <c r="C230">
        <v>771179</v>
      </c>
      <c r="D230">
        <v>13332</v>
      </c>
      <c r="E230">
        <v>21504</v>
      </c>
      <c r="F230">
        <f t="shared" si="3"/>
        <v>1462155.384</v>
      </c>
    </row>
    <row r="231" spans="1:6">
      <c r="A231">
        <v>46</v>
      </c>
      <c r="B231">
        <v>230</v>
      </c>
      <c r="C231">
        <v>771179</v>
      </c>
      <c r="D231">
        <v>13332</v>
      </c>
      <c r="E231">
        <v>21504</v>
      </c>
      <c r="F231">
        <f t="shared" si="3"/>
        <v>1462155.384</v>
      </c>
    </row>
    <row r="232" spans="1:6">
      <c r="A232">
        <v>47</v>
      </c>
      <c r="B232">
        <v>231</v>
      </c>
      <c r="C232">
        <v>960300</v>
      </c>
      <c r="D232">
        <v>13757</v>
      </c>
      <c r="E232">
        <v>26324</v>
      </c>
      <c r="F232">
        <f t="shared" si="3"/>
        <v>2013589.05</v>
      </c>
    </row>
    <row r="233" spans="1:6">
      <c r="A233">
        <v>47</v>
      </c>
      <c r="B233">
        <v>232</v>
      </c>
      <c r="C233">
        <v>800250</v>
      </c>
      <c r="D233">
        <v>13757</v>
      </c>
      <c r="E233">
        <v>21936</v>
      </c>
      <c r="F233">
        <f t="shared" si="3"/>
        <v>1531678.5</v>
      </c>
    </row>
    <row r="234" spans="1:6">
      <c r="A234">
        <v>47</v>
      </c>
      <c r="B234">
        <v>233</v>
      </c>
      <c r="C234">
        <v>800250</v>
      </c>
      <c r="D234">
        <v>13757</v>
      </c>
      <c r="E234">
        <v>21936</v>
      </c>
      <c r="F234">
        <f t="shared" si="3"/>
        <v>1531678.5</v>
      </c>
    </row>
    <row r="235" spans="1:6">
      <c r="A235">
        <v>47</v>
      </c>
      <c r="B235">
        <v>234</v>
      </c>
      <c r="C235">
        <v>640200</v>
      </c>
      <c r="D235">
        <v>16508</v>
      </c>
      <c r="E235">
        <v>17549</v>
      </c>
      <c r="F235">
        <f t="shared" si="3"/>
        <v>1108319.575</v>
      </c>
    </row>
    <row r="236" spans="1:6">
      <c r="A236">
        <v>47</v>
      </c>
      <c r="B236">
        <v>235</v>
      </c>
      <c r="C236">
        <v>640200</v>
      </c>
      <c r="D236">
        <v>16508</v>
      </c>
      <c r="E236">
        <v>17549</v>
      </c>
      <c r="F236">
        <f t="shared" si="3"/>
        <v>1108319.575</v>
      </c>
    </row>
    <row r="237" spans="1:6">
      <c r="A237">
        <v>48</v>
      </c>
      <c r="B237">
        <v>236</v>
      </c>
      <c r="C237">
        <v>1009493</v>
      </c>
      <c r="D237">
        <v>14265</v>
      </c>
      <c r="E237">
        <v>27023</v>
      </c>
      <c r="F237">
        <f t="shared" si="3"/>
        <v>2146140.05579167</v>
      </c>
    </row>
    <row r="238" spans="1:6">
      <c r="A238">
        <v>48</v>
      </c>
      <c r="B238">
        <v>237</v>
      </c>
      <c r="C238">
        <v>841244</v>
      </c>
      <c r="D238">
        <v>14265</v>
      </c>
      <c r="E238">
        <v>22519</v>
      </c>
      <c r="F238">
        <f t="shared" si="3"/>
        <v>1630576.23483333</v>
      </c>
    </row>
    <row r="239" spans="1:6">
      <c r="A239">
        <v>48</v>
      </c>
      <c r="B239">
        <v>238</v>
      </c>
      <c r="C239">
        <v>841244</v>
      </c>
      <c r="D239">
        <v>14265</v>
      </c>
      <c r="E239">
        <v>22519</v>
      </c>
      <c r="F239">
        <f t="shared" si="3"/>
        <v>1630576.23483333</v>
      </c>
    </row>
    <row r="240" spans="1:6">
      <c r="A240">
        <v>48</v>
      </c>
      <c r="B240">
        <v>239</v>
      </c>
      <c r="C240">
        <v>672995</v>
      </c>
      <c r="D240">
        <v>17118</v>
      </c>
      <c r="E240">
        <v>18015</v>
      </c>
      <c r="F240">
        <f t="shared" si="3"/>
        <v>1178161.871875</v>
      </c>
    </row>
    <row r="241" spans="1:6">
      <c r="A241">
        <v>48</v>
      </c>
      <c r="B241">
        <v>240</v>
      </c>
      <c r="C241">
        <v>841244</v>
      </c>
      <c r="D241">
        <v>14265</v>
      </c>
      <c r="E241">
        <v>22519</v>
      </c>
      <c r="F241">
        <f t="shared" si="3"/>
        <v>1630576.23483333</v>
      </c>
    </row>
    <row r="242" spans="1:6">
      <c r="A242">
        <v>49</v>
      </c>
      <c r="B242">
        <v>241</v>
      </c>
      <c r="C242">
        <v>1047790</v>
      </c>
      <c r="D242">
        <v>14643</v>
      </c>
      <c r="E242">
        <v>27549</v>
      </c>
      <c r="F242">
        <f t="shared" si="3"/>
        <v>2250521.94625</v>
      </c>
    </row>
    <row r="243" spans="1:6">
      <c r="A243">
        <v>49</v>
      </c>
      <c r="B243">
        <v>242</v>
      </c>
      <c r="C243">
        <v>1047790</v>
      </c>
      <c r="D243">
        <v>14643</v>
      </c>
      <c r="E243">
        <v>27549</v>
      </c>
      <c r="F243">
        <f t="shared" si="3"/>
        <v>2250521.94625</v>
      </c>
    </row>
    <row r="244" spans="1:6">
      <c r="A244">
        <v>49</v>
      </c>
      <c r="B244">
        <v>243</v>
      </c>
      <c r="C244">
        <v>1047790</v>
      </c>
      <c r="D244">
        <v>14643</v>
      </c>
      <c r="E244">
        <v>27549</v>
      </c>
      <c r="F244">
        <f t="shared" si="3"/>
        <v>2250521.94625</v>
      </c>
    </row>
    <row r="245" spans="1:6">
      <c r="A245">
        <v>49</v>
      </c>
      <c r="B245">
        <v>244</v>
      </c>
      <c r="C245">
        <v>873159</v>
      </c>
      <c r="D245">
        <v>14643</v>
      </c>
      <c r="E245">
        <v>22958</v>
      </c>
      <c r="F245">
        <f t="shared" si="3"/>
        <v>1708408.34675</v>
      </c>
    </row>
    <row r="246" spans="1:6">
      <c r="A246">
        <v>49</v>
      </c>
      <c r="B246">
        <v>245</v>
      </c>
      <c r="C246">
        <v>698527</v>
      </c>
      <c r="D246">
        <v>17572</v>
      </c>
      <c r="E246">
        <v>18366</v>
      </c>
      <c r="F246">
        <f t="shared" si="3"/>
        <v>1233074.78675</v>
      </c>
    </row>
    <row r="247" spans="1:6">
      <c r="A247">
        <v>50</v>
      </c>
      <c r="B247">
        <v>246</v>
      </c>
      <c r="C247">
        <v>1109663</v>
      </c>
      <c r="D247">
        <v>15315</v>
      </c>
      <c r="E247">
        <v>28257</v>
      </c>
      <c r="F247">
        <f t="shared" si="3"/>
        <v>2416152.474625</v>
      </c>
    </row>
    <row r="248" spans="1:6">
      <c r="A248">
        <v>50</v>
      </c>
      <c r="B248">
        <v>247</v>
      </c>
      <c r="C248">
        <v>739775</v>
      </c>
      <c r="D248">
        <v>18378</v>
      </c>
      <c r="E248">
        <v>18838</v>
      </c>
      <c r="F248">
        <f t="shared" si="3"/>
        <v>1320436.72708333</v>
      </c>
    </row>
    <row r="249" spans="1:6">
      <c r="A249">
        <v>50</v>
      </c>
      <c r="B249">
        <v>248</v>
      </c>
      <c r="C249">
        <v>924719</v>
      </c>
      <c r="D249">
        <v>15315</v>
      </c>
      <c r="E249">
        <v>23548</v>
      </c>
      <c r="F249">
        <f t="shared" si="3"/>
        <v>1832022.45883333</v>
      </c>
    </row>
    <row r="250" spans="1:6">
      <c r="A250">
        <v>50</v>
      </c>
      <c r="B250">
        <v>249</v>
      </c>
      <c r="C250">
        <v>924719</v>
      </c>
      <c r="D250">
        <v>15315</v>
      </c>
      <c r="E250">
        <v>23548</v>
      </c>
      <c r="F250">
        <f t="shared" si="3"/>
        <v>1832022.45883333</v>
      </c>
    </row>
    <row r="251" spans="1:6">
      <c r="A251">
        <v>50</v>
      </c>
      <c r="B251">
        <v>250</v>
      </c>
      <c r="C251">
        <v>924719</v>
      </c>
      <c r="D251">
        <v>15315</v>
      </c>
      <c r="E251">
        <v>23548</v>
      </c>
      <c r="F251">
        <f t="shared" si="3"/>
        <v>1832022.45883333</v>
      </c>
    </row>
    <row r="252" spans="1:6">
      <c r="A252">
        <v>51</v>
      </c>
      <c r="B252">
        <v>251</v>
      </c>
      <c r="C252">
        <v>1134668</v>
      </c>
      <c r="D252">
        <v>15626</v>
      </c>
      <c r="E252">
        <v>28613</v>
      </c>
      <c r="F252">
        <f t="shared" si="3"/>
        <v>2487428.64516667</v>
      </c>
    </row>
    <row r="253" spans="1:6">
      <c r="A253">
        <v>51</v>
      </c>
      <c r="B253">
        <v>252</v>
      </c>
      <c r="C253">
        <v>945556</v>
      </c>
      <c r="D253">
        <v>15626</v>
      </c>
      <c r="E253">
        <v>23844</v>
      </c>
      <c r="F253">
        <f t="shared" si="3"/>
        <v>1884965.886</v>
      </c>
    </row>
    <row r="254" spans="1:6">
      <c r="A254">
        <v>51</v>
      </c>
      <c r="B254">
        <v>253</v>
      </c>
      <c r="C254">
        <v>756445</v>
      </c>
      <c r="D254">
        <v>18751</v>
      </c>
      <c r="E254">
        <v>19075</v>
      </c>
      <c r="F254">
        <f t="shared" si="3"/>
        <v>1357661.18229167</v>
      </c>
    </row>
    <row r="255" spans="1:6">
      <c r="A255">
        <v>51</v>
      </c>
      <c r="B255">
        <v>254</v>
      </c>
      <c r="C255">
        <v>756445</v>
      </c>
      <c r="D255">
        <v>18751</v>
      </c>
      <c r="E255">
        <v>19075</v>
      </c>
      <c r="F255">
        <f t="shared" si="3"/>
        <v>1357661.18229167</v>
      </c>
    </row>
    <row r="256" spans="1:6">
      <c r="A256">
        <v>51</v>
      </c>
      <c r="B256">
        <v>255</v>
      </c>
      <c r="C256">
        <v>756445</v>
      </c>
      <c r="D256">
        <v>18751</v>
      </c>
      <c r="E256">
        <v>19075</v>
      </c>
      <c r="F256">
        <f t="shared" si="3"/>
        <v>1357661.18229167</v>
      </c>
    </row>
    <row r="257" spans="1:6">
      <c r="A257">
        <v>52</v>
      </c>
      <c r="B257">
        <v>256</v>
      </c>
      <c r="C257">
        <v>1169721</v>
      </c>
      <c r="D257">
        <v>16013</v>
      </c>
      <c r="E257">
        <v>29150</v>
      </c>
      <c r="F257">
        <f t="shared" si="3"/>
        <v>2590444.63125</v>
      </c>
    </row>
    <row r="258" spans="1:6">
      <c r="A258">
        <v>52</v>
      </c>
      <c r="B258">
        <v>257</v>
      </c>
      <c r="C258">
        <v>779814</v>
      </c>
      <c r="D258">
        <v>19216</v>
      </c>
      <c r="E258">
        <v>19433</v>
      </c>
      <c r="F258">
        <f t="shared" ref="F258:F321" si="4">C258/(1-MIN(0.75,E258/(24000+E258)))</f>
        <v>1411235.89425</v>
      </c>
    </row>
    <row r="259" spans="1:6">
      <c r="A259">
        <v>52</v>
      </c>
      <c r="B259">
        <v>258</v>
      </c>
      <c r="C259">
        <v>974767</v>
      </c>
      <c r="D259">
        <v>16013</v>
      </c>
      <c r="E259">
        <v>24291</v>
      </c>
      <c r="F259">
        <f t="shared" si="4"/>
        <v>1961353.049875</v>
      </c>
    </row>
    <row r="260" spans="1:6">
      <c r="A260">
        <v>52</v>
      </c>
      <c r="B260">
        <v>259</v>
      </c>
      <c r="C260">
        <v>779814</v>
      </c>
      <c r="D260">
        <v>19216</v>
      </c>
      <c r="E260">
        <v>19433</v>
      </c>
      <c r="F260">
        <f t="shared" si="4"/>
        <v>1411235.89425</v>
      </c>
    </row>
    <row r="261" spans="1:6">
      <c r="A261">
        <v>52</v>
      </c>
      <c r="B261">
        <v>260</v>
      </c>
      <c r="C261">
        <v>974767</v>
      </c>
      <c r="D261">
        <v>16013</v>
      </c>
      <c r="E261">
        <v>24291</v>
      </c>
      <c r="F261">
        <f t="shared" si="4"/>
        <v>1961353.049875</v>
      </c>
    </row>
    <row r="262" spans="1:6">
      <c r="A262">
        <v>53</v>
      </c>
      <c r="B262">
        <v>261</v>
      </c>
      <c r="C262">
        <v>1200620</v>
      </c>
      <c r="D262">
        <v>16349</v>
      </c>
      <c r="E262">
        <v>29508</v>
      </c>
      <c r="F262">
        <f t="shared" si="4"/>
        <v>2676782.29</v>
      </c>
    </row>
    <row r="263" spans="1:6">
      <c r="A263">
        <v>53</v>
      </c>
      <c r="B263">
        <v>262</v>
      </c>
      <c r="C263">
        <v>1000516</v>
      </c>
      <c r="D263">
        <v>16349</v>
      </c>
      <c r="E263">
        <v>24590</v>
      </c>
      <c r="F263">
        <f t="shared" si="4"/>
        <v>2025628.01833333</v>
      </c>
    </row>
    <row r="264" spans="1:6">
      <c r="A264">
        <v>53</v>
      </c>
      <c r="B264">
        <v>263</v>
      </c>
      <c r="C264">
        <v>1000516</v>
      </c>
      <c r="D264">
        <v>16349</v>
      </c>
      <c r="E264">
        <v>24590</v>
      </c>
      <c r="F264">
        <f t="shared" si="4"/>
        <v>2025628.01833333</v>
      </c>
    </row>
    <row r="265" spans="1:6">
      <c r="A265">
        <v>53</v>
      </c>
      <c r="B265">
        <v>264</v>
      </c>
      <c r="C265">
        <v>800413</v>
      </c>
      <c r="D265">
        <v>19619</v>
      </c>
      <c r="E265">
        <v>19672</v>
      </c>
      <c r="F265">
        <f t="shared" si="4"/>
        <v>1456484.85566667</v>
      </c>
    </row>
    <row r="266" spans="1:6">
      <c r="A266">
        <v>53</v>
      </c>
      <c r="B266">
        <v>265</v>
      </c>
      <c r="C266">
        <v>800413</v>
      </c>
      <c r="D266">
        <v>19619</v>
      </c>
      <c r="E266">
        <v>19672</v>
      </c>
      <c r="F266">
        <f t="shared" si="4"/>
        <v>1456484.85566667</v>
      </c>
    </row>
    <row r="267" spans="1:6">
      <c r="A267">
        <v>54</v>
      </c>
      <c r="B267">
        <v>266</v>
      </c>
      <c r="C267">
        <v>1229785</v>
      </c>
      <c r="D267">
        <v>16658</v>
      </c>
      <c r="E267">
        <v>29870</v>
      </c>
      <c r="F267">
        <f t="shared" si="4"/>
        <v>2760354.91458333</v>
      </c>
    </row>
    <row r="268" spans="1:6">
      <c r="A268">
        <v>54</v>
      </c>
      <c r="B268">
        <v>267</v>
      </c>
      <c r="C268">
        <v>819856</v>
      </c>
      <c r="D268">
        <v>19989</v>
      </c>
      <c r="E268">
        <v>19913</v>
      </c>
      <c r="F268">
        <f t="shared" si="4"/>
        <v>1500097.35533333</v>
      </c>
    </row>
    <row r="269" spans="1:6">
      <c r="A269">
        <v>54</v>
      </c>
      <c r="B269">
        <v>268</v>
      </c>
      <c r="C269">
        <v>819856</v>
      </c>
      <c r="D269">
        <v>19989</v>
      </c>
      <c r="E269">
        <v>19913</v>
      </c>
      <c r="F269">
        <f t="shared" si="4"/>
        <v>1500097.35533333</v>
      </c>
    </row>
    <row r="270" spans="1:6">
      <c r="A270">
        <v>54</v>
      </c>
      <c r="B270">
        <v>269</v>
      </c>
      <c r="C270">
        <v>1024821</v>
      </c>
      <c r="D270">
        <v>16658</v>
      </c>
      <c r="E270">
        <v>24891</v>
      </c>
      <c r="F270">
        <f t="shared" si="4"/>
        <v>2087688.479625</v>
      </c>
    </row>
    <row r="271" spans="1:6">
      <c r="A271">
        <v>54</v>
      </c>
      <c r="B271">
        <v>270</v>
      </c>
      <c r="C271">
        <v>1024821</v>
      </c>
      <c r="D271">
        <v>16658</v>
      </c>
      <c r="E271">
        <v>24891</v>
      </c>
      <c r="F271">
        <f t="shared" si="4"/>
        <v>2087688.479625</v>
      </c>
    </row>
    <row r="272" spans="1:6">
      <c r="A272">
        <v>55</v>
      </c>
      <c r="B272">
        <v>271</v>
      </c>
      <c r="C272">
        <v>1281554</v>
      </c>
      <c r="D272">
        <v>17172</v>
      </c>
      <c r="E272">
        <v>30413</v>
      </c>
      <c r="F272">
        <f t="shared" si="4"/>
        <v>2905549.90841667</v>
      </c>
    </row>
    <row r="273" spans="1:6">
      <c r="A273">
        <v>55</v>
      </c>
      <c r="B273">
        <v>272</v>
      </c>
      <c r="C273">
        <v>854369</v>
      </c>
      <c r="D273">
        <v>20607</v>
      </c>
      <c r="E273">
        <v>20275</v>
      </c>
      <c r="F273">
        <f t="shared" si="4"/>
        <v>1576132.81145833</v>
      </c>
    </row>
    <row r="274" spans="1:6">
      <c r="A274">
        <v>55</v>
      </c>
      <c r="B274">
        <v>273</v>
      </c>
      <c r="C274">
        <v>1067962</v>
      </c>
      <c r="D274">
        <v>17172</v>
      </c>
      <c r="E274">
        <v>25344</v>
      </c>
      <c r="F274">
        <f t="shared" si="4"/>
        <v>2195729.872</v>
      </c>
    </row>
    <row r="275" spans="1:6">
      <c r="A275">
        <v>55</v>
      </c>
      <c r="B275">
        <v>274</v>
      </c>
      <c r="C275">
        <v>1067962</v>
      </c>
      <c r="D275">
        <v>17172</v>
      </c>
      <c r="E275">
        <v>25344</v>
      </c>
      <c r="F275">
        <f t="shared" si="4"/>
        <v>2195729.872</v>
      </c>
    </row>
    <row r="276" spans="1:6">
      <c r="A276">
        <v>55</v>
      </c>
      <c r="B276">
        <v>275</v>
      </c>
      <c r="C276">
        <v>1067962</v>
      </c>
      <c r="D276">
        <v>17172</v>
      </c>
      <c r="E276">
        <v>25344</v>
      </c>
      <c r="F276">
        <f t="shared" si="4"/>
        <v>2195729.872</v>
      </c>
    </row>
    <row r="277" spans="1:6">
      <c r="A277">
        <v>56</v>
      </c>
      <c r="B277">
        <v>276</v>
      </c>
      <c r="C277">
        <v>1299095</v>
      </c>
      <c r="D277">
        <v>17424</v>
      </c>
      <c r="E277">
        <v>30777</v>
      </c>
      <c r="F277">
        <f t="shared" si="4"/>
        <v>2965021.950625</v>
      </c>
    </row>
    <row r="278" spans="1:6">
      <c r="A278">
        <v>56</v>
      </c>
      <c r="B278">
        <v>277</v>
      </c>
      <c r="C278">
        <v>1082579</v>
      </c>
      <c r="D278">
        <v>17424</v>
      </c>
      <c r="E278">
        <v>25648</v>
      </c>
      <c r="F278">
        <f t="shared" si="4"/>
        <v>2239495.09133333</v>
      </c>
    </row>
    <row r="279" spans="1:6">
      <c r="A279">
        <v>56</v>
      </c>
      <c r="B279">
        <v>278</v>
      </c>
      <c r="C279">
        <v>1082579</v>
      </c>
      <c r="D279">
        <v>17424</v>
      </c>
      <c r="E279">
        <v>25648</v>
      </c>
      <c r="F279">
        <f t="shared" si="4"/>
        <v>2239495.09133333</v>
      </c>
    </row>
    <row r="280" spans="1:6">
      <c r="A280">
        <v>56</v>
      </c>
      <c r="B280">
        <v>279</v>
      </c>
      <c r="C280">
        <v>866064</v>
      </c>
      <c r="D280">
        <v>20908</v>
      </c>
      <c r="E280">
        <v>20518</v>
      </c>
      <c r="F280">
        <f t="shared" si="4"/>
        <v>1606476.548</v>
      </c>
    </row>
    <row r="281" spans="1:6">
      <c r="A281">
        <v>56</v>
      </c>
      <c r="B281">
        <v>280</v>
      </c>
      <c r="C281">
        <v>866064</v>
      </c>
      <c r="D281">
        <v>20908</v>
      </c>
      <c r="E281">
        <v>20518</v>
      </c>
      <c r="F281">
        <f t="shared" si="4"/>
        <v>1606476.548</v>
      </c>
    </row>
    <row r="282" spans="1:6">
      <c r="A282">
        <v>57</v>
      </c>
      <c r="B282">
        <v>281</v>
      </c>
      <c r="C282">
        <v>1331424</v>
      </c>
      <c r="D282">
        <v>17781</v>
      </c>
      <c r="E282">
        <v>31142</v>
      </c>
      <c r="F282">
        <f t="shared" si="4"/>
        <v>3059057.592</v>
      </c>
    </row>
    <row r="283" spans="1:6">
      <c r="A283">
        <v>57</v>
      </c>
      <c r="B283">
        <v>282</v>
      </c>
      <c r="C283">
        <v>887616</v>
      </c>
      <c r="D283">
        <v>21337</v>
      </c>
      <c r="E283">
        <v>20761</v>
      </c>
      <c r="F283">
        <f t="shared" si="4"/>
        <v>1655440.824</v>
      </c>
    </row>
    <row r="284" spans="1:6">
      <c r="A284">
        <v>57</v>
      </c>
      <c r="B284">
        <v>283</v>
      </c>
      <c r="C284">
        <v>887616</v>
      </c>
      <c r="D284">
        <v>21337</v>
      </c>
      <c r="E284">
        <v>20761</v>
      </c>
      <c r="F284">
        <f t="shared" si="4"/>
        <v>1655440.824</v>
      </c>
    </row>
    <row r="285" spans="1:6">
      <c r="A285">
        <v>57</v>
      </c>
      <c r="B285">
        <v>284</v>
      </c>
      <c r="C285">
        <v>1109520</v>
      </c>
      <c r="D285">
        <v>17781</v>
      </c>
      <c r="E285">
        <v>25951</v>
      </c>
      <c r="F285">
        <f t="shared" si="4"/>
        <v>2309234.73</v>
      </c>
    </row>
    <row r="286" spans="1:6">
      <c r="A286">
        <v>57</v>
      </c>
      <c r="B286">
        <v>285</v>
      </c>
      <c r="C286">
        <v>887616</v>
      </c>
      <c r="D286">
        <v>21337</v>
      </c>
      <c r="E286">
        <v>20761</v>
      </c>
      <c r="F286">
        <f t="shared" si="4"/>
        <v>1655440.824</v>
      </c>
    </row>
    <row r="287" spans="1:6">
      <c r="A287">
        <v>58</v>
      </c>
      <c r="B287">
        <v>286</v>
      </c>
      <c r="C287">
        <v>1373510</v>
      </c>
      <c r="D287">
        <v>18212</v>
      </c>
      <c r="E287">
        <v>31509</v>
      </c>
      <c r="F287">
        <f t="shared" si="4"/>
        <v>3176756.94125</v>
      </c>
    </row>
    <row r="288" spans="1:6">
      <c r="A288">
        <v>58</v>
      </c>
      <c r="B288">
        <v>287</v>
      </c>
      <c r="C288">
        <v>1144592</v>
      </c>
      <c r="D288">
        <v>18212</v>
      </c>
      <c r="E288">
        <v>26258</v>
      </c>
      <c r="F288">
        <f t="shared" si="4"/>
        <v>2396871.03066667</v>
      </c>
    </row>
    <row r="289" spans="1:6">
      <c r="A289">
        <v>58</v>
      </c>
      <c r="B289">
        <v>288</v>
      </c>
      <c r="C289">
        <v>915673</v>
      </c>
      <c r="D289">
        <v>21854</v>
      </c>
      <c r="E289">
        <v>21006</v>
      </c>
      <c r="F289">
        <f t="shared" si="4"/>
        <v>1717115.79325</v>
      </c>
    </row>
    <row r="290" spans="1:6">
      <c r="A290">
        <v>58</v>
      </c>
      <c r="B290">
        <v>289</v>
      </c>
      <c r="C290">
        <v>915673</v>
      </c>
      <c r="D290">
        <v>21854</v>
      </c>
      <c r="E290">
        <v>21006</v>
      </c>
      <c r="F290">
        <f t="shared" si="4"/>
        <v>1717115.79325</v>
      </c>
    </row>
    <row r="291" spans="1:6">
      <c r="A291">
        <v>58</v>
      </c>
      <c r="B291">
        <v>290</v>
      </c>
      <c r="C291">
        <v>915673</v>
      </c>
      <c r="D291">
        <v>21854</v>
      </c>
      <c r="E291">
        <v>21006</v>
      </c>
      <c r="F291">
        <f t="shared" si="4"/>
        <v>1717115.79325</v>
      </c>
    </row>
    <row r="292" spans="1:6">
      <c r="A292">
        <v>59</v>
      </c>
      <c r="B292">
        <v>291</v>
      </c>
      <c r="C292">
        <v>1411674</v>
      </c>
      <c r="D292">
        <v>18620</v>
      </c>
      <c r="E292">
        <v>32061</v>
      </c>
      <c r="F292">
        <f t="shared" si="4"/>
        <v>3297494.00475</v>
      </c>
    </row>
    <row r="293" spans="1:6">
      <c r="A293">
        <v>59</v>
      </c>
      <c r="B293">
        <v>292</v>
      </c>
      <c r="C293">
        <v>941116</v>
      </c>
      <c r="D293">
        <v>22344</v>
      </c>
      <c r="E293">
        <v>21374</v>
      </c>
      <c r="F293">
        <f t="shared" si="4"/>
        <v>1779258.22433333</v>
      </c>
    </row>
    <row r="294" spans="1:6">
      <c r="A294">
        <v>59</v>
      </c>
      <c r="B294">
        <v>293</v>
      </c>
      <c r="C294">
        <v>941116</v>
      </c>
      <c r="D294">
        <v>22344</v>
      </c>
      <c r="E294">
        <v>21374</v>
      </c>
      <c r="F294">
        <f t="shared" si="4"/>
        <v>1779258.22433333</v>
      </c>
    </row>
    <row r="295" spans="1:6">
      <c r="A295">
        <v>59</v>
      </c>
      <c r="B295">
        <v>294</v>
      </c>
      <c r="C295">
        <v>1176395</v>
      </c>
      <c r="D295">
        <v>18620</v>
      </c>
      <c r="E295">
        <v>26718</v>
      </c>
      <c r="F295">
        <f t="shared" si="4"/>
        <v>2486016.73375</v>
      </c>
    </row>
    <row r="296" spans="1:6">
      <c r="A296">
        <v>59</v>
      </c>
      <c r="B296">
        <v>295</v>
      </c>
      <c r="C296">
        <v>1176395</v>
      </c>
      <c r="D296">
        <v>18620</v>
      </c>
      <c r="E296">
        <v>26718</v>
      </c>
      <c r="F296">
        <f t="shared" si="4"/>
        <v>2486016.73375</v>
      </c>
    </row>
    <row r="297" spans="1:6">
      <c r="A297">
        <v>60</v>
      </c>
      <c r="B297">
        <v>296</v>
      </c>
      <c r="C297">
        <v>1450473</v>
      </c>
      <c r="D297">
        <v>19005</v>
      </c>
      <c r="E297">
        <v>32432</v>
      </c>
      <c r="F297">
        <f t="shared" si="4"/>
        <v>3410545.514</v>
      </c>
    </row>
    <row r="298" spans="1:6">
      <c r="A298">
        <v>60</v>
      </c>
      <c r="B298">
        <v>297</v>
      </c>
      <c r="C298">
        <v>966982</v>
      </c>
      <c r="D298">
        <v>22806</v>
      </c>
      <c r="E298">
        <v>21621</v>
      </c>
      <c r="F298">
        <f t="shared" si="4"/>
        <v>1838111.90925</v>
      </c>
    </row>
    <row r="299" spans="1:6">
      <c r="A299">
        <v>60</v>
      </c>
      <c r="B299">
        <v>298</v>
      </c>
      <c r="C299">
        <v>1208727</v>
      </c>
      <c r="D299">
        <v>19005</v>
      </c>
      <c r="E299">
        <v>27026</v>
      </c>
      <c r="F299">
        <f t="shared" si="4"/>
        <v>2569854.32925</v>
      </c>
    </row>
    <row r="300" spans="1:6">
      <c r="A300">
        <v>60</v>
      </c>
      <c r="B300">
        <v>299</v>
      </c>
      <c r="C300">
        <v>1208727</v>
      </c>
      <c r="D300">
        <v>19005</v>
      </c>
      <c r="E300">
        <v>27026</v>
      </c>
      <c r="F300">
        <f t="shared" si="4"/>
        <v>2569854.32925</v>
      </c>
    </row>
    <row r="301" spans="1:6">
      <c r="A301">
        <v>60</v>
      </c>
      <c r="B301">
        <v>300</v>
      </c>
      <c r="C301">
        <v>1208727</v>
      </c>
      <c r="D301">
        <v>19005</v>
      </c>
      <c r="E301">
        <v>27026</v>
      </c>
      <c r="F301">
        <f t="shared" si="4"/>
        <v>2569854.32925</v>
      </c>
    </row>
    <row r="302" spans="1:6">
      <c r="A302">
        <v>61</v>
      </c>
      <c r="B302">
        <v>301</v>
      </c>
      <c r="C302">
        <v>1486904</v>
      </c>
      <c r="D302">
        <v>19407</v>
      </c>
      <c r="E302">
        <v>32804</v>
      </c>
      <c r="F302">
        <f t="shared" si="4"/>
        <v>3519253.95066667</v>
      </c>
    </row>
    <row r="303" spans="1:6">
      <c r="A303">
        <v>61</v>
      </c>
      <c r="B303">
        <v>302</v>
      </c>
      <c r="C303">
        <v>991269</v>
      </c>
      <c r="D303">
        <v>23289</v>
      </c>
      <c r="E303">
        <v>21869</v>
      </c>
      <c r="F303">
        <f t="shared" si="4"/>
        <v>1894521.573375</v>
      </c>
    </row>
    <row r="304" spans="1:6">
      <c r="A304">
        <v>61</v>
      </c>
      <c r="B304">
        <v>303</v>
      </c>
      <c r="C304">
        <v>1239087</v>
      </c>
      <c r="D304">
        <v>19407</v>
      </c>
      <c r="E304">
        <v>27336</v>
      </c>
      <c r="F304">
        <f t="shared" si="4"/>
        <v>2650407.093</v>
      </c>
    </row>
    <row r="305" spans="1:6">
      <c r="A305">
        <v>61</v>
      </c>
      <c r="B305">
        <v>304</v>
      </c>
      <c r="C305">
        <v>991269</v>
      </c>
      <c r="D305">
        <v>23289</v>
      </c>
      <c r="E305">
        <v>21869</v>
      </c>
      <c r="F305">
        <f t="shared" si="4"/>
        <v>1894521.573375</v>
      </c>
    </row>
    <row r="306" spans="1:6">
      <c r="A306">
        <v>61</v>
      </c>
      <c r="B306">
        <v>305</v>
      </c>
      <c r="C306">
        <v>991269</v>
      </c>
      <c r="D306">
        <v>23289</v>
      </c>
      <c r="E306">
        <v>21869</v>
      </c>
      <c r="F306">
        <f t="shared" si="4"/>
        <v>1894521.573375</v>
      </c>
    </row>
    <row r="307" spans="1:6">
      <c r="A307">
        <v>62</v>
      </c>
      <c r="B307">
        <v>306</v>
      </c>
      <c r="C307">
        <v>1511309</v>
      </c>
      <c r="D307">
        <v>19701</v>
      </c>
      <c r="E307">
        <v>33177</v>
      </c>
      <c r="F307">
        <f t="shared" si="4"/>
        <v>3600504.778875</v>
      </c>
    </row>
    <row r="308" spans="1:6">
      <c r="A308">
        <v>62</v>
      </c>
      <c r="B308">
        <v>307</v>
      </c>
      <c r="C308">
        <v>1259424</v>
      </c>
      <c r="D308">
        <v>19701</v>
      </c>
      <c r="E308">
        <v>27648</v>
      </c>
      <c r="F308">
        <f t="shared" si="4"/>
        <v>2710280.448</v>
      </c>
    </row>
    <row r="309" spans="1:6">
      <c r="A309">
        <v>62</v>
      </c>
      <c r="B309">
        <v>308</v>
      </c>
      <c r="C309">
        <v>1007539</v>
      </c>
      <c r="D309">
        <v>23642</v>
      </c>
      <c r="E309">
        <v>22118</v>
      </c>
      <c r="F309">
        <f t="shared" si="4"/>
        <v>1936070.15008333</v>
      </c>
    </row>
    <row r="310" spans="1:6">
      <c r="A310">
        <v>62</v>
      </c>
      <c r="B310">
        <v>309</v>
      </c>
      <c r="C310">
        <v>1007539</v>
      </c>
      <c r="D310">
        <v>23642</v>
      </c>
      <c r="E310">
        <v>22118</v>
      </c>
      <c r="F310">
        <f t="shared" si="4"/>
        <v>1936070.15008333</v>
      </c>
    </row>
    <row r="311" spans="1:6">
      <c r="A311">
        <v>62</v>
      </c>
      <c r="B311">
        <v>310</v>
      </c>
      <c r="C311">
        <v>1007539</v>
      </c>
      <c r="D311">
        <v>23642</v>
      </c>
      <c r="E311">
        <v>22118</v>
      </c>
      <c r="F311">
        <f t="shared" si="4"/>
        <v>1936070.15008333</v>
      </c>
    </row>
    <row r="312" spans="1:6">
      <c r="A312">
        <v>63</v>
      </c>
      <c r="B312">
        <v>311</v>
      </c>
      <c r="C312">
        <v>1539843</v>
      </c>
      <c r="D312">
        <v>20015</v>
      </c>
      <c r="E312">
        <v>33551</v>
      </c>
      <c r="F312">
        <f t="shared" si="4"/>
        <v>3692479.353875</v>
      </c>
    </row>
    <row r="313" spans="1:6">
      <c r="A313">
        <v>63</v>
      </c>
      <c r="B313">
        <v>312</v>
      </c>
      <c r="C313">
        <v>1026562</v>
      </c>
      <c r="D313">
        <v>24017</v>
      </c>
      <c r="E313">
        <v>22367</v>
      </c>
      <c r="F313">
        <f t="shared" si="4"/>
        <v>1983275.01058333</v>
      </c>
    </row>
    <row r="314" spans="1:6">
      <c r="A314">
        <v>63</v>
      </c>
      <c r="B314">
        <v>313</v>
      </c>
      <c r="C314">
        <v>1026562</v>
      </c>
      <c r="D314">
        <v>24017</v>
      </c>
      <c r="E314">
        <v>22367</v>
      </c>
      <c r="F314">
        <f t="shared" si="4"/>
        <v>1983275.01058333</v>
      </c>
    </row>
    <row r="315" spans="1:6">
      <c r="A315">
        <v>63</v>
      </c>
      <c r="B315">
        <v>314</v>
      </c>
      <c r="C315">
        <v>1283203</v>
      </c>
      <c r="D315">
        <v>20015</v>
      </c>
      <c r="E315">
        <v>27959</v>
      </c>
      <c r="F315">
        <f t="shared" si="4"/>
        <v>2778081.02820833</v>
      </c>
    </row>
    <row r="316" spans="1:6">
      <c r="A316">
        <v>63</v>
      </c>
      <c r="B316">
        <v>315</v>
      </c>
      <c r="C316">
        <v>1283203</v>
      </c>
      <c r="D316">
        <v>20015</v>
      </c>
      <c r="E316">
        <v>27959</v>
      </c>
      <c r="F316">
        <f t="shared" si="4"/>
        <v>2778081.02820833</v>
      </c>
    </row>
    <row r="317" spans="1:6">
      <c r="A317">
        <v>64</v>
      </c>
      <c r="B317">
        <v>316</v>
      </c>
      <c r="C317">
        <v>1583702</v>
      </c>
      <c r="D317">
        <v>20473</v>
      </c>
      <c r="E317">
        <v>33927</v>
      </c>
      <c r="F317">
        <f t="shared" si="4"/>
        <v>3822462.73975</v>
      </c>
    </row>
    <row r="318" spans="1:6">
      <c r="A318">
        <v>64</v>
      </c>
      <c r="B318">
        <v>317</v>
      </c>
      <c r="C318">
        <v>1055801</v>
      </c>
      <c r="D318">
        <v>24568</v>
      </c>
      <c r="E318">
        <v>22618</v>
      </c>
      <c r="F318">
        <f t="shared" si="4"/>
        <v>2050805.45908333</v>
      </c>
    </row>
    <row r="319" spans="1:6">
      <c r="A319">
        <v>64</v>
      </c>
      <c r="B319">
        <v>318</v>
      </c>
      <c r="C319">
        <v>1055801</v>
      </c>
      <c r="D319">
        <v>24568</v>
      </c>
      <c r="E319">
        <v>22618</v>
      </c>
      <c r="F319">
        <f t="shared" si="4"/>
        <v>2050805.45908333</v>
      </c>
    </row>
    <row r="320" spans="1:6">
      <c r="A320">
        <v>64</v>
      </c>
      <c r="B320">
        <v>319</v>
      </c>
      <c r="C320">
        <v>1319751</v>
      </c>
      <c r="D320">
        <v>20473</v>
      </c>
      <c r="E320">
        <v>28273</v>
      </c>
      <c r="F320">
        <f t="shared" si="4"/>
        <v>2874472.667625</v>
      </c>
    </row>
    <row r="321" spans="1:6">
      <c r="A321">
        <v>64</v>
      </c>
      <c r="B321">
        <v>320</v>
      </c>
      <c r="C321">
        <v>1055801</v>
      </c>
      <c r="D321">
        <v>24568</v>
      </c>
      <c r="E321">
        <v>22618</v>
      </c>
      <c r="F321">
        <f t="shared" si="4"/>
        <v>2050805.45908333</v>
      </c>
    </row>
    <row r="322" spans="1:6">
      <c r="A322">
        <v>65</v>
      </c>
      <c r="B322">
        <v>321</v>
      </c>
      <c r="C322">
        <v>1609892</v>
      </c>
      <c r="D322">
        <v>20736</v>
      </c>
      <c r="E322">
        <v>34304</v>
      </c>
      <c r="F322">
        <f t="shared" ref="F322:F385" si="5">C322/(1-MIN(0.75,E322/(24000+E322)))</f>
        <v>3910964.29866667</v>
      </c>
    </row>
    <row r="323" spans="1:6">
      <c r="A323">
        <v>65</v>
      </c>
      <c r="B323">
        <v>322</v>
      </c>
      <c r="C323">
        <v>1073261</v>
      </c>
      <c r="D323">
        <v>24883</v>
      </c>
      <c r="E323">
        <v>22869</v>
      </c>
      <c r="F323">
        <f t="shared" si="5"/>
        <v>2095944.575375</v>
      </c>
    </row>
    <row r="324" spans="1:6">
      <c r="A324">
        <v>65</v>
      </c>
      <c r="B324">
        <v>323</v>
      </c>
      <c r="C324">
        <v>1341577</v>
      </c>
      <c r="D324">
        <v>20736</v>
      </c>
      <c r="E324">
        <v>28586</v>
      </c>
      <c r="F324">
        <f t="shared" si="5"/>
        <v>2939507.00508333</v>
      </c>
    </row>
    <row r="325" spans="1:6">
      <c r="A325">
        <v>65</v>
      </c>
      <c r="B325">
        <v>324</v>
      </c>
      <c r="C325">
        <v>1341577</v>
      </c>
      <c r="D325">
        <v>20736</v>
      </c>
      <c r="E325">
        <v>28586</v>
      </c>
      <c r="F325">
        <f t="shared" si="5"/>
        <v>2939507.00508333</v>
      </c>
    </row>
    <row r="326" spans="1:6">
      <c r="A326">
        <v>65</v>
      </c>
      <c r="B326">
        <v>325</v>
      </c>
      <c r="C326">
        <v>1341577</v>
      </c>
      <c r="D326">
        <v>20736</v>
      </c>
      <c r="E326">
        <v>28586</v>
      </c>
      <c r="F326">
        <f t="shared" si="5"/>
        <v>2939507.00508333</v>
      </c>
    </row>
    <row r="327" spans="1:6">
      <c r="A327">
        <v>66</v>
      </c>
      <c r="B327">
        <v>326</v>
      </c>
      <c r="C327">
        <v>1638242</v>
      </c>
      <c r="D327">
        <v>21057</v>
      </c>
      <c r="E327">
        <v>34493</v>
      </c>
      <c r="F327">
        <f t="shared" si="5"/>
        <v>3992737.05441667</v>
      </c>
    </row>
    <row r="328" spans="1:6">
      <c r="A328">
        <v>66</v>
      </c>
      <c r="B328">
        <v>327</v>
      </c>
      <c r="C328">
        <v>1092162</v>
      </c>
      <c r="D328">
        <v>25268</v>
      </c>
      <c r="E328">
        <v>22995</v>
      </c>
      <c r="F328">
        <f t="shared" si="5"/>
        <v>2138589.71625</v>
      </c>
    </row>
    <row r="329" spans="1:6">
      <c r="A329">
        <v>66</v>
      </c>
      <c r="B329">
        <v>328</v>
      </c>
      <c r="C329">
        <v>1092162</v>
      </c>
      <c r="D329">
        <v>25268</v>
      </c>
      <c r="E329">
        <v>22995</v>
      </c>
      <c r="F329">
        <f t="shared" si="5"/>
        <v>2138589.71625</v>
      </c>
    </row>
    <row r="330" spans="1:6">
      <c r="A330">
        <v>66</v>
      </c>
      <c r="B330">
        <v>329</v>
      </c>
      <c r="C330">
        <v>1092162</v>
      </c>
      <c r="D330">
        <v>25268</v>
      </c>
      <c r="E330">
        <v>22995</v>
      </c>
      <c r="F330">
        <f t="shared" si="5"/>
        <v>2138589.71625</v>
      </c>
    </row>
    <row r="331" spans="1:6">
      <c r="A331">
        <v>66</v>
      </c>
      <c r="B331">
        <v>330</v>
      </c>
      <c r="C331">
        <v>1365202</v>
      </c>
      <c r="D331">
        <v>21057</v>
      </c>
      <c r="E331">
        <v>28744</v>
      </c>
      <c r="F331">
        <f t="shared" si="5"/>
        <v>3000258.92866667</v>
      </c>
    </row>
    <row r="332" spans="1:6">
      <c r="A332">
        <v>67</v>
      </c>
      <c r="B332">
        <v>331</v>
      </c>
      <c r="C332">
        <v>1665556</v>
      </c>
      <c r="D332">
        <v>21376</v>
      </c>
      <c r="E332">
        <v>34872</v>
      </c>
      <c r="F332">
        <f t="shared" si="5"/>
        <v>4085608.868</v>
      </c>
    </row>
    <row r="333" spans="1:6">
      <c r="A333">
        <v>67</v>
      </c>
      <c r="B333">
        <v>332</v>
      </c>
      <c r="C333">
        <v>1387963</v>
      </c>
      <c r="D333">
        <v>21376</v>
      </c>
      <c r="E333">
        <v>29060</v>
      </c>
      <c r="F333">
        <f t="shared" si="5"/>
        <v>3068554.86583333</v>
      </c>
    </row>
    <row r="334" spans="1:6">
      <c r="A334">
        <v>67</v>
      </c>
      <c r="B334">
        <v>333</v>
      </c>
      <c r="C334">
        <v>1110371</v>
      </c>
      <c r="D334">
        <v>25651</v>
      </c>
      <c r="E334">
        <v>23248</v>
      </c>
      <c r="F334">
        <f t="shared" si="5"/>
        <v>2185950.37533333</v>
      </c>
    </row>
    <row r="335" spans="1:6">
      <c r="A335">
        <v>67</v>
      </c>
      <c r="B335">
        <v>334</v>
      </c>
      <c r="C335">
        <v>1110371</v>
      </c>
      <c r="D335">
        <v>25651</v>
      </c>
      <c r="E335">
        <v>23248</v>
      </c>
      <c r="F335">
        <f t="shared" si="5"/>
        <v>2185950.37533333</v>
      </c>
    </row>
    <row r="336" spans="1:6">
      <c r="A336">
        <v>67</v>
      </c>
      <c r="B336">
        <v>335</v>
      </c>
      <c r="C336">
        <v>1110371</v>
      </c>
      <c r="D336">
        <v>25651</v>
      </c>
      <c r="E336">
        <v>23248</v>
      </c>
      <c r="F336">
        <f t="shared" si="5"/>
        <v>2185950.37533333</v>
      </c>
    </row>
    <row r="337" spans="1:6">
      <c r="A337">
        <v>68</v>
      </c>
      <c r="B337">
        <v>336</v>
      </c>
      <c r="C337">
        <v>1700239</v>
      </c>
      <c r="D337">
        <v>21738</v>
      </c>
      <c r="E337">
        <v>35252</v>
      </c>
      <c r="F337">
        <f t="shared" si="5"/>
        <v>4197606.71783333</v>
      </c>
    </row>
    <row r="338" spans="1:6">
      <c r="A338">
        <v>68</v>
      </c>
      <c r="B338">
        <v>337</v>
      </c>
      <c r="C338">
        <v>1133493</v>
      </c>
      <c r="D338">
        <v>26085</v>
      </c>
      <c r="E338">
        <v>23501</v>
      </c>
      <c r="F338">
        <f t="shared" si="5"/>
        <v>2243418.791375</v>
      </c>
    </row>
    <row r="339" spans="1:6">
      <c r="A339">
        <v>68</v>
      </c>
      <c r="B339">
        <v>338</v>
      </c>
      <c r="C339">
        <v>1133493</v>
      </c>
      <c r="D339">
        <v>26085</v>
      </c>
      <c r="E339">
        <v>23501</v>
      </c>
      <c r="F339">
        <f t="shared" si="5"/>
        <v>2243418.791375</v>
      </c>
    </row>
    <row r="340" spans="1:6">
      <c r="A340">
        <v>68</v>
      </c>
      <c r="B340">
        <v>339</v>
      </c>
      <c r="C340">
        <v>1416866</v>
      </c>
      <c r="D340">
        <v>21738</v>
      </c>
      <c r="E340">
        <v>29376</v>
      </c>
      <c r="F340">
        <f t="shared" si="5"/>
        <v>3151109.984</v>
      </c>
    </row>
    <row r="341" spans="1:6">
      <c r="A341">
        <v>68</v>
      </c>
      <c r="B341">
        <v>340</v>
      </c>
      <c r="C341">
        <v>1416866</v>
      </c>
      <c r="D341">
        <v>21738</v>
      </c>
      <c r="E341">
        <v>29376</v>
      </c>
      <c r="F341">
        <f t="shared" si="5"/>
        <v>3151109.984</v>
      </c>
    </row>
    <row r="342" spans="1:6">
      <c r="A342">
        <v>69</v>
      </c>
      <c r="B342">
        <v>341</v>
      </c>
      <c r="C342">
        <v>1729993</v>
      </c>
      <c r="D342">
        <v>22081</v>
      </c>
      <c r="E342">
        <v>35634</v>
      </c>
      <c r="F342">
        <f t="shared" si="5"/>
        <v>4298600.10675</v>
      </c>
    </row>
    <row r="343" spans="1:6">
      <c r="A343">
        <v>69</v>
      </c>
      <c r="B343">
        <v>342</v>
      </c>
      <c r="C343">
        <v>1441661</v>
      </c>
      <c r="D343">
        <v>22081</v>
      </c>
      <c r="E343">
        <v>29695</v>
      </c>
      <c r="F343">
        <f t="shared" si="5"/>
        <v>3225416.14145833</v>
      </c>
    </row>
    <row r="344" spans="1:6">
      <c r="A344">
        <v>69</v>
      </c>
      <c r="B344">
        <v>343</v>
      </c>
      <c r="C344">
        <v>1441661</v>
      </c>
      <c r="D344">
        <v>22081</v>
      </c>
      <c r="E344">
        <v>29695</v>
      </c>
      <c r="F344">
        <f t="shared" si="5"/>
        <v>3225416.14145833</v>
      </c>
    </row>
    <row r="345" spans="1:6">
      <c r="A345">
        <v>69</v>
      </c>
      <c r="B345">
        <v>344</v>
      </c>
      <c r="C345">
        <v>1153329</v>
      </c>
      <c r="D345">
        <v>26497</v>
      </c>
      <c r="E345">
        <v>23756</v>
      </c>
      <c r="F345">
        <f t="shared" si="5"/>
        <v>2294932.4885</v>
      </c>
    </row>
    <row r="346" spans="1:6">
      <c r="A346">
        <v>69</v>
      </c>
      <c r="B346">
        <v>345</v>
      </c>
      <c r="C346">
        <v>1153329</v>
      </c>
      <c r="D346">
        <v>26497</v>
      </c>
      <c r="E346">
        <v>23756</v>
      </c>
      <c r="F346">
        <f t="shared" si="5"/>
        <v>2294932.4885</v>
      </c>
    </row>
    <row r="347" spans="1:6">
      <c r="A347">
        <v>70</v>
      </c>
      <c r="B347">
        <v>346</v>
      </c>
      <c r="C347">
        <v>1773614</v>
      </c>
      <c r="D347">
        <v>22512</v>
      </c>
      <c r="E347">
        <v>36017</v>
      </c>
      <c r="F347">
        <f t="shared" si="5"/>
        <v>4435291.30991667</v>
      </c>
    </row>
    <row r="348" spans="1:6">
      <c r="A348">
        <v>70</v>
      </c>
      <c r="B348">
        <v>347</v>
      </c>
      <c r="C348">
        <v>1182409</v>
      </c>
      <c r="D348">
        <v>27014</v>
      </c>
      <c r="E348">
        <v>24011</v>
      </c>
      <c r="F348">
        <f t="shared" si="5"/>
        <v>2365359.93745833</v>
      </c>
    </row>
    <row r="349" spans="1:6">
      <c r="A349">
        <v>70</v>
      </c>
      <c r="B349">
        <v>348</v>
      </c>
      <c r="C349">
        <v>1478012</v>
      </c>
      <c r="D349">
        <v>22512</v>
      </c>
      <c r="E349">
        <v>30014</v>
      </c>
      <c r="F349">
        <f t="shared" si="5"/>
        <v>3326389.17366667</v>
      </c>
    </row>
    <row r="350" spans="1:6">
      <c r="A350">
        <v>70</v>
      </c>
      <c r="B350">
        <v>349</v>
      </c>
      <c r="C350">
        <v>1182409</v>
      </c>
      <c r="D350">
        <v>27014</v>
      </c>
      <c r="E350">
        <v>24011</v>
      </c>
      <c r="F350">
        <f t="shared" si="5"/>
        <v>2365359.93745833</v>
      </c>
    </row>
    <row r="351" spans="1:6">
      <c r="A351">
        <v>70</v>
      </c>
      <c r="B351">
        <v>350</v>
      </c>
      <c r="C351">
        <v>1478012</v>
      </c>
      <c r="D351">
        <v>22512</v>
      </c>
      <c r="E351">
        <v>30014</v>
      </c>
      <c r="F351">
        <f t="shared" si="5"/>
        <v>3326389.17366667</v>
      </c>
    </row>
    <row r="352" spans="1:6">
      <c r="A352">
        <v>71</v>
      </c>
      <c r="B352">
        <v>351</v>
      </c>
      <c r="C352">
        <v>1807700</v>
      </c>
      <c r="D352">
        <v>22894</v>
      </c>
      <c r="E352">
        <v>36402</v>
      </c>
      <c r="F352">
        <f t="shared" si="5"/>
        <v>4549528.975</v>
      </c>
    </row>
    <row r="353" spans="1:6">
      <c r="A353">
        <v>71</v>
      </c>
      <c r="B353">
        <v>352</v>
      </c>
      <c r="C353">
        <v>1205134</v>
      </c>
      <c r="D353">
        <v>27473</v>
      </c>
      <c r="E353">
        <v>24268</v>
      </c>
      <c r="F353">
        <f t="shared" si="5"/>
        <v>2423725.32966667</v>
      </c>
    </row>
    <row r="354" spans="1:6">
      <c r="A354">
        <v>71</v>
      </c>
      <c r="B354">
        <v>353</v>
      </c>
      <c r="C354">
        <v>1506417</v>
      </c>
      <c r="D354">
        <v>22894</v>
      </c>
      <c r="E354">
        <v>30335</v>
      </c>
      <c r="F354">
        <f t="shared" si="5"/>
        <v>3410465.320625</v>
      </c>
    </row>
    <row r="355" spans="1:6">
      <c r="A355">
        <v>71</v>
      </c>
      <c r="B355">
        <v>354</v>
      </c>
      <c r="C355">
        <v>1205134</v>
      </c>
      <c r="D355">
        <v>27473</v>
      </c>
      <c r="E355">
        <v>24268</v>
      </c>
      <c r="F355">
        <f t="shared" si="5"/>
        <v>2423725.32966667</v>
      </c>
    </row>
    <row r="356" spans="1:6">
      <c r="A356">
        <v>71</v>
      </c>
      <c r="B356">
        <v>355</v>
      </c>
      <c r="C356">
        <v>1205134</v>
      </c>
      <c r="D356">
        <v>27473</v>
      </c>
      <c r="E356">
        <v>24268</v>
      </c>
      <c r="F356">
        <f t="shared" si="5"/>
        <v>2423725.32966667</v>
      </c>
    </row>
    <row r="357" spans="1:6">
      <c r="A357">
        <v>72</v>
      </c>
      <c r="B357">
        <v>356</v>
      </c>
      <c r="C357">
        <v>1822008</v>
      </c>
      <c r="D357">
        <v>23082</v>
      </c>
      <c r="E357">
        <v>36594</v>
      </c>
      <c r="F357">
        <f t="shared" si="5"/>
        <v>4600114.698</v>
      </c>
    </row>
    <row r="358" spans="1:6">
      <c r="A358">
        <v>72</v>
      </c>
      <c r="B358">
        <v>357</v>
      </c>
      <c r="C358">
        <v>1214672</v>
      </c>
      <c r="D358">
        <v>27699</v>
      </c>
      <c r="E358">
        <v>24396</v>
      </c>
      <c r="F358">
        <f t="shared" si="5"/>
        <v>2449386.088</v>
      </c>
    </row>
    <row r="359" spans="1:6">
      <c r="A359">
        <v>72</v>
      </c>
      <c r="B359">
        <v>358</v>
      </c>
      <c r="C359">
        <v>1214672</v>
      </c>
      <c r="D359">
        <v>27699</v>
      </c>
      <c r="E359">
        <v>24396</v>
      </c>
      <c r="F359">
        <f t="shared" si="5"/>
        <v>2449386.088</v>
      </c>
    </row>
    <row r="360" spans="1:6">
      <c r="A360">
        <v>72</v>
      </c>
      <c r="B360">
        <v>359</v>
      </c>
      <c r="C360">
        <v>1214672</v>
      </c>
      <c r="D360">
        <v>27699</v>
      </c>
      <c r="E360">
        <v>24396</v>
      </c>
      <c r="F360">
        <f t="shared" si="5"/>
        <v>2449386.088</v>
      </c>
    </row>
    <row r="361" spans="1:6">
      <c r="A361">
        <v>72</v>
      </c>
      <c r="B361">
        <v>360</v>
      </c>
      <c r="C361">
        <v>1518340</v>
      </c>
      <c r="D361">
        <v>23082</v>
      </c>
      <c r="E361">
        <v>30495</v>
      </c>
      <c r="F361">
        <f t="shared" si="5"/>
        <v>3447580.7625</v>
      </c>
    </row>
    <row r="362" spans="1:6">
      <c r="A362">
        <v>73</v>
      </c>
      <c r="B362">
        <v>361</v>
      </c>
      <c r="C362">
        <v>1877422</v>
      </c>
      <c r="D362">
        <v>23617</v>
      </c>
      <c r="E362">
        <v>36981</v>
      </c>
      <c r="F362">
        <f t="shared" si="5"/>
        <v>4770294.62425</v>
      </c>
    </row>
    <row r="363" spans="1:6">
      <c r="A363">
        <v>73</v>
      </c>
      <c r="B363">
        <v>362</v>
      </c>
      <c r="C363">
        <v>1251614</v>
      </c>
      <c r="D363">
        <v>28341</v>
      </c>
      <c r="E363">
        <v>24654</v>
      </c>
      <c r="F363">
        <f t="shared" si="5"/>
        <v>2537334.4815</v>
      </c>
    </row>
    <row r="364" spans="1:6">
      <c r="A364">
        <v>73</v>
      </c>
      <c r="B364">
        <v>363</v>
      </c>
      <c r="C364">
        <v>1251614</v>
      </c>
      <c r="D364">
        <v>28341</v>
      </c>
      <c r="E364">
        <v>24654</v>
      </c>
      <c r="F364">
        <f t="shared" si="5"/>
        <v>2537334.4815</v>
      </c>
    </row>
    <row r="365" spans="1:6">
      <c r="A365">
        <v>73</v>
      </c>
      <c r="B365">
        <v>364</v>
      </c>
      <c r="C365">
        <v>1251614</v>
      </c>
      <c r="D365">
        <v>28341</v>
      </c>
      <c r="E365">
        <v>24654</v>
      </c>
      <c r="F365">
        <f t="shared" si="5"/>
        <v>2537334.4815</v>
      </c>
    </row>
    <row r="366" spans="1:6">
      <c r="A366">
        <v>73</v>
      </c>
      <c r="B366">
        <v>365</v>
      </c>
      <c r="C366">
        <v>1564518</v>
      </c>
      <c r="D366">
        <v>23617</v>
      </c>
      <c r="E366">
        <v>30818</v>
      </c>
      <c r="F366">
        <f t="shared" si="5"/>
        <v>3573489.4885</v>
      </c>
    </row>
    <row r="367" spans="1:6">
      <c r="A367">
        <v>74</v>
      </c>
      <c r="B367">
        <v>366</v>
      </c>
      <c r="C367">
        <v>1914617</v>
      </c>
      <c r="D367">
        <v>24017</v>
      </c>
      <c r="E367">
        <v>37370</v>
      </c>
      <c r="F367">
        <f t="shared" si="5"/>
        <v>4895835.22041667</v>
      </c>
    </row>
    <row r="368" spans="1:6">
      <c r="A368">
        <v>74</v>
      </c>
      <c r="B368">
        <v>367</v>
      </c>
      <c r="C368">
        <v>1276411</v>
      </c>
      <c r="D368">
        <v>28820</v>
      </c>
      <c r="E368">
        <v>24913</v>
      </c>
      <c r="F368">
        <f t="shared" si="5"/>
        <v>2601378.80179167</v>
      </c>
    </row>
    <row r="369" spans="1:6">
      <c r="A369">
        <v>74</v>
      </c>
      <c r="B369">
        <v>368</v>
      </c>
      <c r="C369">
        <v>1276411</v>
      </c>
      <c r="D369">
        <v>28820</v>
      </c>
      <c r="E369">
        <v>24913</v>
      </c>
      <c r="F369">
        <f t="shared" si="5"/>
        <v>2601378.80179167</v>
      </c>
    </row>
    <row r="370" spans="1:6">
      <c r="A370">
        <v>74</v>
      </c>
      <c r="B370">
        <v>369</v>
      </c>
      <c r="C370">
        <v>1595514</v>
      </c>
      <c r="D370">
        <v>24017</v>
      </c>
      <c r="E370">
        <v>31141</v>
      </c>
      <c r="F370">
        <f t="shared" si="5"/>
        <v>3665759.89475</v>
      </c>
    </row>
    <row r="371" spans="1:6">
      <c r="A371">
        <v>74</v>
      </c>
      <c r="B371">
        <v>370</v>
      </c>
      <c r="C371">
        <v>1276411</v>
      </c>
      <c r="D371">
        <v>28820</v>
      </c>
      <c r="E371">
        <v>24913</v>
      </c>
      <c r="F371">
        <f t="shared" si="5"/>
        <v>2601378.80179167</v>
      </c>
    </row>
    <row r="372" spans="1:6">
      <c r="A372">
        <v>75</v>
      </c>
      <c r="B372">
        <v>371</v>
      </c>
      <c r="C372">
        <v>1944388</v>
      </c>
      <c r="D372">
        <v>24331</v>
      </c>
      <c r="E372">
        <v>37758</v>
      </c>
      <c r="F372">
        <f t="shared" si="5"/>
        <v>5003396.421</v>
      </c>
    </row>
    <row r="373" spans="1:6">
      <c r="A373">
        <v>75</v>
      </c>
      <c r="B373">
        <v>372</v>
      </c>
      <c r="C373">
        <v>1296258</v>
      </c>
      <c r="D373">
        <v>29197</v>
      </c>
      <c r="E373">
        <v>25172</v>
      </c>
      <c r="F373">
        <f t="shared" si="5"/>
        <v>2655816.599</v>
      </c>
    </row>
    <row r="374" spans="1:6">
      <c r="A374">
        <v>75</v>
      </c>
      <c r="B374">
        <v>373</v>
      </c>
      <c r="C374">
        <v>1296258</v>
      </c>
      <c r="D374">
        <v>29197</v>
      </c>
      <c r="E374">
        <v>25172</v>
      </c>
      <c r="F374">
        <f t="shared" si="5"/>
        <v>2655816.599</v>
      </c>
    </row>
    <row r="375" spans="1:6">
      <c r="A375">
        <v>75</v>
      </c>
      <c r="B375">
        <v>374</v>
      </c>
      <c r="C375">
        <v>1620323</v>
      </c>
      <c r="D375">
        <v>24331</v>
      </c>
      <c r="E375">
        <v>31465</v>
      </c>
      <c r="F375">
        <f t="shared" si="5"/>
        <v>3744633.96645833</v>
      </c>
    </row>
    <row r="376" spans="1:6">
      <c r="A376">
        <v>75</v>
      </c>
      <c r="B376">
        <v>375</v>
      </c>
      <c r="C376">
        <v>1620323</v>
      </c>
      <c r="D376">
        <v>24331</v>
      </c>
      <c r="E376">
        <v>31465</v>
      </c>
      <c r="F376">
        <f t="shared" si="5"/>
        <v>3744633.96645833</v>
      </c>
    </row>
    <row r="377" spans="1:6">
      <c r="A377">
        <v>76</v>
      </c>
      <c r="B377">
        <v>376</v>
      </c>
      <c r="C377">
        <v>1982263</v>
      </c>
      <c r="D377">
        <v>24707</v>
      </c>
      <c r="E377">
        <v>37953</v>
      </c>
      <c r="F377">
        <f t="shared" si="5"/>
        <v>5116964.151625</v>
      </c>
    </row>
    <row r="378" spans="1:6">
      <c r="A378">
        <v>76</v>
      </c>
      <c r="B378">
        <v>377</v>
      </c>
      <c r="C378">
        <v>1651886</v>
      </c>
      <c r="D378">
        <v>24707</v>
      </c>
      <c r="E378">
        <v>31628</v>
      </c>
      <c r="F378">
        <f t="shared" si="5"/>
        <v>3828796.43366667</v>
      </c>
    </row>
    <row r="379" spans="1:6">
      <c r="A379">
        <v>76</v>
      </c>
      <c r="B379">
        <v>378</v>
      </c>
      <c r="C379">
        <v>1321509</v>
      </c>
      <c r="D379">
        <v>29648</v>
      </c>
      <c r="E379">
        <v>25302</v>
      </c>
      <c r="F379">
        <f t="shared" si="5"/>
        <v>2714709.86325</v>
      </c>
    </row>
    <row r="380" spans="1:6">
      <c r="A380">
        <v>76</v>
      </c>
      <c r="B380">
        <v>379</v>
      </c>
      <c r="C380">
        <v>1321509</v>
      </c>
      <c r="D380">
        <v>29648</v>
      </c>
      <c r="E380">
        <v>25302</v>
      </c>
      <c r="F380">
        <f t="shared" si="5"/>
        <v>2714709.86325</v>
      </c>
    </row>
    <row r="381" spans="1:6">
      <c r="A381">
        <v>76</v>
      </c>
      <c r="B381">
        <v>380</v>
      </c>
      <c r="C381">
        <v>1321509</v>
      </c>
      <c r="D381">
        <v>29648</v>
      </c>
      <c r="E381">
        <v>25302</v>
      </c>
      <c r="F381">
        <f t="shared" si="5"/>
        <v>2714709.86325</v>
      </c>
    </row>
    <row r="382" spans="1:6">
      <c r="A382">
        <v>77</v>
      </c>
      <c r="B382">
        <v>381</v>
      </c>
      <c r="C382">
        <v>2015757</v>
      </c>
      <c r="D382">
        <v>25083</v>
      </c>
      <c r="E382">
        <v>38345</v>
      </c>
      <c r="F382">
        <f t="shared" si="5"/>
        <v>5236348.756875</v>
      </c>
    </row>
    <row r="383" spans="1:6">
      <c r="A383">
        <v>77</v>
      </c>
      <c r="B383">
        <v>382</v>
      </c>
      <c r="C383">
        <v>1679797</v>
      </c>
      <c r="D383">
        <v>25083</v>
      </c>
      <c r="E383">
        <v>31954</v>
      </c>
      <c r="F383">
        <f t="shared" si="5"/>
        <v>3916306.72241667</v>
      </c>
    </row>
    <row r="384" spans="1:6">
      <c r="A384">
        <v>77</v>
      </c>
      <c r="B384">
        <v>383</v>
      </c>
      <c r="C384">
        <v>1343838</v>
      </c>
      <c r="D384">
        <v>30099</v>
      </c>
      <c r="E384">
        <v>25563</v>
      </c>
      <c r="F384">
        <f t="shared" si="5"/>
        <v>2775193.44975</v>
      </c>
    </row>
    <row r="385" spans="1:6">
      <c r="A385">
        <v>77</v>
      </c>
      <c r="B385">
        <v>384</v>
      </c>
      <c r="C385">
        <v>1343838</v>
      </c>
      <c r="D385">
        <v>30099</v>
      </c>
      <c r="E385">
        <v>25563</v>
      </c>
      <c r="F385">
        <f t="shared" si="5"/>
        <v>2775193.44975</v>
      </c>
    </row>
    <row r="386" spans="1:6">
      <c r="A386">
        <v>77</v>
      </c>
      <c r="B386">
        <v>385</v>
      </c>
      <c r="C386">
        <v>1343838</v>
      </c>
      <c r="D386">
        <v>30099</v>
      </c>
      <c r="E386">
        <v>25563</v>
      </c>
      <c r="F386">
        <f t="shared" ref="F386:F449" si="6">C386/(1-MIN(0.75,E386/(24000+E386)))</f>
        <v>2775193.44975</v>
      </c>
    </row>
    <row r="387" spans="1:6">
      <c r="A387">
        <v>78</v>
      </c>
      <c r="B387">
        <v>386</v>
      </c>
      <c r="C387">
        <v>2054410</v>
      </c>
      <c r="D387">
        <v>25495</v>
      </c>
      <c r="E387">
        <v>38738</v>
      </c>
      <c r="F387">
        <f t="shared" si="6"/>
        <v>5370398.94083333</v>
      </c>
    </row>
    <row r="388" spans="1:6">
      <c r="A388">
        <v>78</v>
      </c>
      <c r="B388">
        <v>387</v>
      </c>
      <c r="C388">
        <v>1369607</v>
      </c>
      <c r="D388">
        <v>30594</v>
      </c>
      <c r="E388">
        <v>25825</v>
      </c>
      <c r="F388">
        <f t="shared" si="6"/>
        <v>2843361.19895833</v>
      </c>
    </row>
    <row r="389" spans="1:6">
      <c r="A389">
        <v>78</v>
      </c>
      <c r="B389">
        <v>388</v>
      </c>
      <c r="C389">
        <v>1369607</v>
      </c>
      <c r="D389">
        <v>30594</v>
      </c>
      <c r="E389">
        <v>25825</v>
      </c>
      <c r="F389">
        <f t="shared" si="6"/>
        <v>2843361.19895833</v>
      </c>
    </row>
    <row r="390" spans="1:6">
      <c r="A390">
        <v>78</v>
      </c>
      <c r="B390">
        <v>389</v>
      </c>
      <c r="C390">
        <v>1369607</v>
      </c>
      <c r="D390">
        <v>30594</v>
      </c>
      <c r="E390">
        <v>25825</v>
      </c>
      <c r="F390">
        <f t="shared" si="6"/>
        <v>2843361.19895833</v>
      </c>
    </row>
    <row r="391" spans="1:6">
      <c r="A391">
        <v>78</v>
      </c>
      <c r="B391">
        <v>390</v>
      </c>
      <c r="C391">
        <v>1712008</v>
      </c>
      <c r="D391">
        <v>25495</v>
      </c>
      <c r="E391">
        <v>32281</v>
      </c>
      <c r="F391">
        <f t="shared" si="6"/>
        <v>4014730.09366667</v>
      </c>
    </row>
    <row r="392" spans="1:6">
      <c r="A392">
        <v>79</v>
      </c>
      <c r="B392">
        <v>391</v>
      </c>
      <c r="C392">
        <v>2072787</v>
      </c>
      <c r="D392">
        <v>25720</v>
      </c>
      <c r="E392">
        <v>38934</v>
      </c>
      <c r="F392">
        <f t="shared" si="6"/>
        <v>5435365.71075</v>
      </c>
    </row>
    <row r="393" spans="1:6">
      <c r="A393">
        <v>79</v>
      </c>
      <c r="B393">
        <v>392</v>
      </c>
      <c r="C393">
        <v>1727323</v>
      </c>
      <c r="D393">
        <v>25720</v>
      </c>
      <c r="E393">
        <v>32445</v>
      </c>
      <c r="F393">
        <f t="shared" si="6"/>
        <v>4062447.780625</v>
      </c>
    </row>
    <row r="394" spans="1:6">
      <c r="A394">
        <v>79</v>
      </c>
      <c r="B394">
        <v>393</v>
      </c>
      <c r="C394">
        <v>1381858</v>
      </c>
      <c r="D394">
        <v>30864</v>
      </c>
      <c r="E394">
        <v>25956</v>
      </c>
      <c r="F394">
        <f t="shared" si="6"/>
        <v>2876337.427</v>
      </c>
    </row>
    <row r="395" spans="1:6">
      <c r="A395">
        <v>79</v>
      </c>
      <c r="B395">
        <v>394</v>
      </c>
      <c r="C395">
        <v>1381858</v>
      </c>
      <c r="D395">
        <v>30864</v>
      </c>
      <c r="E395">
        <v>25956</v>
      </c>
      <c r="F395">
        <f t="shared" si="6"/>
        <v>2876337.427</v>
      </c>
    </row>
    <row r="396" spans="1:6">
      <c r="A396">
        <v>79</v>
      </c>
      <c r="B396">
        <v>395</v>
      </c>
      <c r="C396">
        <v>1381858</v>
      </c>
      <c r="D396">
        <v>30864</v>
      </c>
      <c r="E396">
        <v>25956</v>
      </c>
      <c r="F396">
        <f t="shared" si="6"/>
        <v>2876337.427</v>
      </c>
    </row>
    <row r="397" spans="1:6">
      <c r="A397">
        <v>80</v>
      </c>
      <c r="B397">
        <v>396</v>
      </c>
      <c r="C397">
        <v>2111589</v>
      </c>
      <c r="D397">
        <v>26117</v>
      </c>
      <c r="E397">
        <v>39329</v>
      </c>
      <c r="F397">
        <f t="shared" si="6"/>
        <v>5571867.490875</v>
      </c>
    </row>
    <row r="398" spans="1:6">
      <c r="A398">
        <v>80</v>
      </c>
      <c r="B398">
        <v>397</v>
      </c>
      <c r="C398">
        <v>1407726</v>
      </c>
      <c r="D398">
        <v>31340</v>
      </c>
      <c r="E398">
        <v>26219</v>
      </c>
      <c r="F398">
        <f t="shared" si="6"/>
        <v>2945607.99975</v>
      </c>
    </row>
    <row r="399" spans="1:6">
      <c r="A399">
        <v>80</v>
      </c>
      <c r="B399">
        <v>398</v>
      </c>
      <c r="C399">
        <v>1759658</v>
      </c>
      <c r="D399">
        <v>26117</v>
      </c>
      <c r="E399">
        <v>32774</v>
      </c>
      <c r="F399">
        <f t="shared" si="6"/>
        <v>4162617.63716667</v>
      </c>
    </row>
    <row r="400" spans="1:6">
      <c r="A400">
        <v>80</v>
      </c>
      <c r="B400">
        <v>399</v>
      </c>
      <c r="C400">
        <v>1759658</v>
      </c>
      <c r="D400">
        <v>26117</v>
      </c>
      <c r="E400">
        <v>32774</v>
      </c>
      <c r="F400">
        <f t="shared" si="6"/>
        <v>4162617.63716667</v>
      </c>
    </row>
    <row r="401" spans="1:6">
      <c r="A401">
        <v>80</v>
      </c>
      <c r="B401">
        <v>400</v>
      </c>
      <c r="C401">
        <v>1759658</v>
      </c>
      <c r="D401">
        <v>26117</v>
      </c>
      <c r="E401">
        <v>32774</v>
      </c>
      <c r="F401">
        <f t="shared" si="6"/>
        <v>4162617.63716667</v>
      </c>
    </row>
    <row r="402" spans="1:6">
      <c r="A402">
        <v>81</v>
      </c>
      <c r="B402">
        <v>401</v>
      </c>
      <c r="C402">
        <v>2125711</v>
      </c>
      <c r="D402">
        <v>26332</v>
      </c>
      <c r="E402">
        <v>39527</v>
      </c>
      <c r="F402">
        <f t="shared" si="6"/>
        <v>5626668.44570833</v>
      </c>
    </row>
    <row r="403" spans="1:6">
      <c r="A403">
        <v>81</v>
      </c>
      <c r="B403">
        <v>402</v>
      </c>
      <c r="C403">
        <v>1417140</v>
      </c>
      <c r="D403">
        <v>31598</v>
      </c>
      <c r="E403">
        <v>26351</v>
      </c>
      <c r="F403">
        <f t="shared" si="6"/>
        <v>2973100.6725</v>
      </c>
    </row>
    <row r="404" spans="1:6">
      <c r="A404">
        <v>81</v>
      </c>
      <c r="B404">
        <v>403</v>
      </c>
      <c r="C404">
        <v>1417140</v>
      </c>
      <c r="D404">
        <v>31598</v>
      </c>
      <c r="E404">
        <v>26351</v>
      </c>
      <c r="F404">
        <f t="shared" si="6"/>
        <v>2973100.6725</v>
      </c>
    </row>
    <row r="405" spans="1:6">
      <c r="A405">
        <v>81</v>
      </c>
      <c r="B405">
        <v>404</v>
      </c>
      <c r="C405">
        <v>1771426</v>
      </c>
      <c r="D405">
        <v>26332</v>
      </c>
      <c r="E405">
        <v>32939</v>
      </c>
      <c r="F405">
        <f t="shared" si="6"/>
        <v>4202634.37558333</v>
      </c>
    </row>
    <row r="406" spans="1:6">
      <c r="A406">
        <v>81</v>
      </c>
      <c r="B406">
        <v>405</v>
      </c>
      <c r="C406">
        <v>1417140</v>
      </c>
      <c r="D406">
        <v>31598</v>
      </c>
      <c r="E406">
        <v>26351</v>
      </c>
      <c r="F406">
        <f t="shared" si="6"/>
        <v>2973100.6725</v>
      </c>
    </row>
    <row r="407" spans="1:6">
      <c r="A407">
        <v>82</v>
      </c>
      <c r="B407">
        <v>406</v>
      </c>
      <c r="C407">
        <v>2183850</v>
      </c>
      <c r="D407">
        <v>26873</v>
      </c>
      <c r="E407">
        <v>39924</v>
      </c>
      <c r="F407">
        <f t="shared" si="6"/>
        <v>5816684.475</v>
      </c>
    </row>
    <row r="408" spans="1:6">
      <c r="A408">
        <v>82</v>
      </c>
      <c r="B408">
        <v>407</v>
      </c>
      <c r="C408">
        <v>1819875</v>
      </c>
      <c r="D408">
        <v>26873</v>
      </c>
      <c r="E408">
        <v>33270</v>
      </c>
      <c r="F408">
        <f t="shared" si="6"/>
        <v>4342676.71875</v>
      </c>
    </row>
    <row r="409" spans="1:6">
      <c r="A409">
        <v>82</v>
      </c>
      <c r="B409">
        <v>408</v>
      </c>
      <c r="C409">
        <v>1455900</v>
      </c>
      <c r="D409">
        <v>32248</v>
      </c>
      <c r="E409">
        <v>26616</v>
      </c>
      <c r="F409">
        <f t="shared" si="6"/>
        <v>3070493.1</v>
      </c>
    </row>
    <row r="410" spans="1:6">
      <c r="A410">
        <v>82</v>
      </c>
      <c r="B410">
        <v>409</v>
      </c>
      <c r="C410">
        <v>1455900</v>
      </c>
      <c r="D410">
        <v>32248</v>
      </c>
      <c r="E410">
        <v>26616</v>
      </c>
      <c r="F410">
        <f t="shared" si="6"/>
        <v>3070493.1</v>
      </c>
    </row>
    <row r="411" spans="1:6">
      <c r="A411">
        <v>82</v>
      </c>
      <c r="B411">
        <v>410</v>
      </c>
      <c r="C411">
        <v>1455900</v>
      </c>
      <c r="D411">
        <v>32248</v>
      </c>
      <c r="E411">
        <v>26616</v>
      </c>
      <c r="F411">
        <f t="shared" si="6"/>
        <v>3070493.1</v>
      </c>
    </row>
    <row r="412" spans="1:6">
      <c r="A412">
        <v>83</v>
      </c>
      <c r="B412">
        <v>411</v>
      </c>
      <c r="C412">
        <v>2202717</v>
      </c>
      <c r="D412">
        <v>27101</v>
      </c>
      <c r="E412">
        <v>40124</v>
      </c>
      <c r="F412">
        <f t="shared" si="6"/>
        <v>5885292.7045</v>
      </c>
    </row>
    <row r="413" spans="1:6">
      <c r="A413">
        <v>83</v>
      </c>
      <c r="B413">
        <v>412</v>
      </c>
      <c r="C413">
        <v>1468478</v>
      </c>
      <c r="D413">
        <v>32521</v>
      </c>
      <c r="E413">
        <v>26749</v>
      </c>
      <c r="F413">
        <f t="shared" si="6"/>
        <v>3105157.91758333</v>
      </c>
    </row>
    <row r="414" spans="1:6">
      <c r="A414">
        <v>83</v>
      </c>
      <c r="B414">
        <v>413</v>
      </c>
      <c r="C414">
        <v>1468478</v>
      </c>
      <c r="D414">
        <v>32521</v>
      </c>
      <c r="E414">
        <v>26749</v>
      </c>
      <c r="F414">
        <f t="shared" si="6"/>
        <v>3105157.91758333</v>
      </c>
    </row>
    <row r="415" spans="1:6">
      <c r="A415">
        <v>83</v>
      </c>
      <c r="B415">
        <v>414</v>
      </c>
      <c r="C415">
        <v>1835597</v>
      </c>
      <c r="D415">
        <v>27101</v>
      </c>
      <c r="E415">
        <v>33436</v>
      </c>
      <c r="F415">
        <f t="shared" si="6"/>
        <v>4392889.55383333</v>
      </c>
    </row>
    <row r="416" spans="1:6">
      <c r="A416">
        <v>83</v>
      </c>
      <c r="B416">
        <v>415</v>
      </c>
      <c r="C416">
        <v>1468478</v>
      </c>
      <c r="D416">
        <v>32521</v>
      </c>
      <c r="E416">
        <v>26749</v>
      </c>
      <c r="F416">
        <f t="shared" si="6"/>
        <v>3105157.91758333</v>
      </c>
    </row>
    <row r="417" spans="1:6">
      <c r="A417">
        <v>84</v>
      </c>
      <c r="B417">
        <v>416</v>
      </c>
      <c r="C417">
        <v>2222466</v>
      </c>
      <c r="D417">
        <v>27339</v>
      </c>
      <c r="E417">
        <v>40322</v>
      </c>
      <c r="F417">
        <f t="shared" si="6"/>
        <v>5956394.0855</v>
      </c>
    </row>
    <row r="418" spans="1:6">
      <c r="A418">
        <v>84</v>
      </c>
      <c r="B418">
        <v>417</v>
      </c>
      <c r="C418">
        <v>1481644</v>
      </c>
      <c r="D418">
        <v>32806</v>
      </c>
      <c r="E418">
        <v>26881</v>
      </c>
      <c r="F418">
        <f t="shared" si="6"/>
        <v>3141147.01516667</v>
      </c>
    </row>
    <row r="419" spans="1:6">
      <c r="A419">
        <v>84</v>
      </c>
      <c r="B419">
        <v>418</v>
      </c>
      <c r="C419">
        <v>1481644</v>
      </c>
      <c r="D419">
        <v>32806</v>
      </c>
      <c r="E419">
        <v>26881</v>
      </c>
      <c r="F419">
        <f t="shared" si="6"/>
        <v>3141147.01516667</v>
      </c>
    </row>
    <row r="420" spans="1:6">
      <c r="A420">
        <v>84</v>
      </c>
      <c r="B420">
        <v>419</v>
      </c>
      <c r="C420">
        <v>1852055</v>
      </c>
      <c r="D420">
        <v>27339</v>
      </c>
      <c r="E420">
        <v>33601</v>
      </c>
      <c r="F420">
        <f t="shared" si="6"/>
        <v>4445009.16895833</v>
      </c>
    </row>
    <row r="421" spans="1:6">
      <c r="A421">
        <v>84</v>
      </c>
      <c r="B421">
        <v>420</v>
      </c>
      <c r="C421">
        <v>1481644</v>
      </c>
      <c r="D421">
        <v>32806</v>
      </c>
      <c r="E421">
        <v>26881</v>
      </c>
      <c r="F421">
        <f t="shared" si="6"/>
        <v>3141147.01516667</v>
      </c>
    </row>
    <row r="422" spans="1:6">
      <c r="A422">
        <v>85</v>
      </c>
      <c r="B422">
        <v>421</v>
      </c>
      <c r="C422">
        <v>2266920</v>
      </c>
      <c r="D422">
        <v>27789</v>
      </c>
      <c r="E422">
        <v>40722</v>
      </c>
      <c r="F422">
        <f t="shared" si="6"/>
        <v>6113316.51</v>
      </c>
    </row>
    <row r="423" spans="1:6">
      <c r="A423">
        <v>85</v>
      </c>
      <c r="B423">
        <v>422</v>
      </c>
      <c r="C423">
        <v>1511280</v>
      </c>
      <c r="D423">
        <v>33347</v>
      </c>
      <c r="E423">
        <v>27148</v>
      </c>
      <c r="F423">
        <f t="shared" si="6"/>
        <v>3220789.56</v>
      </c>
    </row>
    <row r="424" spans="1:6">
      <c r="A424">
        <v>85</v>
      </c>
      <c r="B424">
        <v>423</v>
      </c>
      <c r="C424">
        <v>1511280</v>
      </c>
      <c r="D424">
        <v>33347</v>
      </c>
      <c r="E424">
        <v>27148</v>
      </c>
      <c r="F424">
        <f t="shared" si="6"/>
        <v>3220789.56</v>
      </c>
    </row>
    <row r="425" spans="1:6">
      <c r="A425">
        <v>85</v>
      </c>
      <c r="B425">
        <v>424</v>
      </c>
      <c r="C425">
        <v>1889100</v>
      </c>
      <c r="D425">
        <v>27789</v>
      </c>
      <c r="E425">
        <v>33935</v>
      </c>
      <c r="F425">
        <f t="shared" si="6"/>
        <v>4560208.6875</v>
      </c>
    </row>
    <row r="426" spans="1:6">
      <c r="A426">
        <v>85</v>
      </c>
      <c r="B426">
        <v>425</v>
      </c>
      <c r="C426">
        <v>1889100</v>
      </c>
      <c r="D426">
        <v>27789</v>
      </c>
      <c r="E426">
        <v>33935</v>
      </c>
      <c r="F426">
        <f t="shared" si="6"/>
        <v>4560208.6875</v>
      </c>
    </row>
    <row r="427" spans="1:6">
      <c r="A427">
        <v>86</v>
      </c>
      <c r="B427">
        <v>426</v>
      </c>
      <c r="C427">
        <v>2284482</v>
      </c>
      <c r="D427">
        <v>28019</v>
      </c>
      <c r="E427">
        <v>40922</v>
      </c>
      <c r="F427">
        <f t="shared" si="6"/>
        <v>6179714.1835</v>
      </c>
    </row>
    <row r="428" spans="1:6">
      <c r="A428">
        <v>86</v>
      </c>
      <c r="B428">
        <v>427</v>
      </c>
      <c r="C428">
        <v>1522988</v>
      </c>
      <c r="D428">
        <v>33622</v>
      </c>
      <c r="E428">
        <v>27281</v>
      </c>
      <c r="F428">
        <f t="shared" si="6"/>
        <v>3254181.15116667</v>
      </c>
    </row>
    <row r="429" spans="1:6">
      <c r="A429">
        <v>86</v>
      </c>
      <c r="B429">
        <v>428</v>
      </c>
      <c r="C429">
        <v>1903735</v>
      </c>
      <c r="D429">
        <v>28019</v>
      </c>
      <c r="E429">
        <v>34101</v>
      </c>
      <c r="F429">
        <f t="shared" si="6"/>
        <v>4608704.468125</v>
      </c>
    </row>
    <row r="430" spans="1:6">
      <c r="A430">
        <v>86</v>
      </c>
      <c r="B430">
        <v>429</v>
      </c>
      <c r="C430">
        <v>1522988</v>
      </c>
      <c r="D430">
        <v>33622</v>
      </c>
      <c r="E430">
        <v>27281</v>
      </c>
      <c r="F430">
        <f t="shared" si="6"/>
        <v>3254181.15116667</v>
      </c>
    </row>
    <row r="431" spans="1:6">
      <c r="A431">
        <v>86</v>
      </c>
      <c r="B431">
        <v>430</v>
      </c>
      <c r="C431">
        <v>1522988</v>
      </c>
      <c r="D431">
        <v>33622</v>
      </c>
      <c r="E431">
        <v>27281</v>
      </c>
      <c r="F431">
        <f t="shared" si="6"/>
        <v>3254181.15116667</v>
      </c>
    </row>
    <row r="432" spans="1:6">
      <c r="A432">
        <v>87</v>
      </c>
      <c r="B432">
        <v>431</v>
      </c>
      <c r="C432">
        <v>2304153</v>
      </c>
      <c r="D432">
        <v>28256</v>
      </c>
      <c r="E432">
        <v>41123</v>
      </c>
      <c r="F432">
        <f t="shared" si="6"/>
        <v>6252223.159125</v>
      </c>
    </row>
    <row r="433" spans="1:6">
      <c r="A433">
        <v>87</v>
      </c>
      <c r="B433">
        <v>432</v>
      </c>
      <c r="C433">
        <v>1920127</v>
      </c>
      <c r="D433">
        <v>28256</v>
      </c>
      <c r="E433">
        <v>34269</v>
      </c>
      <c r="F433">
        <f t="shared" si="6"/>
        <v>4661828.340125</v>
      </c>
    </row>
    <row r="434" spans="1:6">
      <c r="A434">
        <v>87</v>
      </c>
      <c r="B434">
        <v>433</v>
      </c>
      <c r="C434">
        <v>1536102</v>
      </c>
      <c r="D434">
        <v>33907</v>
      </c>
      <c r="E434">
        <v>27415</v>
      </c>
      <c r="F434">
        <f t="shared" si="6"/>
        <v>3290778.51375</v>
      </c>
    </row>
    <row r="435" spans="1:6">
      <c r="A435">
        <v>87</v>
      </c>
      <c r="B435">
        <v>434</v>
      </c>
      <c r="C435">
        <v>1536102</v>
      </c>
      <c r="D435">
        <v>33907</v>
      </c>
      <c r="E435">
        <v>27415</v>
      </c>
      <c r="F435">
        <f t="shared" si="6"/>
        <v>3290778.51375</v>
      </c>
    </row>
    <row r="436" spans="1:6">
      <c r="A436">
        <v>87</v>
      </c>
      <c r="B436">
        <v>435</v>
      </c>
      <c r="C436">
        <v>1536102</v>
      </c>
      <c r="D436">
        <v>33907</v>
      </c>
      <c r="E436">
        <v>27415</v>
      </c>
      <c r="F436">
        <f t="shared" si="6"/>
        <v>3290778.51375</v>
      </c>
    </row>
    <row r="437" spans="1:6">
      <c r="A437">
        <v>88</v>
      </c>
      <c r="B437">
        <v>436</v>
      </c>
      <c r="C437">
        <v>2324608</v>
      </c>
      <c r="D437">
        <v>28499</v>
      </c>
      <c r="E437">
        <v>41324</v>
      </c>
      <c r="F437">
        <f t="shared" si="6"/>
        <v>6327195.54133333</v>
      </c>
    </row>
    <row r="438" spans="1:6">
      <c r="A438">
        <v>88</v>
      </c>
      <c r="B438">
        <v>437</v>
      </c>
      <c r="C438">
        <v>1549739</v>
      </c>
      <c r="D438">
        <v>34199</v>
      </c>
      <c r="E438">
        <v>27549</v>
      </c>
      <c r="F438">
        <f t="shared" si="6"/>
        <v>3328645.654625</v>
      </c>
    </row>
    <row r="439" spans="1:6">
      <c r="A439">
        <v>88</v>
      </c>
      <c r="B439">
        <v>438</v>
      </c>
      <c r="C439">
        <v>1549739</v>
      </c>
      <c r="D439">
        <v>34199</v>
      </c>
      <c r="E439">
        <v>27549</v>
      </c>
      <c r="F439">
        <f t="shared" si="6"/>
        <v>3328645.654625</v>
      </c>
    </row>
    <row r="440" spans="1:6">
      <c r="A440">
        <v>88</v>
      </c>
      <c r="B440">
        <v>439</v>
      </c>
      <c r="C440">
        <v>1549739</v>
      </c>
      <c r="D440">
        <v>34199</v>
      </c>
      <c r="E440">
        <v>27549</v>
      </c>
      <c r="F440">
        <f t="shared" si="6"/>
        <v>3328645.654625</v>
      </c>
    </row>
    <row r="441" spans="1:6">
      <c r="A441">
        <v>88</v>
      </c>
      <c r="B441">
        <v>440</v>
      </c>
      <c r="C441">
        <v>1937174</v>
      </c>
      <c r="D441">
        <v>28499</v>
      </c>
      <c r="E441">
        <v>34436</v>
      </c>
      <c r="F441">
        <f t="shared" si="6"/>
        <v>4716695.82766667</v>
      </c>
    </row>
    <row r="442" spans="1:6">
      <c r="A442">
        <v>89</v>
      </c>
      <c r="B442">
        <v>441</v>
      </c>
      <c r="C442">
        <v>2369523</v>
      </c>
      <c r="D442">
        <v>28966</v>
      </c>
      <c r="E442">
        <v>41727</v>
      </c>
      <c r="F442">
        <f t="shared" si="6"/>
        <v>6489234.925875</v>
      </c>
    </row>
    <row r="443" spans="1:6">
      <c r="A443">
        <v>89</v>
      </c>
      <c r="B443">
        <v>442</v>
      </c>
      <c r="C443">
        <v>1579682</v>
      </c>
      <c r="D443">
        <v>34759</v>
      </c>
      <c r="E443">
        <v>27818</v>
      </c>
      <c r="F443">
        <f t="shared" si="6"/>
        <v>3410665.07816667</v>
      </c>
    </row>
    <row r="444" spans="1:6">
      <c r="A444">
        <v>89</v>
      </c>
      <c r="B444">
        <v>443</v>
      </c>
      <c r="C444">
        <v>1579682</v>
      </c>
      <c r="D444">
        <v>34759</v>
      </c>
      <c r="E444">
        <v>27818</v>
      </c>
      <c r="F444">
        <f t="shared" si="6"/>
        <v>3410665.07816667</v>
      </c>
    </row>
    <row r="445" spans="1:6">
      <c r="A445">
        <v>89</v>
      </c>
      <c r="B445">
        <v>444</v>
      </c>
      <c r="C445">
        <v>1579682</v>
      </c>
      <c r="D445">
        <v>34759</v>
      </c>
      <c r="E445">
        <v>27818</v>
      </c>
      <c r="F445">
        <f t="shared" si="6"/>
        <v>3410665.07816667</v>
      </c>
    </row>
    <row r="446" spans="1:6">
      <c r="A446">
        <v>89</v>
      </c>
      <c r="B446">
        <v>445</v>
      </c>
      <c r="C446">
        <v>1974602</v>
      </c>
      <c r="D446">
        <v>28966</v>
      </c>
      <c r="E446">
        <v>34773</v>
      </c>
      <c r="F446">
        <f t="shared" si="6"/>
        <v>4835553.47275</v>
      </c>
    </row>
    <row r="447" spans="1:6">
      <c r="A447">
        <v>90</v>
      </c>
      <c r="B447">
        <v>446</v>
      </c>
      <c r="C447">
        <v>2417174</v>
      </c>
      <c r="D447">
        <v>29407</v>
      </c>
      <c r="E447">
        <v>41928</v>
      </c>
      <c r="F447">
        <f t="shared" si="6"/>
        <v>6639976.978</v>
      </c>
    </row>
    <row r="448" spans="1:6">
      <c r="A448">
        <v>90</v>
      </c>
      <c r="B448">
        <v>447</v>
      </c>
      <c r="C448">
        <v>1611449</v>
      </c>
      <c r="D448">
        <v>35288</v>
      </c>
      <c r="E448">
        <v>27952</v>
      </c>
      <c r="F448">
        <f t="shared" si="6"/>
        <v>3488249.93533333</v>
      </c>
    </row>
    <row r="449" spans="1:6">
      <c r="A449">
        <v>90</v>
      </c>
      <c r="B449">
        <v>448</v>
      </c>
      <c r="C449">
        <v>1611449</v>
      </c>
      <c r="D449">
        <v>35288</v>
      </c>
      <c r="E449">
        <v>27952</v>
      </c>
      <c r="F449">
        <f t="shared" si="6"/>
        <v>3488249.93533333</v>
      </c>
    </row>
    <row r="450" spans="1:6">
      <c r="A450">
        <v>90</v>
      </c>
      <c r="B450">
        <v>449</v>
      </c>
      <c r="C450">
        <v>2014312</v>
      </c>
      <c r="D450">
        <v>29407</v>
      </c>
      <c r="E450">
        <v>34940</v>
      </c>
      <c r="F450">
        <f t="shared" ref="F450:F501" si="7">C450/(1-MIN(0.75,E450/(24000+E450)))</f>
        <v>4946814.55333333</v>
      </c>
    </row>
    <row r="451" spans="1:6">
      <c r="A451">
        <v>90</v>
      </c>
      <c r="B451">
        <v>450</v>
      </c>
      <c r="C451">
        <v>2014312</v>
      </c>
      <c r="D451">
        <v>29407</v>
      </c>
      <c r="E451">
        <v>34940</v>
      </c>
      <c r="F451">
        <f t="shared" si="7"/>
        <v>4946814.55333333</v>
      </c>
    </row>
    <row r="452" spans="1:6">
      <c r="A452">
        <v>91</v>
      </c>
      <c r="B452">
        <v>451</v>
      </c>
      <c r="C452">
        <v>2437024</v>
      </c>
      <c r="D452">
        <v>29653</v>
      </c>
      <c r="E452">
        <v>42131</v>
      </c>
      <c r="F452">
        <f t="shared" si="7"/>
        <v>6715118.08933333</v>
      </c>
    </row>
    <row r="453" spans="1:6">
      <c r="A453">
        <v>91</v>
      </c>
      <c r="B453">
        <v>452</v>
      </c>
      <c r="C453">
        <v>2030853</v>
      </c>
      <c r="D453">
        <v>29653</v>
      </c>
      <c r="E453">
        <v>35109</v>
      </c>
      <c r="F453">
        <f t="shared" si="7"/>
        <v>5001737.082375</v>
      </c>
    </row>
    <row r="454" spans="1:6">
      <c r="A454">
        <v>91</v>
      </c>
      <c r="B454">
        <v>453</v>
      </c>
      <c r="C454">
        <v>1624682</v>
      </c>
      <c r="D454">
        <v>35583</v>
      </c>
      <c r="E454">
        <v>28087</v>
      </c>
      <c r="F454">
        <f t="shared" si="7"/>
        <v>3526033.80558333</v>
      </c>
    </row>
    <row r="455" spans="1:6">
      <c r="A455">
        <v>91</v>
      </c>
      <c r="B455">
        <v>454</v>
      </c>
      <c r="C455">
        <v>1624682</v>
      </c>
      <c r="D455">
        <v>35583</v>
      </c>
      <c r="E455">
        <v>28087</v>
      </c>
      <c r="F455">
        <f t="shared" si="7"/>
        <v>3526033.80558333</v>
      </c>
    </row>
    <row r="456" spans="1:6">
      <c r="A456">
        <v>91</v>
      </c>
      <c r="B456">
        <v>455</v>
      </c>
      <c r="C456">
        <v>1624682</v>
      </c>
      <c r="D456">
        <v>35583</v>
      </c>
      <c r="E456">
        <v>28087</v>
      </c>
      <c r="F456">
        <f t="shared" si="7"/>
        <v>3526033.80558333</v>
      </c>
    </row>
    <row r="457" spans="1:6">
      <c r="A457">
        <v>92</v>
      </c>
      <c r="B457">
        <v>456</v>
      </c>
      <c r="C457">
        <v>2452155</v>
      </c>
      <c r="D457">
        <v>29838</v>
      </c>
      <c r="E457">
        <v>42333</v>
      </c>
      <c r="F457">
        <f t="shared" si="7"/>
        <v>6777449.900625</v>
      </c>
    </row>
    <row r="458" spans="1:6">
      <c r="A458">
        <v>92</v>
      </c>
      <c r="B458">
        <v>457</v>
      </c>
      <c r="C458">
        <v>1634770</v>
      </c>
      <c r="D458">
        <v>35806</v>
      </c>
      <c r="E458">
        <v>28222</v>
      </c>
      <c r="F458">
        <f t="shared" si="7"/>
        <v>3557123.28916667</v>
      </c>
    </row>
    <row r="459" spans="1:6">
      <c r="A459">
        <v>92</v>
      </c>
      <c r="B459">
        <v>458</v>
      </c>
      <c r="C459">
        <v>2043462</v>
      </c>
      <c r="D459">
        <v>29838</v>
      </c>
      <c r="E459">
        <v>35278</v>
      </c>
      <c r="F459">
        <f t="shared" si="7"/>
        <v>5047180.8515</v>
      </c>
    </row>
    <row r="460" spans="1:6">
      <c r="A460">
        <v>92</v>
      </c>
      <c r="B460">
        <v>459</v>
      </c>
      <c r="C460">
        <v>1634770</v>
      </c>
      <c r="D460">
        <v>35806</v>
      </c>
      <c r="E460">
        <v>28222</v>
      </c>
      <c r="F460">
        <f t="shared" si="7"/>
        <v>3557123.28916667</v>
      </c>
    </row>
    <row r="461" spans="1:6">
      <c r="A461">
        <v>92</v>
      </c>
      <c r="B461">
        <v>460</v>
      </c>
      <c r="C461">
        <v>1634770</v>
      </c>
      <c r="D461">
        <v>35806</v>
      </c>
      <c r="E461">
        <v>28222</v>
      </c>
      <c r="F461">
        <f t="shared" si="7"/>
        <v>3557123.28916667</v>
      </c>
    </row>
    <row r="462" spans="1:6">
      <c r="A462">
        <v>93</v>
      </c>
      <c r="B462">
        <v>461</v>
      </c>
      <c r="C462">
        <v>2495233</v>
      </c>
      <c r="D462">
        <v>30303</v>
      </c>
      <c r="E462">
        <v>42740</v>
      </c>
      <c r="F462">
        <f t="shared" si="7"/>
        <v>6938827.10083333</v>
      </c>
    </row>
    <row r="463" spans="1:6">
      <c r="A463">
        <v>93</v>
      </c>
      <c r="B463">
        <v>462</v>
      </c>
      <c r="C463">
        <v>1663489</v>
      </c>
      <c r="D463">
        <v>36363</v>
      </c>
      <c r="E463">
        <v>28493</v>
      </c>
      <c r="F463">
        <f t="shared" si="7"/>
        <v>3638397.00320833</v>
      </c>
    </row>
    <row r="464" spans="1:6">
      <c r="A464">
        <v>93</v>
      </c>
      <c r="B464">
        <v>463</v>
      </c>
      <c r="C464">
        <v>1663489</v>
      </c>
      <c r="D464">
        <v>36363</v>
      </c>
      <c r="E464">
        <v>28493</v>
      </c>
      <c r="F464">
        <f t="shared" si="7"/>
        <v>3638397.00320833</v>
      </c>
    </row>
    <row r="465" spans="1:6">
      <c r="A465">
        <v>93</v>
      </c>
      <c r="B465">
        <v>464</v>
      </c>
      <c r="C465">
        <v>2079361</v>
      </c>
      <c r="D465">
        <v>30303</v>
      </c>
      <c r="E465">
        <v>35616</v>
      </c>
      <c r="F465">
        <f t="shared" si="7"/>
        <v>5165132.724</v>
      </c>
    </row>
    <row r="466" spans="1:6">
      <c r="A466">
        <v>93</v>
      </c>
      <c r="B466">
        <v>465</v>
      </c>
      <c r="C466">
        <v>1663489</v>
      </c>
      <c r="D466">
        <v>36363</v>
      </c>
      <c r="E466">
        <v>28493</v>
      </c>
      <c r="F466">
        <f t="shared" si="7"/>
        <v>3638397.00320833</v>
      </c>
    </row>
    <row r="467" spans="1:6">
      <c r="A467">
        <v>94</v>
      </c>
      <c r="B467">
        <v>466</v>
      </c>
      <c r="C467">
        <v>2517976</v>
      </c>
      <c r="D467">
        <v>30567</v>
      </c>
      <c r="E467">
        <v>42944</v>
      </c>
      <c r="F467">
        <f t="shared" si="7"/>
        <v>7023474.38933333</v>
      </c>
    </row>
    <row r="468" spans="1:6">
      <c r="A468">
        <v>94</v>
      </c>
      <c r="B468">
        <v>467</v>
      </c>
      <c r="C468">
        <v>1678651</v>
      </c>
      <c r="D468">
        <v>36681</v>
      </c>
      <c r="E468">
        <v>28629</v>
      </c>
      <c r="F468">
        <f t="shared" si="7"/>
        <v>3681071.811625</v>
      </c>
    </row>
    <row r="469" spans="1:6">
      <c r="A469">
        <v>94</v>
      </c>
      <c r="B469">
        <v>468</v>
      </c>
      <c r="C469">
        <v>1678651</v>
      </c>
      <c r="D469">
        <v>36681</v>
      </c>
      <c r="E469">
        <v>28629</v>
      </c>
      <c r="F469">
        <f t="shared" si="7"/>
        <v>3681071.811625</v>
      </c>
    </row>
    <row r="470" spans="1:6">
      <c r="A470">
        <v>94</v>
      </c>
      <c r="B470">
        <v>469</v>
      </c>
      <c r="C470">
        <v>1678651</v>
      </c>
      <c r="D470">
        <v>36681</v>
      </c>
      <c r="E470">
        <v>28629</v>
      </c>
      <c r="F470">
        <f t="shared" si="7"/>
        <v>3681071.811625</v>
      </c>
    </row>
    <row r="471" spans="1:6">
      <c r="A471">
        <v>94</v>
      </c>
      <c r="B471">
        <v>470</v>
      </c>
      <c r="C471">
        <v>2098314</v>
      </c>
      <c r="D471">
        <v>30567</v>
      </c>
      <c r="E471">
        <v>35786</v>
      </c>
      <c r="F471">
        <f t="shared" si="7"/>
        <v>5227075.0335</v>
      </c>
    </row>
    <row r="472" spans="1:6">
      <c r="A472">
        <v>95</v>
      </c>
      <c r="B472">
        <v>471</v>
      </c>
      <c r="C472">
        <v>2541395</v>
      </c>
      <c r="D472">
        <v>30836</v>
      </c>
      <c r="E472">
        <v>43148</v>
      </c>
      <c r="F472">
        <f t="shared" si="7"/>
        <v>7110399.64416667</v>
      </c>
    </row>
    <row r="473" spans="1:6">
      <c r="A473">
        <v>95</v>
      </c>
      <c r="B473">
        <v>472</v>
      </c>
      <c r="C473">
        <v>1694263</v>
      </c>
      <c r="D473">
        <v>37003</v>
      </c>
      <c r="E473">
        <v>28765</v>
      </c>
      <c r="F473">
        <f t="shared" si="7"/>
        <v>3724907.79979167</v>
      </c>
    </row>
    <row r="474" spans="1:6">
      <c r="A474">
        <v>95</v>
      </c>
      <c r="B474">
        <v>473</v>
      </c>
      <c r="C474">
        <v>1694263</v>
      </c>
      <c r="D474">
        <v>37003</v>
      </c>
      <c r="E474">
        <v>28765</v>
      </c>
      <c r="F474">
        <f t="shared" si="7"/>
        <v>3724907.79979167</v>
      </c>
    </row>
    <row r="475" spans="1:6">
      <c r="A475">
        <v>95</v>
      </c>
      <c r="B475">
        <v>474</v>
      </c>
      <c r="C475">
        <v>1694263</v>
      </c>
      <c r="D475">
        <v>37003</v>
      </c>
      <c r="E475">
        <v>28765</v>
      </c>
      <c r="F475">
        <f t="shared" si="7"/>
        <v>3724907.79979167</v>
      </c>
    </row>
    <row r="476" spans="1:6">
      <c r="A476">
        <v>95</v>
      </c>
      <c r="B476">
        <v>475</v>
      </c>
      <c r="C476">
        <v>2117829</v>
      </c>
      <c r="D476">
        <v>30836</v>
      </c>
      <c r="E476">
        <v>35956</v>
      </c>
      <c r="F476">
        <f t="shared" si="7"/>
        <v>5290689.8135</v>
      </c>
    </row>
    <row r="477" spans="1:6">
      <c r="A477">
        <v>96</v>
      </c>
      <c r="B477">
        <v>476</v>
      </c>
      <c r="C477">
        <v>2564024</v>
      </c>
      <c r="D477">
        <v>31098</v>
      </c>
      <c r="E477">
        <v>43352</v>
      </c>
      <c r="F477">
        <f t="shared" si="7"/>
        <v>7195506.01866667</v>
      </c>
    </row>
    <row r="478" spans="1:6">
      <c r="A478">
        <v>96</v>
      </c>
      <c r="B478">
        <v>477</v>
      </c>
      <c r="C478">
        <v>1709349</v>
      </c>
      <c r="D478">
        <v>37318</v>
      </c>
      <c r="E478">
        <v>28901</v>
      </c>
      <c r="F478">
        <f t="shared" si="7"/>
        <v>3767761.310375</v>
      </c>
    </row>
    <row r="479" spans="1:6">
      <c r="A479">
        <v>96</v>
      </c>
      <c r="B479">
        <v>478</v>
      </c>
      <c r="C479">
        <v>1709349</v>
      </c>
      <c r="D479">
        <v>37318</v>
      </c>
      <c r="E479">
        <v>28901</v>
      </c>
      <c r="F479">
        <f t="shared" si="7"/>
        <v>3767761.310375</v>
      </c>
    </row>
    <row r="480" spans="1:6">
      <c r="A480">
        <v>96</v>
      </c>
      <c r="B480">
        <v>479</v>
      </c>
      <c r="C480">
        <v>2136687</v>
      </c>
      <c r="D480">
        <v>31098</v>
      </c>
      <c r="E480">
        <v>36126</v>
      </c>
      <c r="F480">
        <f t="shared" si="7"/>
        <v>5352935.10675</v>
      </c>
    </row>
    <row r="481" spans="1:6">
      <c r="A481">
        <v>96</v>
      </c>
      <c r="B481">
        <v>480</v>
      </c>
      <c r="C481">
        <v>1709349</v>
      </c>
      <c r="D481">
        <v>37318</v>
      </c>
      <c r="E481">
        <v>28901</v>
      </c>
      <c r="F481">
        <f t="shared" si="7"/>
        <v>3767761.310375</v>
      </c>
    </row>
    <row r="482" spans="1:6">
      <c r="A482">
        <v>97</v>
      </c>
      <c r="B482">
        <v>481</v>
      </c>
      <c r="C482">
        <v>2586965</v>
      </c>
      <c r="D482">
        <v>31365</v>
      </c>
      <c r="E482">
        <v>43557</v>
      </c>
      <c r="F482">
        <f t="shared" si="7"/>
        <v>7281983.104375</v>
      </c>
    </row>
    <row r="483" spans="1:6">
      <c r="A483">
        <v>97</v>
      </c>
      <c r="B483">
        <v>482</v>
      </c>
      <c r="C483">
        <v>1724643</v>
      </c>
      <c r="D483">
        <v>37638</v>
      </c>
      <c r="E483">
        <v>29038</v>
      </c>
      <c r="F483">
        <f t="shared" si="7"/>
        <v>3811317.30975</v>
      </c>
    </row>
    <row r="484" spans="1:6">
      <c r="A484">
        <v>97</v>
      </c>
      <c r="B484">
        <v>483</v>
      </c>
      <c r="C484">
        <v>2155804</v>
      </c>
      <c r="D484">
        <v>31365</v>
      </c>
      <c r="E484">
        <v>36298</v>
      </c>
      <c r="F484">
        <f t="shared" si="7"/>
        <v>5416277.89966667</v>
      </c>
    </row>
    <row r="485" spans="1:6">
      <c r="A485">
        <v>97</v>
      </c>
      <c r="B485">
        <v>484</v>
      </c>
      <c r="C485">
        <v>1724643</v>
      </c>
      <c r="D485">
        <v>37638</v>
      </c>
      <c r="E485">
        <v>29038</v>
      </c>
      <c r="F485">
        <f t="shared" si="7"/>
        <v>3811317.30975</v>
      </c>
    </row>
    <row r="486" spans="1:6">
      <c r="A486">
        <v>97</v>
      </c>
      <c r="B486">
        <v>485</v>
      </c>
      <c r="C486">
        <v>1724643</v>
      </c>
      <c r="D486">
        <v>37638</v>
      </c>
      <c r="E486">
        <v>29038</v>
      </c>
      <c r="F486">
        <f t="shared" si="7"/>
        <v>3811317.30975</v>
      </c>
    </row>
    <row r="487" spans="1:6">
      <c r="A487">
        <v>98</v>
      </c>
      <c r="B487">
        <v>486</v>
      </c>
      <c r="C487">
        <v>2636273</v>
      </c>
      <c r="D487">
        <v>31871</v>
      </c>
      <c r="E487">
        <v>43967</v>
      </c>
      <c r="F487">
        <f t="shared" si="7"/>
        <v>7465815.29129167</v>
      </c>
    </row>
    <row r="488" spans="1:6">
      <c r="A488">
        <v>98</v>
      </c>
      <c r="B488">
        <v>487</v>
      </c>
      <c r="C488">
        <v>1757515</v>
      </c>
      <c r="D488">
        <v>38245</v>
      </c>
      <c r="E488">
        <v>29311</v>
      </c>
      <c r="F488">
        <f t="shared" si="7"/>
        <v>3903953.42354167</v>
      </c>
    </row>
    <row r="489" spans="1:6">
      <c r="A489">
        <v>98</v>
      </c>
      <c r="B489">
        <v>488</v>
      </c>
      <c r="C489">
        <v>1757515</v>
      </c>
      <c r="D489">
        <v>38245</v>
      </c>
      <c r="E489">
        <v>29311</v>
      </c>
      <c r="F489">
        <f t="shared" si="7"/>
        <v>3903953.42354167</v>
      </c>
    </row>
    <row r="490" spans="1:6">
      <c r="A490">
        <v>98</v>
      </c>
      <c r="B490">
        <v>489</v>
      </c>
      <c r="C490">
        <v>1757515</v>
      </c>
      <c r="D490">
        <v>38245</v>
      </c>
      <c r="E490">
        <v>29311</v>
      </c>
      <c r="F490">
        <f t="shared" si="7"/>
        <v>3903953.42354167</v>
      </c>
    </row>
    <row r="491" spans="1:6">
      <c r="A491">
        <v>98</v>
      </c>
      <c r="B491">
        <v>490</v>
      </c>
      <c r="C491">
        <v>2196894</v>
      </c>
      <c r="D491">
        <v>31871</v>
      </c>
      <c r="E491">
        <v>36639</v>
      </c>
      <c r="F491">
        <f t="shared" si="7"/>
        <v>5550727.30275</v>
      </c>
    </row>
    <row r="492" spans="1:6">
      <c r="A492">
        <v>99</v>
      </c>
      <c r="B492">
        <v>491</v>
      </c>
      <c r="C492">
        <v>2657191</v>
      </c>
      <c r="D492">
        <v>32133</v>
      </c>
      <c r="E492">
        <v>44174</v>
      </c>
      <c r="F492">
        <f t="shared" si="7"/>
        <v>7547972.46808333</v>
      </c>
    </row>
    <row r="493" spans="1:6">
      <c r="A493">
        <v>99</v>
      </c>
      <c r="B493">
        <v>492</v>
      </c>
      <c r="C493">
        <v>1771461</v>
      </c>
      <c r="D493">
        <v>38560</v>
      </c>
      <c r="E493">
        <v>29449</v>
      </c>
      <c r="F493">
        <f t="shared" si="7"/>
        <v>3945117.457875</v>
      </c>
    </row>
    <row r="494" spans="1:6">
      <c r="A494">
        <v>99</v>
      </c>
      <c r="B494">
        <v>493</v>
      </c>
      <c r="C494">
        <v>1771461</v>
      </c>
      <c r="D494">
        <v>38560</v>
      </c>
      <c r="E494">
        <v>29449</v>
      </c>
      <c r="F494">
        <f t="shared" si="7"/>
        <v>3945117.457875</v>
      </c>
    </row>
    <row r="495" spans="1:6">
      <c r="A495">
        <v>99</v>
      </c>
      <c r="B495">
        <v>494</v>
      </c>
      <c r="C495">
        <v>1771461</v>
      </c>
      <c r="D495">
        <v>38560</v>
      </c>
      <c r="E495">
        <v>29449</v>
      </c>
      <c r="F495">
        <f t="shared" si="7"/>
        <v>3945117.457875</v>
      </c>
    </row>
    <row r="496" spans="1:6">
      <c r="A496">
        <v>99</v>
      </c>
      <c r="B496">
        <v>495</v>
      </c>
      <c r="C496">
        <v>2214326</v>
      </c>
      <c r="D496">
        <v>32133</v>
      </c>
      <c r="E496">
        <v>36811</v>
      </c>
      <c r="F496">
        <f t="shared" si="7"/>
        <v>5610640.76608333</v>
      </c>
    </row>
    <row r="497" spans="1:6">
      <c r="A497">
        <v>100</v>
      </c>
      <c r="B497">
        <v>496</v>
      </c>
      <c r="C497">
        <v>2685426</v>
      </c>
      <c r="D497">
        <v>32431</v>
      </c>
      <c r="E497">
        <v>44379</v>
      </c>
      <c r="F497">
        <f t="shared" si="7"/>
        <v>7651114.35225</v>
      </c>
    </row>
    <row r="498" spans="1:6">
      <c r="A498">
        <v>100</v>
      </c>
      <c r="B498">
        <v>497</v>
      </c>
      <c r="C498">
        <v>1790284</v>
      </c>
      <c r="D498">
        <v>38918</v>
      </c>
      <c r="E498">
        <v>29586</v>
      </c>
      <c r="F498">
        <f t="shared" si="7"/>
        <v>3997256.601</v>
      </c>
    </row>
    <row r="499" spans="1:6">
      <c r="A499">
        <v>100</v>
      </c>
      <c r="B499">
        <v>498</v>
      </c>
      <c r="C499">
        <v>1790284</v>
      </c>
      <c r="D499">
        <v>38918</v>
      </c>
      <c r="E499">
        <v>29586</v>
      </c>
      <c r="F499">
        <f t="shared" si="7"/>
        <v>3997256.601</v>
      </c>
    </row>
    <row r="500" spans="1:6">
      <c r="A500">
        <v>100</v>
      </c>
      <c r="B500">
        <v>499</v>
      </c>
      <c r="C500">
        <v>1790284</v>
      </c>
      <c r="D500">
        <v>38918</v>
      </c>
      <c r="E500">
        <v>29586</v>
      </c>
      <c r="F500">
        <f t="shared" si="7"/>
        <v>3997256.601</v>
      </c>
    </row>
    <row r="501" spans="1:6">
      <c r="A501">
        <v>100</v>
      </c>
      <c r="B501">
        <v>500</v>
      </c>
      <c r="C501">
        <v>2237855</v>
      </c>
      <c r="D501">
        <v>32431</v>
      </c>
      <c r="E501">
        <v>36983</v>
      </c>
      <c r="F501">
        <f t="shared" si="7"/>
        <v>5686296.31104167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21"/>
  <sheetViews>
    <sheetView workbookViewId="0">
      <selection activeCell="A1" sqref="A1"/>
    </sheetView>
  </sheetViews>
  <sheetFormatPr defaultColWidth="9" defaultRowHeight="13.5"/>
  <cols>
    <col min="1" max="1" width="16" customWidth="1"/>
    <col min="2" max="2" width="30" customWidth="1"/>
    <col min="3" max="14" width="16" customWidth="1"/>
  </cols>
  <sheetData>
    <row r="1" ht="32" customHeight="1" spans="1:14">
      <c r="A1" s="3" t="s">
        <v>80</v>
      </c>
      <c r="B1" s="3" t="s">
        <v>6149</v>
      </c>
      <c r="C1" s="3" t="s">
        <v>6150</v>
      </c>
      <c r="D1" s="3" t="s">
        <v>6151</v>
      </c>
      <c r="E1" s="3" t="s">
        <v>6152</v>
      </c>
      <c r="F1" s="3" t="s">
        <v>6153</v>
      </c>
      <c r="G1" s="3" t="s">
        <v>6154</v>
      </c>
      <c r="H1" s="3" t="s">
        <v>6155</v>
      </c>
      <c r="I1" s="3" t="s">
        <v>6156</v>
      </c>
      <c r="J1" s="3" t="s">
        <v>6157</v>
      </c>
      <c r="K1" s="3" t="s">
        <v>6158</v>
      </c>
      <c r="L1" s="3" t="s">
        <v>6159</v>
      </c>
      <c r="M1" s="3" t="s">
        <v>6160</v>
      </c>
      <c r="N1" s="3" t="s">
        <v>6161</v>
      </c>
    </row>
    <row r="2" spans="1:14">
      <c r="A2" t="s">
        <v>51</v>
      </c>
      <c r="B2" t="s">
        <v>152</v>
      </c>
      <c r="C2">
        <v>1</v>
      </c>
      <c r="D2">
        <v>5</v>
      </c>
      <c r="E2">
        <v>5</v>
      </c>
      <c r="F2" s="22">
        <f>主线!K5</f>
        <v>0.958483754512635</v>
      </c>
      <c r="G2" s="22">
        <f>主线!L5</f>
        <v>0.733333333333333</v>
      </c>
      <c r="H2" s="22">
        <v>0.350916727716728</v>
      </c>
      <c r="I2" s="22">
        <f>主线!X5</f>
        <v>0.350916727716728</v>
      </c>
      <c r="J2" s="22">
        <f t="shared" ref="J2:J65" si="0">I2/H2</f>
        <v>0.999999999999999</v>
      </c>
      <c r="K2" s="22">
        <v>31.5656565656566</v>
      </c>
      <c r="L2" s="22">
        <f>主线!Y5</f>
        <v>31.5656565656566</v>
      </c>
      <c r="M2" s="22">
        <f t="shared" ref="M2:M65" si="1">L2/K2</f>
        <v>0.999999999999999</v>
      </c>
      <c r="N2" t="s">
        <v>6162</v>
      </c>
    </row>
    <row r="3" spans="1:14">
      <c r="A3" t="s">
        <v>51</v>
      </c>
      <c r="B3" t="s">
        <v>156</v>
      </c>
      <c r="C3">
        <v>2</v>
      </c>
      <c r="D3">
        <v>6</v>
      </c>
      <c r="E3">
        <v>6</v>
      </c>
      <c r="F3" s="22">
        <f>主线!K6</f>
        <v>0.958944281524927</v>
      </c>
      <c r="G3" s="22">
        <f>主线!L6</f>
        <v>0.738007380073801</v>
      </c>
      <c r="H3" s="22">
        <v>0.406723883320351</v>
      </c>
      <c r="I3" s="22">
        <f>主线!X6</f>
        <v>0.406912256374159</v>
      </c>
      <c r="J3" s="22">
        <f t="shared" si="0"/>
        <v>1.00046314726411</v>
      </c>
      <c r="K3" s="22">
        <v>27.8278493996406</v>
      </c>
      <c r="L3" s="22">
        <f>主线!Y6</f>
        <v>27.8144194729126</v>
      </c>
      <c r="M3" s="22">
        <f t="shared" si="1"/>
        <v>0.999517392575506</v>
      </c>
      <c r="N3" t="s">
        <v>6162</v>
      </c>
    </row>
    <row r="4" spans="1:14">
      <c r="A4" t="s">
        <v>51</v>
      </c>
      <c r="B4" t="s">
        <v>159</v>
      </c>
      <c r="C4">
        <v>3</v>
      </c>
      <c r="D4">
        <v>8</v>
      </c>
      <c r="E4">
        <v>8</v>
      </c>
      <c r="F4" s="22">
        <f>主线!K7</f>
        <v>0.959076600209864</v>
      </c>
      <c r="G4" s="22">
        <f>主线!L7</f>
        <v>0.745205479452055</v>
      </c>
      <c r="H4" s="22">
        <v>0.431199056529062</v>
      </c>
      <c r="I4" s="22">
        <f>主线!X7</f>
        <v>0.431199056529062</v>
      </c>
      <c r="J4" s="22">
        <f t="shared" si="0"/>
        <v>1</v>
      </c>
      <c r="K4" s="22">
        <v>27.2022550504301</v>
      </c>
      <c r="L4" s="22">
        <f>主线!Y7</f>
        <v>27.20225505043</v>
      </c>
      <c r="M4" s="22">
        <f t="shared" si="1"/>
        <v>0.999999999999997</v>
      </c>
      <c r="N4" t="s">
        <v>6162</v>
      </c>
    </row>
    <row r="5" spans="1:14">
      <c r="A5" t="s">
        <v>51</v>
      </c>
      <c r="B5" t="s">
        <v>162</v>
      </c>
      <c r="C5">
        <v>4</v>
      </c>
      <c r="D5">
        <v>8</v>
      </c>
      <c r="E5">
        <v>8</v>
      </c>
      <c r="F5" s="22">
        <f>主线!K8</f>
        <v>0.983591652956966</v>
      </c>
      <c r="G5" s="22">
        <f>主线!L8</f>
        <v>0.599118942731278</v>
      </c>
      <c r="H5" s="22">
        <v>33.8180752878695</v>
      </c>
      <c r="I5" s="22">
        <f>主线!X8</f>
        <v>33.8180752878696</v>
      </c>
      <c r="J5" s="22">
        <f t="shared" si="0"/>
        <v>1</v>
      </c>
      <c r="K5" s="22">
        <v>34.5731097705779</v>
      </c>
      <c r="L5" s="22">
        <f>主线!Y8</f>
        <v>34.5731097705779</v>
      </c>
      <c r="M5" s="22">
        <f t="shared" si="1"/>
        <v>0.999999999999999</v>
      </c>
      <c r="N5" t="s">
        <v>6162</v>
      </c>
    </row>
    <row r="6" spans="1:14">
      <c r="A6" t="s">
        <v>51</v>
      </c>
      <c r="B6" t="s">
        <v>167</v>
      </c>
      <c r="C6">
        <v>5</v>
      </c>
      <c r="D6">
        <v>11</v>
      </c>
      <c r="E6">
        <v>11</v>
      </c>
      <c r="F6" s="22">
        <f>主线!K9</f>
        <v>0.958571428571429</v>
      </c>
      <c r="G6" s="22">
        <f>主线!L9</f>
        <v>0.755905511811024</v>
      </c>
      <c r="H6" s="22">
        <v>0.410263860652014</v>
      </c>
      <c r="I6" s="22">
        <f>主线!X9</f>
        <v>0.410263860652014</v>
      </c>
      <c r="J6" s="22">
        <f t="shared" si="0"/>
        <v>1</v>
      </c>
      <c r="K6" s="22">
        <v>30.1497313871659</v>
      </c>
      <c r="L6" s="22">
        <f>主线!Y9</f>
        <v>30.1497313871659</v>
      </c>
      <c r="M6" s="22">
        <f t="shared" si="1"/>
        <v>0.999999999999999</v>
      </c>
      <c r="N6" t="s">
        <v>6162</v>
      </c>
    </row>
    <row r="7" spans="1:14">
      <c r="A7" t="s">
        <v>51</v>
      </c>
      <c r="B7" t="s">
        <v>170</v>
      </c>
      <c r="C7">
        <v>6</v>
      </c>
      <c r="D7">
        <v>13</v>
      </c>
      <c r="E7">
        <v>13</v>
      </c>
      <c r="F7" s="22">
        <f>主线!K10</f>
        <v>0.958236658932715</v>
      </c>
      <c r="G7" s="22">
        <f>主线!L10</f>
        <v>0.760726072607261</v>
      </c>
      <c r="H7" s="22">
        <v>0.423641547876801</v>
      </c>
      <c r="I7" s="22">
        <f>主线!X10</f>
        <v>0.423641547876801</v>
      </c>
      <c r="J7" s="22">
        <f t="shared" si="0"/>
        <v>1</v>
      </c>
      <c r="K7" s="22">
        <v>30.1890711757147</v>
      </c>
      <c r="L7" s="22">
        <f>主线!Y10</f>
        <v>30.1890711757147</v>
      </c>
      <c r="M7" s="22">
        <f t="shared" si="1"/>
        <v>1</v>
      </c>
      <c r="N7" t="s">
        <v>6162</v>
      </c>
    </row>
    <row r="8" spans="1:14">
      <c r="A8" t="s">
        <v>51</v>
      </c>
      <c r="B8" t="s">
        <v>173</v>
      </c>
      <c r="C8">
        <v>7</v>
      </c>
      <c r="D8">
        <v>15</v>
      </c>
      <c r="E8">
        <v>15</v>
      </c>
      <c r="F8" s="22">
        <f>主线!K11</f>
        <v>0.957950700821653</v>
      </c>
      <c r="G8" s="22">
        <f>主线!L11</f>
        <v>0.767375886524823</v>
      </c>
      <c r="H8" s="22">
        <v>0.418858868567819</v>
      </c>
      <c r="I8" s="22">
        <f>主线!X11</f>
        <v>0.418858868567819</v>
      </c>
      <c r="J8" s="22">
        <f t="shared" si="0"/>
        <v>1</v>
      </c>
      <c r="K8" s="22">
        <v>31.4757107307228</v>
      </c>
      <c r="L8" s="22">
        <f>主线!Y11</f>
        <v>31.4757107307229</v>
      </c>
      <c r="M8" s="22">
        <f t="shared" si="1"/>
        <v>1</v>
      </c>
      <c r="N8" t="s">
        <v>6162</v>
      </c>
    </row>
    <row r="9" spans="1:14">
      <c r="A9" t="s">
        <v>51</v>
      </c>
      <c r="B9" t="s">
        <v>176</v>
      </c>
      <c r="C9">
        <v>8</v>
      </c>
      <c r="D9">
        <v>16</v>
      </c>
      <c r="E9">
        <v>16</v>
      </c>
      <c r="F9" s="22">
        <f>主线!K12</f>
        <v>0.957759004001779</v>
      </c>
      <c r="G9" s="22">
        <f>主线!L12</f>
        <v>0.770860927152318</v>
      </c>
      <c r="H9" s="22">
        <v>0.382817440414051</v>
      </c>
      <c r="I9" s="22">
        <f>主线!X12</f>
        <v>0.382937248156602</v>
      </c>
      <c r="J9" s="22">
        <f t="shared" si="0"/>
        <v>1.00031296312525</v>
      </c>
      <c r="K9" s="22">
        <v>34.976320969621</v>
      </c>
      <c r="L9" s="22">
        <f>主线!Y12</f>
        <v>34.9647587668424</v>
      </c>
      <c r="M9" s="22">
        <f t="shared" si="1"/>
        <v>0.99966942770257</v>
      </c>
      <c r="N9" t="s">
        <v>6162</v>
      </c>
    </row>
    <row r="10" spans="1:14">
      <c r="A10" t="s">
        <v>51</v>
      </c>
      <c r="B10" t="s">
        <v>179</v>
      </c>
      <c r="C10">
        <v>9</v>
      </c>
      <c r="D10">
        <v>19</v>
      </c>
      <c r="E10">
        <v>19</v>
      </c>
      <c r="F10" s="22">
        <f>主线!K13</f>
        <v>0.957446808510638</v>
      </c>
      <c r="G10" s="22">
        <f>主线!L13</f>
        <v>0.780837004405286</v>
      </c>
      <c r="H10" s="22">
        <v>0.413318450796104</v>
      </c>
      <c r="I10" s="22">
        <f>主线!X13</f>
        <v>0.413318450796104</v>
      </c>
      <c r="J10" s="22">
        <f t="shared" si="0"/>
        <v>1</v>
      </c>
      <c r="K10" s="22">
        <v>33.7054885620236</v>
      </c>
      <c r="L10" s="22">
        <f>主线!Y13</f>
        <v>33.7054885620236</v>
      </c>
      <c r="M10" s="22">
        <f t="shared" si="1"/>
        <v>0.999999999999999</v>
      </c>
      <c r="N10" t="s">
        <v>6162</v>
      </c>
    </row>
    <row r="11" spans="1:14">
      <c r="A11" t="s">
        <v>51</v>
      </c>
      <c r="B11" t="s">
        <v>182</v>
      </c>
      <c r="C11">
        <v>10</v>
      </c>
      <c r="D11">
        <v>21</v>
      </c>
      <c r="E11">
        <v>21</v>
      </c>
      <c r="F11" s="22">
        <f>主线!K14</f>
        <v>0.957519379844961</v>
      </c>
      <c r="G11" s="22">
        <f>主线!L14</f>
        <v>0.787549407114625</v>
      </c>
      <c r="H11" s="22">
        <v>0.429089823458451</v>
      </c>
      <c r="I11" s="22">
        <f>主线!X14</f>
        <v>0.429089823458451</v>
      </c>
      <c r="J11" s="22">
        <f t="shared" si="0"/>
        <v>1</v>
      </c>
      <c r="K11" s="22">
        <v>33.3021763305897</v>
      </c>
      <c r="L11" s="22">
        <f>主线!Y14</f>
        <v>33.3021763305897</v>
      </c>
      <c r="M11" s="22">
        <f t="shared" si="1"/>
        <v>1</v>
      </c>
      <c r="N11" t="s">
        <v>6162</v>
      </c>
    </row>
    <row r="12" spans="1:14">
      <c r="A12" t="s">
        <v>51</v>
      </c>
      <c r="B12" t="s">
        <v>185</v>
      </c>
      <c r="C12">
        <v>11</v>
      </c>
      <c r="D12">
        <v>22</v>
      </c>
      <c r="E12">
        <v>22</v>
      </c>
      <c r="F12" s="22">
        <f>主线!K15</f>
        <v>0.957205240174672</v>
      </c>
      <c r="G12" s="22">
        <f>主线!L15</f>
        <v>0.791353383458647</v>
      </c>
      <c r="H12" s="22">
        <v>0.415937257137191</v>
      </c>
      <c r="I12" s="22">
        <f>主线!X15</f>
        <v>0.416048184266092</v>
      </c>
      <c r="J12" s="22">
        <f t="shared" si="0"/>
        <v>1.00026669197577</v>
      </c>
      <c r="K12" s="22">
        <v>34.8050626345015</v>
      </c>
      <c r="L12" s="22">
        <f>主线!Y15</f>
        <v>34.7951978958286</v>
      </c>
      <c r="M12" s="22">
        <f t="shared" si="1"/>
        <v>0.999716571730484</v>
      </c>
      <c r="N12" t="s">
        <v>6162</v>
      </c>
    </row>
    <row r="13" spans="1:14">
      <c r="A13" t="s">
        <v>51</v>
      </c>
      <c r="B13" t="s">
        <v>188</v>
      </c>
      <c r="C13">
        <v>12</v>
      </c>
      <c r="D13">
        <v>23</v>
      </c>
      <c r="E13">
        <v>23</v>
      </c>
      <c r="F13" s="22">
        <f>主线!K16</f>
        <v>1.03381338931493</v>
      </c>
      <c r="G13" s="22">
        <f>主线!L16</f>
        <v>0.644622093023256</v>
      </c>
      <c r="H13" s="22">
        <v>34.6628941498827</v>
      </c>
      <c r="I13" s="22">
        <f>主线!X16</f>
        <v>34.6628941498828</v>
      </c>
      <c r="J13" s="22">
        <f t="shared" si="0"/>
        <v>1</v>
      </c>
      <c r="K13" s="22">
        <v>36.2877026030398</v>
      </c>
      <c r="L13" s="22">
        <f>主线!Y16</f>
        <v>36.2877026030398</v>
      </c>
      <c r="M13" s="22">
        <f t="shared" si="1"/>
        <v>1</v>
      </c>
      <c r="N13" t="s">
        <v>6162</v>
      </c>
    </row>
    <row r="14" spans="1:14">
      <c r="A14" t="s">
        <v>51</v>
      </c>
      <c r="B14" t="s">
        <v>192</v>
      </c>
      <c r="C14">
        <v>13</v>
      </c>
      <c r="D14">
        <v>25</v>
      </c>
      <c r="E14">
        <v>25</v>
      </c>
      <c r="F14" s="22">
        <f>主线!K17</f>
        <v>0.95703125</v>
      </c>
      <c r="G14" s="22">
        <f>主线!L17</f>
        <v>0.8</v>
      </c>
      <c r="H14" s="22">
        <v>0.418498226968797</v>
      </c>
      <c r="I14" s="22">
        <f>主线!X17</f>
        <v>0.418498226968797</v>
      </c>
      <c r="J14" s="22">
        <f t="shared" si="0"/>
        <v>1</v>
      </c>
      <c r="K14" s="22">
        <v>35.9017884744725</v>
      </c>
      <c r="L14" s="22">
        <f>主线!Y17</f>
        <v>35.9017884744725</v>
      </c>
      <c r="M14" s="22">
        <f t="shared" si="1"/>
        <v>1</v>
      </c>
      <c r="N14" t="s">
        <v>6162</v>
      </c>
    </row>
    <row r="15" spans="1:14">
      <c r="A15" t="s">
        <v>51</v>
      </c>
      <c r="B15" t="s">
        <v>195</v>
      </c>
      <c r="C15">
        <v>14</v>
      </c>
      <c r="D15">
        <v>27</v>
      </c>
      <c r="E15">
        <v>27</v>
      </c>
      <c r="F15" s="22">
        <f>主线!K18</f>
        <v>0.957026967770226</v>
      </c>
      <c r="G15" s="22">
        <f>主线!L18</f>
        <v>0.807201800450113</v>
      </c>
      <c r="H15" s="22">
        <v>0.43158465215541</v>
      </c>
      <c r="I15" s="22">
        <f>主线!X18</f>
        <v>0.431584652155411</v>
      </c>
      <c r="J15" s="22">
        <f t="shared" si="0"/>
        <v>1</v>
      </c>
      <c r="K15" s="22">
        <v>35.5887438385536</v>
      </c>
      <c r="L15" s="22">
        <f>主线!Y18</f>
        <v>35.5887438385536</v>
      </c>
      <c r="M15" s="22">
        <f t="shared" si="1"/>
        <v>1</v>
      </c>
      <c r="N15" t="s">
        <v>6162</v>
      </c>
    </row>
    <row r="16" spans="1:14">
      <c r="A16" t="s">
        <v>51</v>
      </c>
      <c r="B16" t="s">
        <v>198</v>
      </c>
      <c r="C16">
        <v>15</v>
      </c>
      <c r="D16">
        <v>28</v>
      </c>
      <c r="E16">
        <v>28</v>
      </c>
      <c r="F16" s="22">
        <f>主线!K19</f>
        <v>0.956883982503645</v>
      </c>
      <c r="G16" s="22">
        <f>主线!L19</f>
        <v>0.809935205183585</v>
      </c>
      <c r="H16" s="22">
        <v>0.431627103041875</v>
      </c>
      <c r="I16" s="22">
        <f>主线!X19</f>
        <v>0.431627103041875</v>
      </c>
      <c r="J16" s="22">
        <f t="shared" si="0"/>
        <v>0.999999999999999</v>
      </c>
      <c r="K16" s="22">
        <v>35.6042408845197</v>
      </c>
      <c r="L16" s="22">
        <f>主线!Y19</f>
        <v>35.6042408845197</v>
      </c>
      <c r="M16" s="22">
        <f t="shared" si="1"/>
        <v>1</v>
      </c>
      <c r="N16" t="s">
        <v>6162</v>
      </c>
    </row>
    <row r="17" spans="1:14">
      <c r="A17" t="s">
        <v>51</v>
      </c>
      <c r="B17" t="s">
        <v>201</v>
      </c>
      <c r="C17">
        <v>16</v>
      </c>
      <c r="D17">
        <v>30</v>
      </c>
      <c r="E17">
        <v>30</v>
      </c>
      <c r="F17" s="22">
        <f>主线!K20</f>
        <v>0.956767981876534</v>
      </c>
      <c r="G17" s="22">
        <f>主线!L20</f>
        <v>0.816</v>
      </c>
      <c r="H17" s="22">
        <v>0.43319222585429</v>
      </c>
      <c r="I17" s="22">
        <f>主线!X20</f>
        <v>0.434742696553833</v>
      </c>
      <c r="J17" s="22">
        <f t="shared" si="0"/>
        <v>1.00357917480279</v>
      </c>
      <c r="K17" s="22">
        <v>35.5267809316892</v>
      </c>
      <c r="L17" s="22">
        <f>主线!Y20</f>
        <v>35.4259015597952</v>
      </c>
      <c r="M17" s="22">
        <f t="shared" si="1"/>
        <v>0.997160469672499</v>
      </c>
      <c r="N17" t="s">
        <v>6162</v>
      </c>
    </row>
    <row r="18" spans="1:14">
      <c r="A18" t="s">
        <v>51</v>
      </c>
      <c r="B18" t="s">
        <v>204</v>
      </c>
      <c r="C18">
        <v>17</v>
      </c>
      <c r="D18">
        <v>32</v>
      </c>
      <c r="E18">
        <v>32</v>
      </c>
      <c r="F18" s="22">
        <f>主线!K21</f>
        <v>0.956641431520991</v>
      </c>
      <c r="G18" s="22">
        <f>主线!L21</f>
        <v>0.822690638561686</v>
      </c>
      <c r="H18" s="22">
        <v>0.435337674154863</v>
      </c>
      <c r="I18" s="22">
        <f>主线!X21</f>
        <v>0.437552953420904</v>
      </c>
      <c r="J18" s="22">
        <f t="shared" si="0"/>
        <v>1.00508864588929</v>
      </c>
      <c r="K18" s="22">
        <v>35.3568663902861</v>
      </c>
      <c r="L18" s="22">
        <f>主线!Y21</f>
        <v>35.2155360955244</v>
      </c>
      <c r="M18" s="22">
        <f t="shared" si="1"/>
        <v>0.996002748286525</v>
      </c>
      <c r="N18" t="s">
        <v>6162</v>
      </c>
    </row>
    <row r="19" spans="1:14">
      <c r="A19" t="s">
        <v>51</v>
      </c>
      <c r="B19" t="s">
        <v>207</v>
      </c>
      <c r="C19">
        <v>18</v>
      </c>
      <c r="D19">
        <v>33</v>
      </c>
      <c r="E19">
        <v>33</v>
      </c>
      <c r="F19" s="22">
        <f>主线!K22</f>
        <v>0.956564659427443</v>
      </c>
      <c r="G19" s="22">
        <f>主线!L22</f>
        <v>0.82525433871933</v>
      </c>
      <c r="H19" s="22">
        <v>0.418234025182118</v>
      </c>
      <c r="I19" s="22">
        <f>主线!X22</f>
        <v>0.420257421493732</v>
      </c>
      <c r="J19" s="22">
        <f t="shared" si="0"/>
        <v>1.00483795241368</v>
      </c>
      <c r="K19" s="22">
        <v>36.5153631408516</v>
      </c>
      <c r="L19" s="22">
        <f>主线!Y22</f>
        <v>36.3776816567611</v>
      </c>
      <c r="M19" s="22">
        <f t="shared" si="1"/>
        <v>0.996229491582505</v>
      </c>
      <c r="N19" t="s">
        <v>6162</v>
      </c>
    </row>
    <row r="20" spans="1:14">
      <c r="A20" t="s">
        <v>51</v>
      </c>
      <c r="B20" t="s">
        <v>210</v>
      </c>
      <c r="C20">
        <v>19</v>
      </c>
      <c r="D20">
        <v>36</v>
      </c>
      <c r="E20">
        <v>36</v>
      </c>
      <c r="F20" s="22">
        <f>主线!K23</f>
        <v>0.956402085747393</v>
      </c>
      <c r="G20" s="22">
        <f>主线!L23</f>
        <v>0.834688346883469</v>
      </c>
      <c r="H20" s="22">
        <v>0.441258473956419</v>
      </c>
      <c r="I20" s="22">
        <f>主线!X23</f>
        <v>0.442615153909734</v>
      </c>
      <c r="J20" s="22">
        <f t="shared" si="0"/>
        <v>1.00307456974401</v>
      </c>
      <c r="K20" s="22">
        <v>34.9297115916743</v>
      </c>
      <c r="L20" s="22">
        <f>主线!Y23</f>
        <v>34.8465225273645</v>
      </c>
      <c r="M20" s="22">
        <f t="shared" si="1"/>
        <v>0.997618386739567</v>
      </c>
      <c r="N20" t="s">
        <v>6162</v>
      </c>
    </row>
    <row r="21" spans="1:14">
      <c r="A21" t="s">
        <v>51</v>
      </c>
      <c r="B21" t="s">
        <v>213</v>
      </c>
      <c r="C21">
        <v>20</v>
      </c>
      <c r="D21">
        <v>37</v>
      </c>
      <c r="E21">
        <v>37</v>
      </c>
      <c r="F21" s="22">
        <f>主线!K24</f>
        <v>0.956328233657858</v>
      </c>
      <c r="G21" s="22">
        <f>主线!L24</f>
        <v>0.837710084033613</v>
      </c>
      <c r="H21" s="22">
        <v>0.415953838187679</v>
      </c>
      <c r="I21" s="22">
        <f>主线!X24</f>
        <v>0.415953838187678</v>
      </c>
      <c r="J21" s="22">
        <f t="shared" si="0"/>
        <v>0.999999999999997</v>
      </c>
      <c r="K21" s="22">
        <v>36.7768784463857</v>
      </c>
      <c r="L21" s="22">
        <f>主线!Y24</f>
        <v>36.7768784463857</v>
      </c>
      <c r="M21" s="22">
        <f t="shared" si="1"/>
        <v>1</v>
      </c>
      <c r="N21" t="s">
        <v>6162</v>
      </c>
    </row>
    <row r="22" spans="1:14">
      <c r="A22" t="s">
        <v>51</v>
      </c>
      <c r="B22" t="s">
        <v>216</v>
      </c>
      <c r="C22">
        <v>21</v>
      </c>
      <c r="D22">
        <v>39</v>
      </c>
      <c r="E22">
        <v>39</v>
      </c>
      <c r="F22" s="22">
        <f>主线!K25</f>
        <v>0.956281342419956</v>
      </c>
      <c r="G22" s="22">
        <f>主线!L25</f>
        <v>0.843796342066238</v>
      </c>
      <c r="H22" s="22">
        <v>0.410394859695584</v>
      </c>
      <c r="I22" s="22">
        <f>主线!X25</f>
        <v>0.411215936131433</v>
      </c>
      <c r="J22" s="22">
        <f t="shared" si="0"/>
        <v>1.0020006986356</v>
      </c>
      <c r="K22" s="22">
        <v>37.3148749818531</v>
      </c>
      <c r="L22" s="22">
        <f>主线!Y25</f>
        <v>37.2577043690989</v>
      </c>
      <c r="M22" s="22">
        <f t="shared" si="1"/>
        <v>0.998467886793618</v>
      </c>
      <c r="N22" t="s">
        <v>6162</v>
      </c>
    </row>
    <row r="23" spans="1:14">
      <c r="A23" t="s">
        <v>51</v>
      </c>
      <c r="B23" t="s">
        <v>219</v>
      </c>
      <c r="C23">
        <v>22</v>
      </c>
      <c r="D23">
        <v>41</v>
      </c>
      <c r="E23">
        <v>41</v>
      </c>
      <c r="F23" s="22">
        <f>主线!K26</f>
        <v>0.955998092058192</v>
      </c>
      <c r="G23" s="22">
        <f>主线!L26</f>
        <v>0.850279850746269</v>
      </c>
      <c r="H23" s="22">
        <v>0.405294084806221</v>
      </c>
      <c r="I23" s="22">
        <f>主线!X26</f>
        <v>0.406335312207841</v>
      </c>
      <c r="J23" s="22">
        <f t="shared" si="0"/>
        <v>1.00256906636601</v>
      </c>
      <c r="K23" s="22">
        <v>37.7961331019616</v>
      </c>
      <c r="L23" s="22">
        <f>主线!Y26</f>
        <v>37.7222729662574</v>
      </c>
      <c r="M23" s="22">
        <f t="shared" si="1"/>
        <v>0.998045828246373</v>
      </c>
      <c r="N23" t="s">
        <v>6162</v>
      </c>
    </row>
    <row r="24" spans="1:14">
      <c r="A24" t="s">
        <v>51</v>
      </c>
      <c r="B24" t="s">
        <v>222</v>
      </c>
      <c r="C24">
        <v>23</v>
      </c>
      <c r="D24">
        <v>44</v>
      </c>
      <c r="E24">
        <v>44</v>
      </c>
      <c r="F24" s="22">
        <f>主线!K27</f>
        <v>0.955879203255515</v>
      </c>
      <c r="G24" s="22">
        <f>主线!L27</f>
        <v>0.859167024474023</v>
      </c>
      <c r="H24" s="22">
        <v>0.416237874563545</v>
      </c>
      <c r="I24" s="22">
        <f>主线!X27</f>
        <v>0.417011264961154</v>
      </c>
      <c r="J24" s="22">
        <f t="shared" si="0"/>
        <v>1.00185804907451</v>
      </c>
      <c r="K24" s="22">
        <v>37.1189868761113</v>
      </c>
      <c r="L24" s="22">
        <f>主线!Y27</f>
        <v>37.0668021314994</v>
      </c>
      <c r="M24" s="22">
        <f t="shared" si="1"/>
        <v>0.998594122603989</v>
      </c>
      <c r="N24" t="s">
        <v>6162</v>
      </c>
    </row>
    <row r="25" spans="1:14">
      <c r="A25" t="s">
        <v>51</v>
      </c>
      <c r="B25" t="s">
        <v>225</v>
      </c>
      <c r="C25">
        <v>24</v>
      </c>
      <c r="D25">
        <v>46</v>
      </c>
      <c r="E25">
        <v>46</v>
      </c>
      <c r="F25" s="22">
        <f>主线!K28</f>
        <v>1.08765450496553</v>
      </c>
      <c r="G25" s="22">
        <f>主线!L28</f>
        <v>0.712894560107455</v>
      </c>
      <c r="H25" s="22">
        <v>33.3027431855387</v>
      </c>
      <c r="I25" s="22">
        <f>主线!X28</f>
        <v>33.3027431855388</v>
      </c>
      <c r="J25" s="22">
        <f t="shared" si="0"/>
        <v>1</v>
      </c>
      <c r="K25" s="22">
        <v>37.5944551310877</v>
      </c>
      <c r="L25" s="22">
        <f>主线!Y28</f>
        <v>37.5944551310877</v>
      </c>
      <c r="M25" s="22">
        <f t="shared" si="1"/>
        <v>1</v>
      </c>
      <c r="N25" t="s">
        <v>6162</v>
      </c>
    </row>
    <row r="26" spans="1:14">
      <c r="A26" t="s">
        <v>51</v>
      </c>
      <c r="B26" t="s">
        <v>229</v>
      </c>
      <c r="C26">
        <v>25</v>
      </c>
      <c r="D26">
        <v>48</v>
      </c>
      <c r="E26">
        <v>46</v>
      </c>
      <c r="F26" s="22">
        <f>主线!K29</f>
        <v>0.995247515763884</v>
      </c>
      <c r="G26" s="22">
        <f>主线!L29</f>
        <v>0.898688261763338</v>
      </c>
      <c r="H26" s="22">
        <v>0.407046229733386</v>
      </c>
      <c r="I26" s="22">
        <f>主线!X29</f>
        <v>0.407046229733386</v>
      </c>
      <c r="J26" s="22">
        <f t="shared" si="0"/>
        <v>0.999999999999999</v>
      </c>
      <c r="K26" s="22">
        <v>38.0232939897023</v>
      </c>
      <c r="L26" s="22">
        <f>主线!Y29</f>
        <v>38.0232939897024</v>
      </c>
      <c r="M26" s="22">
        <f t="shared" si="1"/>
        <v>1</v>
      </c>
      <c r="N26" t="s">
        <v>6162</v>
      </c>
    </row>
    <row r="27" spans="1:14">
      <c r="A27" t="s">
        <v>51</v>
      </c>
      <c r="B27" t="s">
        <v>232</v>
      </c>
      <c r="C27">
        <v>26</v>
      </c>
      <c r="D27">
        <v>50</v>
      </c>
      <c r="E27">
        <v>46</v>
      </c>
      <c r="F27" s="22">
        <f>主线!K30</f>
        <v>1.04185770084872</v>
      </c>
      <c r="G27" s="22">
        <f>主线!L30</f>
        <v>0.933036391630041</v>
      </c>
      <c r="H27" s="22">
        <v>0.403068794099062</v>
      </c>
      <c r="I27" s="22">
        <f>主线!X30</f>
        <v>0.403068794099063</v>
      </c>
      <c r="J27" s="22">
        <f t="shared" si="0"/>
        <v>1</v>
      </c>
      <c r="K27" s="22">
        <v>38.4261265482006</v>
      </c>
      <c r="L27" s="22">
        <f>主线!Y30</f>
        <v>38.4261265482006</v>
      </c>
      <c r="M27" s="22">
        <f t="shared" si="1"/>
        <v>1</v>
      </c>
      <c r="N27" t="s">
        <v>6162</v>
      </c>
    </row>
    <row r="28" spans="1:14">
      <c r="A28" t="s">
        <v>51</v>
      </c>
      <c r="B28" t="s">
        <v>235</v>
      </c>
      <c r="C28">
        <v>27</v>
      </c>
      <c r="D28">
        <v>52</v>
      </c>
      <c r="E28">
        <v>48</v>
      </c>
      <c r="F28" s="22">
        <f>主线!K31</f>
        <v>1.01470841809104</v>
      </c>
      <c r="G28" s="22">
        <f>主线!L31</f>
        <v>0.920572447773597</v>
      </c>
      <c r="H28" s="22">
        <v>0.399523055938436</v>
      </c>
      <c r="I28" s="22">
        <f>主线!X31</f>
        <v>0.399523055938435</v>
      </c>
      <c r="J28" s="22">
        <f t="shared" si="0"/>
        <v>0.999999999999996</v>
      </c>
      <c r="K28" s="22">
        <v>38.8202219319263</v>
      </c>
      <c r="L28" s="22">
        <f>主线!Y31</f>
        <v>38.8202219319263</v>
      </c>
      <c r="M28" s="22">
        <f t="shared" si="1"/>
        <v>1</v>
      </c>
      <c r="N28" t="s">
        <v>6162</v>
      </c>
    </row>
    <row r="29" spans="1:14">
      <c r="A29" t="s">
        <v>51</v>
      </c>
      <c r="B29" t="s">
        <v>238</v>
      </c>
      <c r="C29">
        <v>28</v>
      </c>
      <c r="D29">
        <v>54</v>
      </c>
      <c r="E29">
        <v>49</v>
      </c>
      <c r="F29" s="22">
        <f>主线!K32</f>
        <v>1.02546294314921</v>
      </c>
      <c r="G29" s="22">
        <f>主线!L32</f>
        <v>0.932056523767833</v>
      </c>
      <c r="H29" s="22">
        <v>0.396337011932769</v>
      </c>
      <c r="I29" s="22">
        <f>主线!X32</f>
        <v>0.39633701193277</v>
      </c>
      <c r="J29" s="22">
        <f t="shared" si="0"/>
        <v>1</v>
      </c>
      <c r="K29" s="22">
        <v>39.1755796915123</v>
      </c>
      <c r="L29" s="22">
        <f>主线!Y32</f>
        <v>39.1755796915123</v>
      </c>
      <c r="M29" s="22">
        <f t="shared" si="1"/>
        <v>0.999999999999999</v>
      </c>
      <c r="N29" t="s">
        <v>6162</v>
      </c>
    </row>
    <row r="30" spans="1:14">
      <c r="A30" t="s">
        <v>51</v>
      </c>
      <c r="B30" t="s">
        <v>241</v>
      </c>
      <c r="C30">
        <v>29</v>
      </c>
      <c r="D30">
        <v>58</v>
      </c>
      <c r="E30">
        <v>52</v>
      </c>
      <c r="F30" s="22">
        <f>主线!K33</f>
        <v>1.031096821489</v>
      </c>
      <c r="G30" s="22">
        <f>主线!L33</f>
        <v>0.946235146221095</v>
      </c>
      <c r="H30" s="22">
        <v>0.418880986546795</v>
      </c>
      <c r="I30" s="22">
        <f>主线!X33</f>
        <v>0.418880986546795</v>
      </c>
      <c r="J30" s="22">
        <f t="shared" si="0"/>
        <v>0.999999999999999</v>
      </c>
      <c r="K30" s="22">
        <v>37.603892008498</v>
      </c>
      <c r="L30" s="22">
        <f>主线!Y33</f>
        <v>37.6038920084981</v>
      </c>
      <c r="M30" s="22">
        <f t="shared" si="1"/>
        <v>1</v>
      </c>
      <c r="N30" t="s">
        <v>6162</v>
      </c>
    </row>
    <row r="31" spans="1:14">
      <c r="A31" t="s">
        <v>51</v>
      </c>
      <c r="B31" t="s">
        <v>244</v>
      </c>
      <c r="C31">
        <v>30</v>
      </c>
      <c r="D31">
        <v>58</v>
      </c>
      <c r="E31">
        <v>52</v>
      </c>
      <c r="F31" s="22">
        <f>主线!K34</f>
        <v>1.01295849298037</v>
      </c>
      <c r="G31" s="22">
        <f>主线!L34</f>
        <v>0.933772995657108</v>
      </c>
      <c r="H31" s="22">
        <v>0.398780897083677</v>
      </c>
      <c r="I31" s="22">
        <f>主线!X34</f>
        <v>0.398780897083676</v>
      </c>
      <c r="J31" s="22">
        <f t="shared" si="0"/>
        <v>0.999999999999996</v>
      </c>
      <c r="K31" s="22">
        <v>39.0431771044718</v>
      </c>
      <c r="L31" s="22">
        <f>主线!Y34</f>
        <v>39.0431771044717</v>
      </c>
      <c r="M31" s="22">
        <f t="shared" si="1"/>
        <v>0.999999999999998</v>
      </c>
      <c r="N31" t="s">
        <v>6162</v>
      </c>
    </row>
    <row r="32" spans="1:14">
      <c r="A32" t="s">
        <v>51</v>
      </c>
      <c r="B32" t="s">
        <v>247</v>
      </c>
      <c r="C32">
        <v>31</v>
      </c>
      <c r="D32">
        <v>62</v>
      </c>
      <c r="E32">
        <v>54</v>
      </c>
      <c r="F32" s="22">
        <f>主线!K35</f>
        <v>1.01407856301834</v>
      </c>
      <c r="G32" s="22">
        <f>主线!L35</f>
        <v>0.93915380372989</v>
      </c>
      <c r="H32" s="22">
        <v>0.404015665293366</v>
      </c>
      <c r="I32" s="22">
        <f>主线!X35</f>
        <v>0.404015665293364</v>
      </c>
      <c r="J32" s="22">
        <f t="shared" si="0"/>
        <v>0.999999999999996</v>
      </c>
      <c r="K32" s="22">
        <v>38.7080210799458</v>
      </c>
      <c r="L32" s="22">
        <f>主线!Y35</f>
        <v>38.7080210799456</v>
      </c>
      <c r="M32" s="22">
        <f t="shared" si="1"/>
        <v>0.999999999999995</v>
      </c>
      <c r="N32" t="s">
        <v>6162</v>
      </c>
    </row>
    <row r="33" spans="1:14">
      <c r="A33" t="s">
        <v>51</v>
      </c>
      <c r="B33" t="s">
        <v>250</v>
      </c>
      <c r="C33">
        <v>32</v>
      </c>
      <c r="D33">
        <v>64</v>
      </c>
      <c r="E33">
        <v>54</v>
      </c>
      <c r="F33" s="22">
        <f>主线!K36</f>
        <v>1.02479606281563</v>
      </c>
      <c r="G33" s="22">
        <f>主线!L36</f>
        <v>0.945720651600419</v>
      </c>
      <c r="H33" s="22">
        <v>0.387171400935511</v>
      </c>
      <c r="I33" s="22">
        <f>主线!X36</f>
        <v>0.387171400935513</v>
      </c>
      <c r="J33" s="22">
        <f t="shared" si="0"/>
        <v>1</v>
      </c>
      <c r="K33" s="22">
        <v>40.0975429654492</v>
      </c>
      <c r="L33" s="22">
        <f>主线!Y36</f>
        <v>40.097542965449</v>
      </c>
      <c r="M33" s="22">
        <f t="shared" si="1"/>
        <v>0.999999999999996</v>
      </c>
      <c r="N33" t="s">
        <v>6162</v>
      </c>
    </row>
    <row r="34" spans="1:14">
      <c r="A34" t="s">
        <v>51</v>
      </c>
      <c r="B34" t="s">
        <v>253</v>
      </c>
      <c r="C34">
        <v>33</v>
      </c>
      <c r="D34">
        <v>67</v>
      </c>
      <c r="E34">
        <v>55</v>
      </c>
      <c r="F34" s="22">
        <f>主线!K37</f>
        <v>1.03486849074803</v>
      </c>
      <c r="G34" s="22">
        <f>主线!L37</f>
        <v>0.954392190249066</v>
      </c>
      <c r="H34" s="22">
        <v>0.383409375666323</v>
      </c>
      <c r="I34" s="22">
        <f>主线!X37</f>
        <v>0.383409375666323</v>
      </c>
      <c r="J34" s="22">
        <f t="shared" si="0"/>
        <v>0.999999999999999</v>
      </c>
      <c r="K34" s="22">
        <v>40.4989486305438</v>
      </c>
      <c r="L34" s="22">
        <f>主线!Y37</f>
        <v>40.4989486305438</v>
      </c>
      <c r="M34" s="22">
        <f t="shared" si="1"/>
        <v>1</v>
      </c>
      <c r="N34" t="s">
        <v>6162</v>
      </c>
    </row>
    <row r="35" spans="1:14">
      <c r="A35" t="s">
        <v>51</v>
      </c>
      <c r="B35" t="s">
        <v>256</v>
      </c>
      <c r="C35">
        <v>34</v>
      </c>
      <c r="D35">
        <v>71</v>
      </c>
      <c r="E35">
        <v>58</v>
      </c>
      <c r="F35" s="22">
        <f>主线!K38</f>
        <v>1.01031394247642</v>
      </c>
      <c r="G35" s="22">
        <f>主线!L38</f>
        <v>0.943249492157452</v>
      </c>
      <c r="H35" s="22">
        <v>0.391189996977309</v>
      </c>
      <c r="I35" s="22">
        <f>主线!X38</f>
        <v>0.391189996977311</v>
      </c>
      <c r="J35" s="22">
        <f t="shared" si="0"/>
        <v>1.00000000000001</v>
      </c>
      <c r="K35" s="22">
        <v>39.9787142395742</v>
      </c>
      <c r="L35" s="22">
        <f>主线!Y38</f>
        <v>39.9787142395743</v>
      </c>
      <c r="M35" s="22">
        <f t="shared" si="1"/>
        <v>1</v>
      </c>
      <c r="N35" t="s">
        <v>6162</v>
      </c>
    </row>
    <row r="36" spans="1:14">
      <c r="A36" t="s">
        <v>51</v>
      </c>
      <c r="B36" t="s">
        <v>259</v>
      </c>
      <c r="C36">
        <v>35</v>
      </c>
      <c r="D36">
        <v>73</v>
      </c>
      <c r="E36">
        <v>58</v>
      </c>
      <c r="F36" s="22">
        <f>主线!K39</f>
        <v>1.03008918982032</v>
      </c>
      <c r="G36" s="22">
        <f>主线!L39</f>
        <v>0.95608688234005</v>
      </c>
      <c r="H36" s="22">
        <v>0.378958456861266</v>
      </c>
      <c r="I36" s="22">
        <f>主线!X39</f>
        <v>0.378958456861265</v>
      </c>
      <c r="J36" s="22">
        <f t="shared" si="0"/>
        <v>0.999999999999996</v>
      </c>
      <c r="K36" s="22">
        <v>41.0880212539398</v>
      </c>
      <c r="L36" s="22">
        <f>主线!Y39</f>
        <v>41.0880212539398</v>
      </c>
      <c r="M36" s="22">
        <f t="shared" si="1"/>
        <v>0.999999999999999</v>
      </c>
      <c r="N36" t="s">
        <v>6162</v>
      </c>
    </row>
    <row r="37" spans="1:14">
      <c r="A37" t="s">
        <v>51</v>
      </c>
      <c r="B37" t="s">
        <v>262</v>
      </c>
      <c r="C37">
        <v>36</v>
      </c>
      <c r="D37">
        <v>75</v>
      </c>
      <c r="E37">
        <v>59</v>
      </c>
      <c r="F37" s="22">
        <f>主线!K40</f>
        <v>1.0205778647667</v>
      </c>
      <c r="G37" s="22">
        <f>主线!L40</f>
        <v>0.950182228975009</v>
      </c>
      <c r="H37" s="22">
        <v>0.368300682551958</v>
      </c>
      <c r="I37" s="22">
        <f>主线!X40</f>
        <v>0.368300682551958</v>
      </c>
      <c r="J37" s="22">
        <f t="shared" si="0"/>
        <v>1</v>
      </c>
      <c r="K37" s="22">
        <v>42.12673190073</v>
      </c>
      <c r="L37" s="22">
        <f>主线!Y40</f>
        <v>42.1267319007301</v>
      </c>
      <c r="M37" s="22">
        <f t="shared" si="1"/>
        <v>1</v>
      </c>
      <c r="N37" t="s">
        <v>6162</v>
      </c>
    </row>
    <row r="38" spans="1:14">
      <c r="A38" t="s">
        <v>51</v>
      </c>
      <c r="B38" t="s">
        <v>265</v>
      </c>
      <c r="C38">
        <v>37</v>
      </c>
      <c r="D38">
        <v>78</v>
      </c>
      <c r="E38">
        <v>61</v>
      </c>
      <c r="F38" s="22">
        <f>主线!K41</f>
        <v>1.00870656053944</v>
      </c>
      <c r="G38" s="22">
        <f>主线!L41</f>
        <v>0.945620056204626</v>
      </c>
      <c r="H38" s="22">
        <v>0.368235137900447</v>
      </c>
      <c r="I38" s="22">
        <f>主线!X41</f>
        <v>0.368235137900447</v>
      </c>
      <c r="J38" s="22">
        <f t="shared" si="0"/>
        <v>1</v>
      </c>
      <c r="K38" s="22">
        <v>42.2581095781092</v>
      </c>
      <c r="L38" s="22">
        <f>主线!Y41</f>
        <v>42.2581095781091</v>
      </c>
      <c r="M38" s="22">
        <f t="shared" si="1"/>
        <v>0.999999999999998</v>
      </c>
      <c r="N38" t="s">
        <v>6162</v>
      </c>
    </row>
    <row r="39" spans="1:14">
      <c r="A39" t="s">
        <v>51</v>
      </c>
      <c r="B39" t="s">
        <v>268</v>
      </c>
      <c r="C39">
        <v>38</v>
      </c>
      <c r="D39">
        <v>80</v>
      </c>
      <c r="E39">
        <v>61</v>
      </c>
      <c r="F39" s="22">
        <f>主线!K42</f>
        <v>1.03415839674241</v>
      </c>
      <c r="G39" s="22">
        <f>主线!L42</f>
        <v>0.962458090679925</v>
      </c>
      <c r="H39" s="22">
        <v>0.359728110675667</v>
      </c>
      <c r="I39" s="22">
        <f>主线!X42</f>
        <v>0.359728110675667</v>
      </c>
      <c r="J39" s="22">
        <f t="shared" si="0"/>
        <v>1</v>
      </c>
      <c r="K39" s="22">
        <v>43.1530261638491</v>
      </c>
      <c r="L39" s="22">
        <f>主线!Y42</f>
        <v>43.1530261638489</v>
      </c>
      <c r="M39" s="22">
        <f t="shared" si="1"/>
        <v>0.999999999999997</v>
      </c>
      <c r="N39" t="s">
        <v>6162</v>
      </c>
    </row>
    <row r="40" spans="1:14">
      <c r="A40" t="s">
        <v>51</v>
      </c>
      <c r="B40" t="s">
        <v>271</v>
      </c>
      <c r="C40">
        <v>39</v>
      </c>
      <c r="D40">
        <v>85</v>
      </c>
      <c r="E40">
        <v>66</v>
      </c>
      <c r="F40" s="22">
        <f>主线!K43</f>
        <v>1.20115586857662</v>
      </c>
      <c r="G40" s="22">
        <f>主线!L43</f>
        <v>0.783500558195154</v>
      </c>
      <c r="H40" s="22">
        <v>33.1493847565873</v>
      </c>
      <c r="I40" s="22">
        <f>主线!X43</f>
        <v>33.1493847565875</v>
      </c>
      <c r="J40" s="22">
        <f t="shared" si="0"/>
        <v>1</v>
      </c>
      <c r="K40" s="22">
        <v>41.6064598893182</v>
      </c>
      <c r="L40" s="22">
        <f>主线!Y43</f>
        <v>41.6064598893182</v>
      </c>
      <c r="M40" s="22">
        <f t="shared" si="1"/>
        <v>0.999999999999999</v>
      </c>
      <c r="N40" t="s">
        <v>6162</v>
      </c>
    </row>
    <row r="41" spans="1:14">
      <c r="A41" t="s">
        <v>51</v>
      </c>
      <c r="B41" t="s">
        <v>275</v>
      </c>
      <c r="C41">
        <v>40</v>
      </c>
      <c r="D41">
        <v>85</v>
      </c>
      <c r="E41">
        <v>66</v>
      </c>
      <c r="F41" s="22">
        <f>主线!K44</f>
        <v>0.966414568673658</v>
      </c>
      <c r="G41" s="22">
        <f>主线!L44</f>
        <v>0.923000839932547</v>
      </c>
      <c r="H41" s="22">
        <v>0.354098972877245</v>
      </c>
      <c r="I41" s="22">
        <f>主线!X44</f>
        <v>0.354098972877245</v>
      </c>
      <c r="J41" s="22">
        <f t="shared" si="0"/>
        <v>1</v>
      </c>
      <c r="K41" s="22">
        <v>43.9434947541653</v>
      </c>
      <c r="L41" s="22">
        <f>主线!Y44</f>
        <v>43.9434947541653</v>
      </c>
      <c r="M41" s="22">
        <f t="shared" si="1"/>
        <v>1</v>
      </c>
      <c r="N41" t="s">
        <v>6162</v>
      </c>
    </row>
    <row r="42" spans="1:14">
      <c r="A42" t="s">
        <v>51</v>
      </c>
      <c r="B42" t="s">
        <v>278</v>
      </c>
      <c r="C42">
        <v>41</v>
      </c>
      <c r="D42">
        <v>88</v>
      </c>
      <c r="E42">
        <v>66</v>
      </c>
      <c r="F42" s="22">
        <f>主线!K45</f>
        <v>1.027997342752</v>
      </c>
      <c r="G42" s="22">
        <f>主线!L45</f>
        <v>0.96713492442955</v>
      </c>
      <c r="H42" s="22">
        <v>0.356366973285144</v>
      </c>
      <c r="I42" s="22">
        <f>主线!X45</f>
        <v>0.356366973285146</v>
      </c>
      <c r="J42" s="22">
        <f t="shared" si="0"/>
        <v>1</v>
      </c>
      <c r="K42" s="22">
        <v>43.8564399773113</v>
      </c>
      <c r="L42" s="22">
        <f>主线!Y45</f>
        <v>43.8564399773114</v>
      </c>
      <c r="M42" s="22">
        <f t="shared" si="1"/>
        <v>1</v>
      </c>
      <c r="N42" t="s">
        <v>6162</v>
      </c>
    </row>
    <row r="43" spans="1:14">
      <c r="A43" t="s">
        <v>51</v>
      </c>
      <c r="B43" t="s">
        <v>281</v>
      </c>
      <c r="C43">
        <v>42</v>
      </c>
      <c r="D43">
        <v>90</v>
      </c>
      <c r="E43">
        <v>68</v>
      </c>
      <c r="F43" s="22">
        <f>主线!K46</f>
        <v>1.00973869551656</v>
      </c>
      <c r="G43" s="22">
        <f>主线!L46</f>
        <v>0.95855742863271</v>
      </c>
      <c r="H43" s="22">
        <v>0.350808977425681</v>
      </c>
      <c r="I43" s="22">
        <f>主线!X46</f>
        <v>0.350808977425683</v>
      </c>
      <c r="J43" s="22">
        <f t="shared" si="0"/>
        <v>1</v>
      </c>
      <c r="K43" s="22">
        <v>44.5167437636894</v>
      </c>
      <c r="L43" s="22">
        <f>主线!Y46</f>
        <v>44.5167437636895</v>
      </c>
      <c r="M43" s="22">
        <f t="shared" si="1"/>
        <v>1</v>
      </c>
      <c r="N43" t="s">
        <v>6162</v>
      </c>
    </row>
    <row r="44" spans="1:14">
      <c r="A44" t="s">
        <v>51</v>
      </c>
      <c r="B44" t="s">
        <v>284</v>
      </c>
      <c r="C44">
        <v>43</v>
      </c>
      <c r="D44">
        <v>93</v>
      </c>
      <c r="E44">
        <v>70</v>
      </c>
      <c r="F44" s="22">
        <f>主线!K47</f>
        <v>1.01648031153562</v>
      </c>
      <c r="G44" s="22">
        <f>主线!L47</f>
        <v>0.967658956158599</v>
      </c>
      <c r="H44" s="22">
        <v>0.353920060972065</v>
      </c>
      <c r="I44" s="22">
        <f>主线!X47</f>
        <v>0.353920060972063</v>
      </c>
      <c r="J44" s="22">
        <f t="shared" si="0"/>
        <v>0.999999999999995</v>
      </c>
      <c r="K44" s="22">
        <v>44.3553541373245</v>
      </c>
      <c r="L44" s="22">
        <f>主线!Y47</f>
        <v>44.3553541373245</v>
      </c>
      <c r="M44" s="22">
        <f t="shared" si="1"/>
        <v>1</v>
      </c>
      <c r="N44" t="s">
        <v>6162</v>
      </c>
    </row>
    <row r="45" spans="1:14">
      <c r="A45" t="s">
        <v>51</v>
      </c>
      <c r="B45" t="s">
        <v>287</v>
      </c>
      <c r="C45">
        <v>44</v>
      </c>
      <c r="D45">
        <v>95</v>
      </c>
      <c r="E45">
        <v>72</v>
      </c>
      <c r="F45" s="22">
        <f>主线!K48</f>
        <v>1.00143688848163</v>
      </c>
      <c r="G45" s="22">
        <f>主线!L48</f>
        <v>0.961347617462804</v>
      </c>
      <c r="H45" s="22">
        <v>0.349451031935071</v>
      </c>
      <c r="I45" s="22">
        <f>主线!X48</f>
        <v>0.349451031935072</v>
      </c>
      <c r="J45" s="22">
        <f t="shared" si="0"/>
        <v>1</v>
      </c>
      <c r="K45" s="22">
        <v>44.9194508186345</v>
      </c>
      <c r="L45" s="22">
        <f>主线!Y48</f>
        <v>44.9194508186345</v>
      </c>
      <c r="M45" s="22">
        <f t="shared" si="1"/>
        <v>0.999999999999999</v>
      </c>
      <c r="N45" t="s">
        <v>6162</v>
      </c>
    </row>
    <row r="46" spans="1:14">
      <c r="A46" t="s">
        <v>51</v>
      </c>
      <c r="B46" t="s">
        <v>290</v>
      </c>
      <c r="C46">
        <v>45</v>
      </c>
      <c r="D46">
        <v>97</v>
      </c>
      <c r="E46">
        <v>73</v>
      </c>
      <c r="F46" s="22">
        <f>主线!K49</f>
        <v>1.01466557751559</v>
      </c>
      <c r="G46" s="22">
        <f>主线!L49</f>
        <v>0.973152503103764</v>
      </c>
      <c r="H46" s="22">
        <v>0.345552247982335</v>
      </c>
      <c r="I46" s="22">
        <f>主线!X49</f>
        <v>0.345552247982335</v>
      </c>
      <c r="J46" s="22">
        <f t="shared" si="0"/>
        <v>1</v>
      </c>
      <c r="K46" s="22">
        <v>45.4280415858614</v>
      </c>
      <c r="L46" s="22">
        <f>主线!Y49</f>
        <v>45.4280415858614</v>
      </c>
      <c r="M46" s="22">
        <f t="shared" si="1"/>
        <v>1</v>
      </c>
      <c r="N46" t="s">
        <v>6162</v>
      </c>
    </row>
    <row r="47" spans="1:14">
      <c r="A47" t="s">
        <v>51</v>
      </c>
      <c r="B47" t="s">
        <v>293</v>
      </c>
      <c r="C47">
        <v>46</v>
      </c>
      <c r="D47">
        <v>99</v>
      </c>
      <c r="E47">
        <v>75</v>
      </c>
      <c r="F47" s="22">
        <f>主线!K50</f>
        <v>1.00209151416643</v>
      </c>
      <c r="G47" s="22">
        <f>主线!L50</f>
        <v>0.968759000830661</v>
      </c>
      <c r="H47" s="22">
        <v>0.342175792033639</v>
      </c>
      <c r="I47" s="22">
        <f>主线!X50</f>
        <v>0.342175792033638</v>
      </c>
      <c r="J47" s="22">
        <f t="shared" si="0"/>
        <v>0.999999999999998</v>
      </c>
      <c r="K47" s="22">
        <v>45.8978880084753</v>
      </c>
      <c r="L47" s="22">
        <f>主线!Y50</f>
        <v>45.8978880084752</v>
      </c>
      <c r="M47" s="22">
        <f t="shared" si="1"/>
        <v>0.999999999999997</v>
      </c>
      <c r="N47" t="s">
        <v>6162</v>
      </c>
    </row>
    <row r="48" spans="1:14">
      <c r="A48" t="s">
        <v>51</v>
      </c>
      <c r="B48" t="s">
        <v>296</v>
      </c>
      <c r="C48">
        <v>47</v>
      </c>
      <c r="D48">
        <v>101</v>
      </c>
      <c r="E48">
        <v>76</v>
      </c>
      <c r="F48" s="22">
        <f>主线!K51</f>
        <v>1.01688047334457</v>
      </c>
      <c r="G48" s="22">
        <f>主线!L51</f>
        <v>0.98167914664588</v>
      </c>
      <c r="H48" s="22">
        <v>0.339270922029204</v>
      </c>
      <c r="I48" s="22">
        <f>主线!X51</f>
        <v>0.339270922029205</v>
      </c>
      <c r="J48" s="22">
        <f t="shared" si="0"/>
        <v>1</v>
      </c>
      <c r="K48" s="22">
        <v>46.3238734020632</v>
      </c>
      <c r="L48" s="22">
        <f>主线!Y51</f>
        <v>46.3238734020632</v>
      </c>
      <c r="M48" s="22">
        <f t="shared" si="1"/>
        <v>0.999999999999999</v>
      </c>
      <c r="N48" t="s">
        <v>6162</v>
      </c>
    </row>
    <row r="49" spans="1:14">
      <c r="A49" t="s">
        <v>51</v>
      </c>
      <c r="B49" t="s">
        <v>299</v>
      </c>
      <c r="C49">
        <v>48</v>
      </c>
      <c r="D49">
        <v>103</v>
      </c>
      <c r="E49">
        <v>78</v>
      </c>
      <c r="F49" s="22">
        <f>主线!K52</f>
        <v>1.00639702733761</v>
      </c>
      <c r="G49" s="22">
        <f>主线!L52</f>
        <v>0.978758285734352</v>
      </c>
      <c r="H49" s="22">
        <v>0.33679241738497</v>
      </c>
      <c r="I49" s="22">
        <f>主线!X52</f>
        <v>0.336792417384972</v>
      </c>
      <c r="J49" s="22">
        <f t="shared" si="0"/>
        <v>1.00000000000001</v>
      </c>
      <c r="K49" s="22">
        <v>46.7081021148069</v>
      </c>
      <c r="L49" s="22">
        <f>主线!Y52</f>
        <v>46.7081021148068</v>
      </c>
      <c r="M49" s="22">
        <f t="shared" si="1"/>
        <v>0.999999999999999</v>
      </c>
      <c r="N49" t="s">
        <v>6162</v>
      </c>
    </row>
    <row r="50" spans="1:14">
      <c r="A50" t="s">
        <v>51</v>
      </c>
      <c r="B50" t="s">
        <v>302</v>
      </c>
      <c r="C50">
        <v>49</v>
      </c>
      <c r="D50">
        <v>105</v>
      </c>
      <c r="E50">
        <v>80</v>
      </c>
      <c r="F50" s="22">
        <f>主线!K53</f>
        <v>0.997206516604958</v>
      </c>
      <c r="G50" s="22">
        <f>主线!L53</f>
        <v>0.97712924235548</v>
      </c>
      <c r="H50" s="22">
        <v>0.334720577954478</v>
      </c>
      <c r="I50" s="22">
        <f>主线!X53</f>
        <v>0.334720577954478</v>
      </c>
      <c r="J50" s="22">
        <f t="shared" si="0"/>
        <v>1</v>
      </c>
      <c r="K50" s="22">
        <v>47.0460792667152</v>
      </c>
      <c r="L50" s="22">
        <f>主线!Y53</f>
        <v>47.0460792667153</v>
      </c>
      <c r="M50" s="22">
        <f t="shared" si="1"/>
        <v>1</v>
      </c>
      <c r="N50" t="s">
        <v>6162</v>
      </c>
    </row>
    <row r="51" spans="1:14">
      <c r="A51" t="s">
        <v>51</v>
      </c>
      <c r="B51" t="s">
        <v>305</v>
      </c>
      <c r="C51">
        <v>50</v>
      </c>
      <c r="D51">
        <v>107</v>
      </c>
      <c r="E51">
        <v>81</v>
      </c>
      <c r="F51" s="22">
        <f>主线!K54</f>
        <v>1.01403379544631</v>
      </c>
      <c r="G51" s="22">
        <f>主线!L54</f>
        <v>0.991937230662311</v>
      </c>
      <c r="H51" s="22">
        <v>0.333002195639651</v>
      </c>
      <c r="I51" s="22">
        <f>主线!X54</f>
        <v>0.33300219563965</v>
      </c>
      <c r="J51" s="22">
        <f t="shared" si="0"/>
        <v>0.999999999999996</v>
      </c>
      <c r="K51" s="22">
        <v>47.3529116846549</v>
      </c>
      <c r="L51" s="22">
        <f>主线!Y54</f>
        <v>47.352911684655</v>
      </c>
      <c r="M51" s="22">
        <f t="shared" si="1"/>
        <v>1</v>
      </c>
      <c r="N51" t="s">
        <v>6162</v>
      </c>
    </row>
    <row r="52" spans="1:14">
      <c r="A52" t="s">
        <v>51</v>
      </c>
      <c r="B52" t="s">
        <v>308</v>
      </c>
      <c r="C52">
        <v>51</v>
      </c>
      <c r="D52">
        <v>109</v>
      </c>
      <c r="E52">
        <v>83</v>
      </c>
      <c r="F52" s="22">
        <f>主线!K55</f>
        <v>1.00660220959022</v>
      </c>
      <c r="G52" s="22">
        <f>主线!L55</f>
        <v>0.991167860984212</v>
      </c>
      <c r="H52" s="22">
        <v>0.331651951564708</v>
      </c>
      <c r="I52" s="22">
        <f>主线!X55</f>
        <v>0.331651951564707</v>
      </c>
      <c r="J52" s="22">
        <f t="shared" si="0"/>
        <v>0.999999999999996</v>
      </c>
      <c r="K52" s="22">
        <v>47.6237745206067</v>
      </c>
      <c r="L52" s="22">
        <f>主线!Y55</f>
        <v>47.6237745206068</v>
      </c>
      <c r="M52" s="22">
        <f t="shared" si="1"/>
        <v>1</v>
      </c>
      <c r="N52" t="s">
        <v>6162</v>
      </c>
    </row>
    <row r="53" spans="1:14">
      <c r="A53" t="s">
        <v>51</v>
      </c>
      <c r="B53" t="s">
        <v>311</v>
      </c>
      <c r="C53">
        <v>52</v>
      </c>
      <c r="D53">
        <v>111</v>
      </c>
      <c r="E53">
        <v>85</v>
      </c>
      <c r="F53" s="22">
        <f>主线!K56</f>
        <v>1.00026325484935</v>
      </c>
      <c r="G53" s="22">
        <f>主线!L56</f>
        <v>0.991211638477307</v>
      </c>
      <c r="H53" s="22">
        <v>0.330606051632153</v>
      </c>
      <c r="I53" s="22">
        <f>主线!X56</f>
        <v>0.330606051632153</v>
      </c>
      <c r="J53" s="22">
        <f t="shared" si="0"/>
        <v>1</v>
      </c>
      <c r="K53" s="22">
        <v>47.8604326031843</v>
      </c>
      <c r="L53" s="22">
        <f>主线!Y56</f>
        <v>47.8604326031843</v>
      </c>
      <c r="M53" s="22">
        <f t="shared" si="1"/>
        <v>1</v>
      </c>
      <c r="N53" t="s">
        <v>6162</v>
      </c>
    </row>
    <row r="54" spans="1:14">
      <c r="A54" t="s">
        <v>51</v>
      </c>
      <c r="B54" t="s">
        <v>314</v>
      </c>
      <c r="C54">
        <v>53</v>
      </c>
      <c r="D54">
        <v>113</v>
      </c>
      <c r="E54">
        <v>87</v>
      </c>
      <c r="F54" s="22">
        <f>主线!K57</f>
        <v>0.994876590867858</v>
      </c>
      <c r="G54" s="22">
        <f>主线!L57</f>
        <v>0.99232065736176</v>
      </c>
      <c r="H54" s="22">
        <v>0.32987330805735</v>
      </c>
      <c r="I54" s="22">
        <f>主线!X57</f>
        <v>0.329873308057352</v>
      </c>
      <c r="J54" s="22">
        <f t="shared" si="0"/>
        <v>1</v>
      </c>
      <c r="K54" s="22">
        <v>48.0586900409096</v>
      </c>
      <c r="L54" s="22">
        <f>主线!Y57</f>
        <v>48.0586900409096</v>
      </c>
      <c r="M54" s="22">
        <f t="shared" si="1"/>
        <v>1</v>
      </c>
      <c r="N54" t="s">
        <v>6162</v>
      </c>
    </row>
    <row r="55" spans="1:14">
      <c r="A55" t="s">
        <v>51</v>
      </c>
      <c r="B55" t="s">
        <v>317</v>
      </c>
      <c r="C55">
        <v>54</v>
      </c>
      <c r="D55">
        <v>117</v>
      </c>
      <c r="E55">
        <v>93</v>
      </c>
      <c r="F55" s="22">
        <f>主线!K58</f>
        <v>1.16195319678902</v>
      </c>
      <c r="G55" s="22">
        <f>主线!L58</f>
        <v>0.815943846076271</v>
      </c>
      <c r="H55" s="22">
        <v>32.2833537266697</v>
      </c>
      <c r="I55" s="22">
        <f>主线!X58</f>
        <v>32.2833537266695</v>
      </c>
      <c r="J55" s="22">
        <f t="shared" si="0"/>
        <v>0.999999999999994</v>
      </c>
      <c r="K55" s="22">
        <v>46.8403409277363</v>
      </c>
      <c r="L55" s="22">
        <f>主线!Y58</f>
        <v>46.8403409277363</v>
      </c>
      <c r="M55" s="22">
        <f t="shared" si="1"/>
        <v>1</v>
      </c>
      <c r="N55" t="s">
        <v>6162</v>
      </c>
    </row>
    <row r="56" spans="1:14">
      <c r="A56" t="s">
        <v>51</v>
      </c>
      <c r="B56" t="s">
        <v>321</v>
      </c>
      <c r="C56">
        <v>55</v>
      </c>
      <c r="D56">
        <v>117</v>
      </c>
      <c r="E56">
        <v>93</v>
      </c>
      <c r="F56" s="22">
        <f>主线!K59</f>
        <v>0.936658371360033</v>
      </c>
      <c r="G56" s="22">
        <f>主线!L59</f>
        <v>0.962059581842655</v>
      </c>
      <c r="H56" s="22">
        <v>0.329242496243304</v>
      </c>
      <c r="I56" s="22">
        <f>主线!X59</f>
        <v>0.329242496243306</v>
      </c>
      <c r="J56" s="22">
        <f t="shared" si="0"/>
        <v>1</v>
      </c>
      <c r="K56" s="22">
        <v>48.3705223538947</v>
      </c>
      <c r="L56" s="22">
        <f>主线!Y59</f>
        <v>48.3705223538946</v>
      </c>
      <c r="M56" s="22">
        <f t="shared" si="1"/>
        <v>0.999999999999999</v>
      </c>
      <c r="N56" t="s">
        <v>6162</v>
      </c>
    </row>
    <row r="57" spans="1:14">
      <c r="A57" t="s">
        <v>51</v>
      </c>
      <c r="B57" t="s">
        <v>324</v>
      </c>
      <c r="C57">
        <v>56</v>
      </c>
      <c r="D57">
        <v>119</v>
      </c>
      <c r="E57">
        <v>93</v>
      </c>
      <c r="F57" s="22">
        <f>主线!K60</f>
        <v>0.969095971372215</v>
      </c>
      <c r="G57" s="22">
        <f>主线!L60</f>
        <v>0.986555548364361</v>
      </c>
      <c r="H57" s="22">
        <v>0.329313856088537</v>
      </c>
      <c r="I57" s="22">
        <f>主线!X60</f>
        <v>0.329313856088537</v>
      </c>
      <c r="J57" s="22">
        <f t="shared" si="0"/>
        <v>0.999999999999999</v>
      </c>
      <c r="K57" s="22">
        <v>48.4759346002791</v>
      </c>
      <c r="L57" s="22">
        <f>主线!Y60</f>
        <v>48.4759346002791</v>
      </c>
      <c r="M57" s="22">
        <f t="shared" si="1"/>
        <v>1</v>
      </c>
      <c r="N57" t="s">
        <v>6162</v>
      </c>
    </row>
    <row r="58" spans="1:14">
      <c r="A58" t="s">
        <v>51</v>
      </c>
      <c r="B58" t="s">
        <v>327</v>
      </c>
      <c r="C58">
        <v>57</v>
      </c>
      <c r="D58">
        <v>120</v>
      </c>
      <c r="E58">
        <v>93</v>
      </c>
      <c r="F58" s="22">
        <f>主线!K61</f>
        <v>0.983631847188018</v>
      </c>
      <c r="G58" s="22">
        <f>主线!L61</f>
        <v>0.997481495768458</v>
      </c>
      <c r="H58" s="22">
        <v>0.323242924741287</v>
      </c>
      <c r="I58" s="22">
        <f>主线!X61</f>
        <v>0.323242924741287</v>
      </c>
      <c r="J58" s="22">
        <f t="shared" si="0"/>
        <v>1</v>
      </c>
      <c r="K58" s="22">
        <v>49.2585210344942</v>
      </c>
      <c r="L58" s="22">
        <f>主线!Y61</f>
        <v>49.2585210344943</v>
      </c>
      <c r="M58" s="22">
        <f t="shared" si="1"/>
        <v>1</v>
      </c>
      <c r="N58" t="s">
        <v>6162</v>
      </c>
    </row>
    <row r="59" spans="1:14">
      <c r="A59" t="s">
        <v>51</v>
      </c>
      <c r="B59" t="s">
        <v>330</v>
      </c>
      <c r="C59">
        <v>58</v>
      </c>
      <c r="D59">
        <v>122</v>
      </c>
      <c r="E59">
        <v>94</v>
      </c>
      <c r="F59" s="22">
        <f>主线!K62</f>
        <v>0.99564345599446</v>
      </c>
      <c r="G59" s="22">
        <f>主线!L62</f>
        <v>1.00856960862941</v>
      </c>
      <c r="H59" s="22">
        <v>0.323841674715751</v>
      </c>
      <c r="I59" s="22">
        <f>主线!X62</f>
        <v>0.323841674715751</v>
      </c>
      <c r="J59" s="22">
        <f t="shared" si="0"/>
        <v>1</v>
      </c>
      <c r="K59" s="22">
        <v>49.3049547454355</v>
      </c>
      <c r="L59" s="22">
        <f>主线!Y62</f>
        <v>49.3049547454353</v>
      </c>
      <c r="M59" s="22">
        <f t="shared" si="1"/>
        <v>0.999999999999995</v>
      </c>
      <c r="N59" t="s">
        <v>6162</v>
      </c>
    </row>
    <row r="60" spans="1:14">
      <c r="A60" t="s">
        <v>51</v>
      </c>
      <c r="B60" t="s">
        <v>333</v>
      </c>
      <c r="C60">
        <v>59</v>
      </c>
      <c r="D60">
        <v>124</v>
      </c>
      <c r="E60">
        <v>96</v>
      </c>
      <c r="F60" s="22">
        <f>主线!K63</f>
        <v>0.985825707965177</v>
      </c>
      <c r="G60" s="22">
        <f>主线!L63</f>
        <v>1.00569285499113</v>
      </c>
      <c r="H60" s="22">
        <v>0.324658096145097</v>
      </c>
      <c r="I60" s="22">
        <f>主线!X63</f>
        <v>0.324658096145097</v>
      </c>
      <c r="J60" s="22">
        <f t="shared" si="0"/>
        <v>1</v>
      </c>
      <c r="K60" s="22">
        <v>49.3279523595823</v>
      </c>
      <c r="L60" s="22">
        <f>主线!Y63</f>
        <v>49.3279523595822</v>
      </c>
      <c r="M60" s="22">
        <f t="shared" si="1"/>
        <v>0.999999999999997</v>
      </c>
      <c r="N60" t="s">
        <v>6162</v>
      </c>
    </row>
    <row r="61" spans="1:14">
      <c r="A61" t="s">
        <v>51</v>
      </c>
      <c r="B61" t="s">
        <v>336</v>
      </c>
      <c r="C61">
        <v>60</v>
      </c>
      <c r="D61">
        <v>126</v>
      </c>
      <c r="E61">
        <v>97</v>
      </c>
      <c r="F61" s="22">
        <f>主线!K64</f>
        <v>0.999010565688931</v>
      </c>
      <c r="G61" s="22">
        <f>主线!L64</f>
        <v>1.01784087196355</v>
      </c>
      <c r="H61" s="22">
        <v>0.325686277528304</v>
      </c>
      <c r="I61" s="22">
        <f>主线!X64</f>
        <v>0.325686277528304</v>
      </c>
      <c r="J61" s="22">
        <f t="shared" si="0"/>
        <v>1</v>
      </c>
      <c r="K61" s="22">
        <v>49.3237378243379</v>
      </c>
      <c r="L61" s="22">
        <f>主线!Y64</f>
        <v>49.3237378243378</v>
      </c>
      <c r="M61" s="22">
        <f t="shared" si="1"/>
        <v>0.999999999999998</v>
      </c>
      <c r="N61" t="s">
        <v>6162</v>
      </c>
    </row>
    <row r="62" spans="1:14">
      <c r="A62" t="s">
        <v>51</v>
      </c>
      <c r="B62" t="s">
        <v>339</v>
      </c>
      <c r="C62">
        <v>61</v>
      </c>
      <c r="D62">
        <v>128</v>
      </c>
      <c r="E62">
        <v>99</v>
      </c>
      <c r="F62" s="22">
        <f>主线!K65</f>
        <v>0.990624652227943</v>
      </c>
      <c r="G62" s="22">
        <f>主线!L65</f>
        <v>1.01588660377241</v>
      </c>
      <c r="H62" s="22">
        <v>0.326911488471052</v>
      </c>
      <c r="I62" s="22">
        <f>主线!X65</f>
        <v>0.326911488471051</v>
      </c>
      <c r="J62" s="22">
        <f t="shared" si="0"/>
        <v>0.999999999999997</v>
      </c>
      <c r="K62" s="22">
        <v>49.3036502508229</v>
      </c>
      <c r="L62" s="22">
        <f>主线!Y65</f>
        <v>49.3036502508231</v>
      </c>
      <c r="M62" s="22">
        <f t="shared" si="1"/>
        <v>1</v>
      </c>
      <c r="N62" t="s">
        <v>6162</v>
      </c>
    </row>
    <row r="63" spans="1:14">
      <c r="A63" t="s">
        <v>51</v>
      </c>
      <c r="B63" t="s">
        <v>342</v>
      </c>
      <c r="C63">
        <v>62</v>
      </c>
      <c r="D63">
        <v>129</v>
      </c>
      <c r="E63">
        <v>100</v>
      </c>
      <c r="F63" s="22">
        <f>主线!K66</f>
        <v>0.986213384704065</v>
      </c>
      <c r="G63" s="22">
        <f>主线!L66</f>
        <v>1.01486036890052</v>
      </c>
      <c r="H63" s="22">
        <v>0.322228919125984</v>
      </c>
      <c r="I63" s="22">
        <f>主线!X66</f>
        <v>0.322228919125985</v>
      </c>
      <c r="J63" s="22">
        <f t="shared" si="0"/>
        <v>1</v>
      </c>
      <c r="K63" s="22">
        <v>49.9265957593931</v>
      </c>
      <c r="L63" s="22">
        <f>主线!Y66</f>
        <v>49.9265957593933</v>
      </c>
      <c r="M63" s="22">
        <f t="shared" si="1"/>
        <v>1</v>
      </c>
      <c r="N63" t="s">
        <v>6162</v>
      </c>
    </row>
    <row r="64" spans="1:14">
      <c r="A64" t="s">
        <v>51</v>
      </c>
      <c r="B64" t="s">
        <v>345</v>
      </c>
      <c r="C64">
        <v>63</v>
      </c>
      <c r="D64">
        <v>131</v>
      </c>
      <c r="E64">
        <v>101</v>
      </c>
      <c r="F64" s="22">
        <f>主线!K67</f>
        <v>1.00094452750324</v>
      </c>
      <c r="G64" s="22">
        <f>主线!L67</f>
        <v>1.02833807451501</v>
      </c>
      <c r="H64" s="22">
        <v>0.323856896816703</v>
      </c>
      <c r="I64" s="22">
        <f>主线!X67</f>
        <v>0.323856896816702</v>
      </c>
      <c r="J64" s="22">
        <f t="shared" si="0"/>
        <v>0.999999999999997</v>
      </c>
      <c r="K64" s="22">
        <v>49.8493289248317</v>
      </c>
      <c r="L64" s="22">
        <f>主线!Y67</f>
        <v>49.8493289248319</v>
      </c>
      <c r="M64" s="22">
        <f t="shared" si="1"/>
        <v>1</v>
      </c>
      <c r="N64" t="s">
        <v>6162</v>
      </c>
    </row>
    <row r="65" spans="1:14">
      <c r="A65" t="s">
        <v>51</v>
      </c>
      <c r="B65" t="s">
        <v>348</v>
      </c>
      <c r="C65">
        <v>64</v>
      </c>
      <c r="D65">
        <v>132</v>
      </c>
      <c r="E65">
        <v>102</v>
      </c>
      <c r="F65" s="22">
        <f>主线!K68</f>
        <v>0.997635415447049</v>
      </c>
      <c r="G65" s="22">
        <f>主线!L68</f>
        <v>1.02837922978113</v>
      </c>
      <c r="H65" s="22">
        <v>0.319686779068387</v>
      </c>
      <c r="I65" s="22">
        <f>主线!X68</f>
        <v>0.319686779068387</v>
      </c>
      <c r="J65" s="22">
        <f t="shared" si="0"/>
        <v>1</v>
      </c>
      <c r="K65" s="22">
        <v>50.4210751889893</v>
      </c>
      <c r="L65" s="22">
        <f>主线!Y68</f>
        <v>50.4210751889891</v>
      </c>
      <c r="M65" s="22">
        <f t="shared" si="1"/>
        <v>0.999999999999997</v>
      </c>
      <c r="N65" t="s">
        <v>6162</v>
      </c>
    </row>
    <row r="66" spans="1:14">
      <c r="A66" t="s">
        <v>51</v>
      </c>
      <c r="B66" t="s">
        <v>351</v>
      </c>
      <c r="C66">
        <v>65</v>
      </c>
      <c r="D66">
        <v>134</v>
      </c>
      <c r="E66">
        <v>104</v>
      </c>
      <c r="F66" s="22">
        <f>主线!K69</f>
        <v>0.987040511775901</v>
      </c>
      <c r="G66" s="22">
        <f>主线!L69</f>
        <v>1.02360876153592</v>
      </c>
      <c r="H66" s="22">
        <v>0.318204208364364</v>
      </c>
      <c r="I66" s="22">
        <f>主线!X69</f>
        <v>0.318204208364364</v>
      </c>
      <c r="J66" s="22">
        <f t="shared" ref="J66:J129" si="2">I66/H66</f>
        <v>0.999999999999998</v>
      </c>
      <c r="K66" s="22">
        <v>50.9633917093448</v>
      </c>
      <c r="L66" s="22">
        <f>主线!Y69</f>
        <v>50.9633917093448</v>
      </c>
      <c r="M66" s="22">
        <f t="shared" ref="M66:M129" si="3">L66/K66</f>
        <v>1</v>
      </c>
      <c r="N66" t="s">
        <v>6162</v>
      </c>
    </row>
    <row r="67" spans="1:14">
      <c r="A67" t="s">
        <v>51</v>
      </c>
      <c r="B67" t="s">
        <v>354</v>
      </c>
      <c r="C67">
        <v>66</v>
      </c>
      <c r="D67">
        <v>136</v>
      </c>
      <c r="E67">
        <v>105</v>
      </c>
      <c r="F67" s="22">
        <f>主线!K70</f>
        <v>0.998550138916637</v>
      </c>
      <c r="G67" s="22">
        <f>主线!L70</f>
        <v>1.03376514973803</v>
      </c>
      <c r="H67" s="22">
        <v>0.317054568676106</v>
      </c>
      <c r="I67" s="22">
        <f>主线!X70</f>
        <v>0.317054568676107</v>
      </c>
      <c r="J67" s="22">
        <f t="shared" si="2"/>
        <v>1</v>
      </c>
      <c r="K67" s="22">
        <v>51.453067326681</v>
      </c>
      <c r="L67" s="22">
        <f>主线!Y70</f>
        <v>51.4530673266811</v>
      </c>
      <c r="M67" s="22">
        <f t="shared" si="3"/>
        <v>1</v>
      </c>
      <c r="N67" t="s">
        <v>6162</v>
      </c>
    </row>
    <row r="68" spans="1:14">
      <c r="A68" t="s">
        <v>51</v>
      </c>
      <c r="B68" t="s">
        <v>357</v>
      </c>
      <c r="C68">
        <v>67</v>
      </c>
      <c r="D68">
        <v>138</v>
      </c>
      <c r="E68">
        <v>107</v>
      </c>
      <c r="F68" s="22">
        <f>主线!K71</f>
        <v>0.98965806705272</v>
      </c>
      <c r="G68" s="22">
        <f>主线!L71</f>
        <v>1.03062118712493</v>
      </c>
      <c r="H68" s="22">
        <v>0.316225072939499</v>
      </c>
      <c r="I68" s="22">
        <f>主线!X71</f>
        <v>0.3162250729395</v>
      </c>
      <c r="J68" s="22">
        <f t="shared" si="2"/>
        <v>1</v>
      </c>
      <c r="K68" s="22">
        <v>51.9058012329765</v>
      </c>
      <c r="L68" s="22">
        <f>主线!Y71</f>
        <v>51.9058012329767</v>
      </c>
      <c r="M68" s="22">
        <f t="shared" si="3"/>
        <v>1</v>
      </c>
      <c r="N68" t="s">
        <v>6162</v>
      </c>
    </row>
    <row r="69" spans="1:14">
      <c r="A69" t="s">
        <v>51</v>
      </c>
      <c r="B69" t="s">
        <v>360</v>
      </c>
      <c r="C69">
        <v>68</v>
      </c>
      <c r="D69">
        <v>139</v>
      </c>
      <c r="E69">
        <v>108</v>
      </c>
      <c r="F69" s="22">
        <f>主线!K72</f>
        <v>0.984610536180902</v>
      </c>
      <c r="G69" s="22">
        <f>主线!L72</f>
        <v>1.02872117476586</v>
      </c>
      <c r="H69" s="22">
        <v>0.310042893658953</v>
      </c>
      <c r="I69" s="22">
        <f>主线!X72</f>
        <v>0.310042893658953</v>
      </c>
      <c r="J69" s="22">
        <f t="shared" si="2"/>
        <v>1</v>
      </c>
      <c r="K69" s="22">
        <v>52.984643684798</v>
      </c>
      <c r="L69" s="22">
        <f>主线!Y72</f>
        <v>52.9846436847977</v>
      </c>
      <c r="M69" s="22">
        <f t="shared" si="3"/>
        <v>0.999999999999995</v>
      </c>
      <c r="N69" t="s">
        <v>6162</v>
      </c>
    </row>
    <row r="70" spans="1:14">
      <c r="A70" t="s">
        <v>51</v>
      </c>
      <c r="B70" t="s">
        <v>363</v>
      </c>
      <c r="C70">
        <v>69</v>
      </c>
      <c r="D70">
        <v>144</v>
      </c>
      <c r="E70">
        <v>114</v>
      </c>
      <c r="F70" s="22">
        <f>主线!K73</f>
        <v>1.1772020151162</v>
      </c>
      <c r="G70" s="22">
        <f>主线!L73</f>
        <v>0.867020194582327</v>
      </c>
      <c r="H70" s="22">
        <v>32.266999176419</v>
      </c>
      <c r="I70" s="22">
        <f>主线!X73</f>
        <v>32.2669991764191</v>
      </c>
      <c r="J70" s="22">
        <f t="shared" si="2"/>
        <v>1</v>
      </c>
      <c r="K70" s="22">
        <v>51.3625113081091</v>
      </c>
      <c r="L70" s="22">
        <f>主线!Y73</f>
        <v>51.3625113081091</v>
      </c>
      <c r="M70" s="22">
        <f t="shared" si="3"/>
        <v>1</v>
      </c>
      <c r="N70" t="s">
        <v>6162</v>
      </c>
    </row>
    <row r="71" spans="1:14">
      <c r="A71" t="s">
        <v>51</v>
      </c>
      <c r="B71" t="s">
        <v>367</v>
      </c>
      <c r="C71">
        <v>70</v>
      </c>
      <c r="D71">
        <v>144</v>
      </c>
      <c r="E71">
        <v>114</v>
      </c>
      <c r="F71" s="22">
        <f>主线!K74</f>
        <v>0.946973186351584</v>
      </c>
      <c r="G71" s="22">
        <f>主线!L74</f>
        <v>1.01118595207737</v>
      </c>
      <c r="H71" s="22">
        <v>0.315410175624887</v>
      </c>
      <c r="I71" s="22">
        <f>主线!X74</f>
        <v>0.315410175624887</v>
      </c>
      <c r="J71" s="22">
        <f t="shared" si="2"/>
        <v>1</v>
      </c>
      <c r="K71" s="22">
        <v>53.0014571336386</v>
      </c>
      <c r="L71" s="22">
        <f>主线!Y74</f>
        <v>53.0014571336387</v>
      </c>
      <c r="M71" s="22">
        <f t="shared" si="3"/>
        <v>1</v>
      </c>
      <c r="N71" t="s">
        <v>6162</v>
      </c>
    </row>
    <row r="72" spans="1:14">
      <c r="A72" t="s">
        <v>51</v>
      </c>
      <c r="B72" t="s">
        <v>370</v>
      </c>
      <c r="C72">
        <v>71</v>
      </c>
      <c r="D72">
        <v>145</v>
      </c>
      <c r="E72">
        <v>114</v>
      </c>
      <c r="F72" s="22">
        <f>主线!K75</f>
        <v>0.957673556884445</v>
      </c>
      <c r="G72" s="22">
        <f>主线!L75</f>
        <v>1.01852776467842</v>
      </c>
      <c r="H72" s="22">
        <v>0.31014802099783</v>
      </c>
      <c r="I72" s="22">
        <f>主线!X75</f>
        <v>0.31014802099783</v>
      </c>
      <c r="J72" s="22">
        <f t="shared" si="2"/>
        <v>1</v>
      </c>
      <c r="K72" s="22">
        <v>53.9547836128263</v>
      </c>
      <c r="L72" s="22">
        <f>主线!Y75</f>
        <v>53.9547836128261</v>
      </c>
      <c r="M72" s="22">
        <f t="shared" si="3"/>
        <v>0.999999999999997</v>
      </c>
      <c r="N72" t="s">
        <v>6162</v>
      </c>
    </row>
    <row r="73" spans="1:14">
      <c r="A73" t="s">
        <v>51</v>
      </c>
      <c r="B73" t="s">
        <v>373</v>
      </c>
      <c r="C73">
        <v>72</v>
      </c>
      <c r="D73">
        <v>147</v>
      </c>
      <c r="E73">
        <v>114</v>
      </c>
      <c r="F73" s="22">
        <f>主线!K76</f>
        <v>0.986274409053558</v>
      </c>
      <c r="G73" s="22">
        <f>主线!L76</f>
        <v>1.03929643780796</v>
      </c>
      <c r="H73" s="22">
        <v>0.310656636933683</v>
      </c>
      <c r="I73" s="22">
        <f>主线!X76</f>
        <v>0.310656636933684</v>
      </c>
      <c r="J73" s="22">
        <f t="shared" si="2"/>
        <v>1</v>
      </c>
      <c r="K73" s="22">
        <v>54.2035675819847</v>
      </c>
      <c r="L73" s="22">
        <f>主线!Y76</f>
        <v>54.2035675819844</v>
      </c>
      <c r="M73" s="22">
        <f t="shared" si="3"/>
        <v>0.999999999999995</v>
      </c>
      <c r="N73" t="s">
        <v>6162</v>
      </c>
    </row>
    <row r="74" spans="1:14">
      <c r="A74" t="s">
        <v>51</v>
      </c>
      <c r="B74" t="s">
        <v>376</v>
      </c>
      <c r="C74">
        <v>73</v>
      </c>
      <c r="D74">
        <v>148</v>
      </c>
      <c r="E74">
        <v>115</v>
      </c>
      <c r="F74" s="22">
        <f>主线!K77</f>
        <v>0.978576143487475</v>
      </c>
      <c r="G74" s="22">
        <f>主线!L77</f>
        <v>1.03487220189035</v>
      </c>
      <c r="H74" s="22">
        <v>0.306011026773959</v>
      </c>
      <c r="I74" s="22">
        <f>主线!X77</f>
        <v>0.306011026773959</v>
      </c>
      <c r="J74" s="22">
        <f t="shared" si="2"/>
        <v>1</v>
      </c>
      <c r="K74" s="22">
        <v>55.0888820710865</v>
      </c>
      <c r="L74" s="22">
        <f>主线!Y77</f>
        <v>55.0888820710866</v>
      </c>
      <c r="M74" s="22">
        <f t="shared" si="3"/>
        <v>1</v>
      </c>
      <c r="N74" t="s">
        <v>6162</v>
      </c>
    </row>
    <row r="75" spans="1:14">
      <c r="A75" t="s">
        <v>51</v>
      </c>
      <c r="B75" t="s">
        <v>379</v>
      </c>
      <c r="C75">
        <v>74</v>
      </c>
      <c r="D75">
        <v>150</v>
      </c>
      <c r="E75">
        <v>116</v>
      </c>
      <c r="F75" s="22">
        <f>主线!K78</f>
        <v>0.988628986659005</v>
      </c>
      <c r="G75" s="22">
        <f>主线!L78</f>
        <v>1.04366231164812</v>
      </c>
      <c r="H75" s="22">
        <v>0.306982170586159</v>
      </c>
      <c r="I75" s="22">
        <f>主线!X78</f>
        <v>0.306982170586159</v>
      </c>
      <c r="J75" s="22">
        <f t="shared" si="2"/>
        <v>0.999999999999999</v>
      </c>
      <c r="K75" s="22">
        <v>55.2615134573595</v>
      </c>
      <c r="L75" s="22">
        <f>主线!Y78</f>
        <v>55.2615134573594</v>
      </c>
      <c r="M75" s="22">
        <f t="shared" si="3"/>
        <v>0.999999999999998</v>
      </c>
      <c r="N75" t="s">
        <v>6162</v>
      </c>
    </row>
    <row r="76" spans="1:14">
      <c r="A76" t="s">
        <v>51</v>
      </c>
      <c r="B76" t="s">
        <v>382</v>
      </c>
      <c r="C76">
        <v>75</v>
      </c>
      <c r="D76">
        <v>153</v>
      </c>
      <c r="E76">
        <v>119</v>
      </c>
      <c r="F76" s="22">
        <f>主线!K79</f>
        <v>0.9767031930946</v>
      </c>
      <c r="G76" s="22">
        <f>主线!L79</f>
        <v>1.03985025416137</v>
      </c>
      <c r="H76" s="22">
        <v>0.313477710478681</v>
      </c>
      <c r="I76" s="22">
        <f>主线!X79</f>
        <v>0.313477710478681</v>
      </c>
      <c r="J76" s="22">
        <f t="shared" si="2"/>
        <v>1</v>
      </c>
      <c r="K76" s="22">
        <v>54.7372477275219</v>
      </c>
      <c r="L76" s="22">
        <f>主线!Y79</f>
        <v>54.737247727522</v>
      </c>
      <c r="M76" s="22">
        <f t="shared" si="3"/>
        <v>1</v>
      </c>
      <c r="N76" t="s">
        <v>6162</v>
      </c>
    </row>
    <row r="77" spans="1:14">
      <c r="A77" t="s">
        <v>51</v>
      </c>
      <c r="B77" t="s">
        <v>385</v>
      </c>
      <c r="C77">
        <v>76</v>
      </c>
      <c r="D77">
        <v>154</v>
      </c>
      <c r="E77">
        <v>119</v>
      </c>
      <c r="F77" s="22">
        <f>主线!K80</f>
        <v>0.990472025846035</v>
      </c>
      <c r="G77" s="22">
        <f>主线!L80</f>
        <v>1.04996037606877</v>
      </c>
      <c r="H77" s="22">
        <v>0.30949606947827</v>
      </c>
      <c r="I77" s="22">
        <f>主线!X80</f>
        <v>0.30949606947827</v>
      </c>
      <c r="J77" s="22">
        <f t="shared" si="2"/>
        <v>1</v>
      </c>
      <c r="K77" s="22">
        <v>55.513574124432</v>
      </c>
      <c r="L77" s="22">
        <f>主线!Y80</f>
        <v>55.513574124432</v>
      </c>
      <c r="M77" s="22">
        <f t="shared" si="3"/>
        <v>1</v>
      </c>
      <c r="N77" t="s">
        <v>6162</v>
      </c>
    </row>
    <row r="78" spans="1:14">
      <c r="A78" t="s">
        <v>51</v>
      </c>
      <c r="B78" t="s">
        <v>388</v>
      </c>
      <c r="C78">
        <v>77</v>
      </c>
      <c r="D78">
        <v>155</v>
      </c>
      <c r="E78">
        <v>120</v>
      </c>
      <c r="F78" s="22">
        <f>主线!K81</f>
        <v>0.985226928267657</v>
      </c>
      <c r="G78" s="22">
        <f>主线!L81</f>
        <v>1.04776127087879</v>
      </c>
      <c r="H78" s="22">
        <v>0.30579976504819</v>
      </c>
      <c r="I78" s="22">
        <f>主线!X81</f>
        <v>0.305799765048191</v>
      </c>
      <c r="J78" s="22">
        <f t="shared" si="2"/>
        <v>1</v>
      </c>
      <c r="K78" s="22">
        <v>56.2581790144256</v>
      </c>
      <c r="L78" s="22">
        <f>主线!Y81</f>
        <v>56.2581790144257</v>
      </c>
      <c r="M78" s="22">
        <f t="shared" si="3"/>
        <v>1</v>
      </c>
      <c r="N78" t="s">
        <v>6162</v>
      </c>
    </row>
    <row r="79" spans="1:14">
      <c r="A79" t="s">
        <v>51</v>
      </c>
      <c r="B79" t="s">
        <v>391</v>
      </c>
      <c r="C79">
        <v>78</v>
      </c>
      <c r="D79">
        <v>157</v>
      </c>
      <c r="E79">
        <v>122</v>
      </c>
      <c r="F79" s="22">
        <f>主线!K82</f>
        <v>0.977938453546373</v>
      </c>
      <c r="G79" s="22">
        <f>主线!L82</f>
        <v>1.04583440656595</v>
      </c>
      <c r="H79" s="22">
        <v>0.307532250624932</v>
      </c>
      <c r="I79" s="22">
        <f>主线!X82</f>
        <v>0.307532250624932</v>
      </c>
      <c r="J79" s="22">
        <f t="shared" si="2"/>
        <v>0.999999999999999</v>
      </c>
      <c r="K79" s="22">
        <v>56.3009231107313</v>
      </c>
      <c r="L79" s="22">
        <f>主线!Y82</f>
        <v>56.300923110731</v>
      </c>
      <c r="M79" s="22">
        <f t="shared" si="3"/>
        <v>0.999999999999995</v>
      </c>
      <c r="N79" t="s">
        <v>6162</v>
      </c>
    </row>
    <row r="80" spans="1:14">
      <c r="A80" t="s">
        <v>51</v>
      </c>
      <c r="B80" t="s">
        <v>394</v>
      </c>
      <c r="C80">
        <v>79</v>
      </c>
      <c r="D80">
        <v>157</v>
      </c>
      <c r="E80">
        <v>122</v>
      </c>
      <c r="F80" s="22">
        <f>主线!K83</f>
        <v>0.97656530637776</v>
      </c>
      <c r="G80" s="22">
        <f>主线!L83</f>
        <v>1.04497844412362</v>
      </c>
      <c r="H80" s="22">
        <v>0.29918923163779</v>
      </c>
      <c r="I80" s="22">
        <f>主线!X83</f>
        <v>0.29918923163779</v>
      </c>
      <c r="J80" s="22">
        <f t="shared" si="2"/>
        <v>1</v>
      </c>
      <c r="K80" s="22">
        <v>57.6613309360165</v>
      </c>
      <c r="L80" s="22">
        <f>主线!Y83</f>
        <v>57.6613309360162</v>
      </c>
      <c r="M80" s="22">
        <f t="shared" si="3"/>
        <v>0.999999999999996</v>
      </c>
      <c r="N80" t="s">
        <v>6162</v>
      </c>
    </row>
    <row r="81" spans="1:14">
      <c r="A81" t="s">
        <v>51</v>
      </c>
      <c r="B81" t="s">
        <v>397</v>
      </c>
      <c r="C81">
        <v>80</v>
      </c>
      <c r="D81">
        <v>159</v>
      </c>
      <c r="E81">
        <v>123</v>
      </c>
      <c r="F81" s="22">
        <f>主线!K84</f>
        <v>0.98955674988599</v>
      </c>
      <c r="G81" s="22">
        <f>主线!L84</f>
        <v>1.05662820165562</v>
      </c>
      <c r="H81" s="22">
        <v>0.301252952260671</v>
      </c>
      <c r="I81" s="22">
        <f>主线!X84</f>
        <v>0.301252952260671</v>
      </c>
      <c r="J81" s="22">
        <f t="shared" si="2"/>
        <v>1</v>
      </c>
      <c r="K81" s="22">
        <v>57.6424179587933</v>
      </c>
      <c r="L81" s="22">
        <f>主线!Y84</f>
        <v>57.6424179587933</v>
      </c>
      <c r="M81" s="22">
        <f t="shared" si="3"/>
        <v>1</v>
      </c>
      <c r="N81" t="s">
        <v>6162</v>
      </c>
    </row>
    <row r="82" spans="1:14">
      <c r="A82" t="s">
        <v>51</v>
      </c>
      <c r="B82" t="s">
        <v>400</v>
      </c>
      <c r="C82">
        <v>81</v>
      </c>
      <c r="D82">
        <v>161</v>
      </c>
      <c r="E82">
        <v>125</v>
      </c>
      <c r="F82" s="22">
        <f>主线!K85</f>
        <v>0.983789364303365</v>
      </c>
      <c r="G82" s="22">
        <f>主线!L85</f>
        <v>1.05610178247524</v>
      </c>
      <c r="H82" s="22">
        <v>0.303480385768075</v>
      </c>
      <c r="I82" s="22">
        <f>主线!X85</f>
        <v>0.303480385768076</v>
      </c>
      <c r="J82" s="22">
        <f t="shared" si="2"/>
        <v>1</v>
      </c>
      <c r="K82" s="22">
        <v>57.5948076619081</v>
      </c>
      <c r="L82" s="22">
        <f>主线!Y85</f>
        <v>57.5948076619078</v>
      </c>
      <c r="M82" s="22">
        <f t="shared" si="3"/>
        <v>0.999999999999995</v>
      </c>
      <c r="N82" t="s">
        <v>6162</v>
      </c>
    </row>
    <row r="83" spans="1:14">
      <c r="A83" t="s">
        <v>51</v>
      </c>
      <c r="B83" t="s">
        <v>403</v>
      </c>
      <c r="C83">
        <v>82</v>
      </c>
      <c r="D83">
        <v>163</v>
      </c>
      <c r="E83">
        <v>127</v>
      </c>
      <c r="F83" s="22">
        <f>主线!K86</f>
        <v>0.978639490283494</v>
      </c>
      <c r="G83" s="22">
        <f>主线!L86</f>
        <v>1.05603496423753</v>
      </c>
      <c r="H83" s="22">
        <v>0.305859747950294</v>
      </c>
      <c r="I83" s="22">
        <f>主线!X86</f>
        <v>0.305859747950294</v>
      </c>
      <c r="J83" s="22">
        <f t="shared" si="2"/>
        <v>1</v>
      </c>
      <c r="K83" s="22">
        <v>57.5237792263925</v>
      </c>
      <c r="L83" s="22">
        <f>主线!Y86</f>
        <v>57.5237792263923</v>
      </c>
      <c r="M83" s="22">
        <f t="shared" si="3"/>
        <v>0.999999999999996</v>
      </c>
      <c r="N83" t="s">
        <v>6162</v>
      </c>
    </row>
    <row r="84" spans="1:14">
      <c r="A84" t="s">
        <v>51</v>
      </c>
      <c r="B84" t="s">
        <v>406</v>
      </c>
      <c r="C84">
        <v>83</v>
      </c>
      <c r="D84">
        <v>164</v>
      </c>
      <c r="E84">
        <v>128</v>
      </c>
      <c r="F84" s="22">
        <f>主线!K87</f>
        <v>0.976636235090301</v>
      </c>
      <c r="G84" s="22">
        <f>主线!L87</f>
        <v>1.05672129853038</v>
      </c>
      <c r="H84" s="22">
        <v>0.303358040449149</v>
      </c>
      <c r="I84" s="22">
        <f>主线!X87</f>
        <v>0.303358040449149</v>
      </c>
      <c r="J84" s="22">
        <f t="shared" si="2"/>
        <v>0.999999999999999</v>
      </c>
      <c r="K84" s="22">
        <v>58.0933560067646</v>
      </c>
      <c r="L84" s="22">
        <f>主线!Y87</f>
        <v>58.0933560067645</v>
      </c>
      <c r="M84" s="22">
        <f t="shared" si="3"/>
        <v>0.999999999999999</v>
      </c>
      <c r="N84" t="s">
        <v>6162</v>
      </c>
    </row>
    <row r="85" spans="1:14">
      <c r="A85" t="s">
        <v>51</v>
      </c>
      <c r="B85" t="s">
        <v>409</v>
      </c>
      <c r="C85">
        <v>84</v>
      </c>
      <c r="D85">
        <v>168</v>
      </c>
      <c r="E85">
        <v>133</v>
      </c>
      <c r="F85" s="22">
        <f>主线!K88</f>
        <v>1.1748150808859</v>
      </c>
      <c r="G85" s="22">
        <f>主线!L88</f>
        <v>0.902183217916966</v>
      </c>
      <c r="H85" s="22">
        <v>32.2577865086517</v>
      </c>
      <c r="I85" s="22">
        <f>主线!X88</f>
        <v>32.2577865086517</v>
      </c>
      <c r="J85" s="22">
        <f t="shared" si="2"/>
        <v>1</v>
      </c>
      <c r="K85" s="22">
        <v>56.6707392385744</v>
      </c>
      <c r="L85" s="22">
        <f>主线!Y88</f>
        <v>56.6707392385744</v>
      </c>
      <c r="M85" s="22">
        <f t="shared" si="3"/>
        <v>1</v>
      </c>
      <c r="N85" t="s">
        <v>6162</v>
      </c>
    </row>
    <row r="86" spans="1:14">
      <c r="A86" t="s">
        <v>51</v>
      </c>
      <c r="B86" t="s">
        <v>413</v>
      </c>
      <c r="C86">
        <v>85</v>
      </c>
      <c r="D86">
        <v>168</v>
      </c>
      <c r="E86">
        <v>133</v>
      </c>
      <c r="F86" s="22">
        <f>主线!K89</f>
        <v>0.947775043967154</v>
      </c>
      <c r="G86" s="22">
        <f>主线!L89</f>
        <v>1.0436561233515</v>
      </c>
      <c r="H86" s="22">
        <v>0.308852056235431</v>
      </c>
      <c r="I86" s="22">
        <f>主线!X89</f>
        <v>0.308852056235431</v>
      </c>
      <c r="J86" s="22">
        <f t="shared" si="2"/>
        <v>0.999999999999999</v>
      </c>
      <c r="K86" s="22">
        <v>57.8269919088198</v>
      </c>
      <c r="L86" s="22">
        <f>主线!Y89</f>
        <v>57.82699190882</v>
      </c>
      <c r="M86" s="22">
        <f t="shared" si="3"/>
        <v>1</v>
      </c>
      <c r="N86" t="s">
        <v>6162</v>
      </c>
    </row>
    <row r="87" spans="1:14">
      <c r="A87" t="s">
        <v>51</v>
      </c>
      <c r="B87" t="s">
        <v>416</v>
      </c>
      <c r="C87">
        <v>86</v>
      </c>
      <c r="D87">
        <v>168</v>
      </c>
      <c r="E87">
        <v>133</v>
      </c>
      <c r="F87" s="22">
        <f>主线!K90</f>
        <v>0.943549360152862</v>
      </c>
      <c r="G87" s="22">
        <f>主线!L90</f>
        <v>1.04000711171875</v>
      </c>
      <c r="H87" s="22">
        <v>0.30186482099524</v>
      </c>
      <c r="I87" s="22">
        <f>主线!X90</f>
        <v>0.30186482099524</v>
      </c>
      <c r="J87" s="22">
        <f t="shared" si="2"/>
        <v>0.999999999999999</v>
      </c>
      <c r="K87" s="22">
        <v>58.9751490323662</v>
      </c>
      <c r="L87" s="22">
        <f>主线!Y90</f>
        <v>58.9751490323663</v>
      </c>
      <c r="M87" s="22">
        <f t="shared" si="3"/>
        <v>1</v>
      </c>
      <c r="N87" t="s">
        <v>6162</v>
      </c>
    </row>
    <row r="88" spans="1:14">
      <c r="A88" t="s">
        <v>51</v>
      </c>
      <c r="B88" t="s">
        <v>419</v>
      </c>
      <c r="C88">
        <v>87</v>
      </c>
      <c r="D88">
        <v>170</v>
      </c>
      <c r="E88">
        <v>133</v>
      </c>
      <c r="F88" s="22">
        <f>主线!K91</f>
        <v>0.970768482890477</v>
      </c>
      <c r="G88" s="22">
        <f>主线!L91</f>
        <v>1.06041226003755</v>
      </c>
      <c r="H88" s="22">
        <v>0.304936915992909</v>
      </c>
      <c r="I88" s="22">
        <f>主线!X91</f>
        <v>0.304936915992909</v>
      </c>
      <c r="J88" s="22">
        <f t="shared" si="2"/>
        <v>1</v>
      </c>
      <c r="K88" s="22">
        <v>58.7762926443669</v>
      </c>
      <c r="L88" s="22">
        <f>主线!Y91</f>
        <v>58.7762926443666</v>
      </c>
      <c r="M88" s="22">
        <f t="shared" si="3"/>
        <v>0.999999999999995</v>
      </c>
      <c r="N88" t="s">
        <v>6162</v>
      </c>
    </row>
    <row r="89" spans="1:14">
      <c r="A89" t="s">
        <v>51</v>
      </c>
      <c r="B89" t="s">
        <v>422</v>
      </c>
      <c r="C89">
        <v>88</v>
      </c>
      <c r="D89">
        <v>170</v>
      </c>
      <c r="E89">
        <v>133</v>
      </c>
      <c r="F89" s="22">
        <f>主线!K92</f>
        <v>0.967339578171009</v>
      </c>
      <c r="G89" s="22">
        <f>主线!L92</f>
        <v>1.05756079087802</v>
      </c>
      <c r="H89" s="22">
        <v>0.298375234286106</v>
      </c>
      <c r="I89" s="22">
        <f>主线!X92</f>
        <v>0.298375234286106</v>
      </c>
      <c r="J89" s="22">
        <f t="shared" si="2"/>
        <v>1</v>
      </c>
      <c r="K89" s="22">
        <v>59.8822583784105</v>
      </c>
      <c r="L89" s="22">
        <f>主线!Y92</f>
        <v>59.8822583784105</v>
      </c>
      <c r="M89" s="22">
        <f t="shared" si="3"/>
        <v>1</v>
      </c>
      <c r="N89" t="s">
        <v>6162</v>
      </c>
    </row>
    <row r="90" spans="1:14">
      <c r="A90" t="s">
        <v>51</v>
      </c>
      <c r="B90" t="s">
        <v>425</v>
      </c>
      <c r="C90">
        <v>89</v>
      </c>
      <c r="D90">
        <v>172</v>
      </c>
      <c r="E90">
        <v>134</v>
      </c>
      <c r="F90" s="22">
        <f>主线!K93</f>
        <v>0.977506048617982</v>
      </c>
      <c r="G90" s="22">
        <f>主线!L93</f>
        <v>1.06679101480297</v>
      </c>
      <c r="H90" s="22">
        <v>0.3016710997486</v>
      </c>
      <c r="I90" s="22">
        <f>主线!X93</f>
        <v>0.3016710997486</v>
      </c>
      <c r="J90" s="22">
        <f t="shared" si="2"/>
        <v>0.999999999999999</v>
      </c>
      <c r="K90" s="22">
        <v>59.634048608868</v>
      </c>
      <c r="L90" s="22">
        <f>主线!Y93</f>
        <v>59.6340486088677</v>
      </c>
      <c r="M90" s="22">
        <f t="shared" si="3"/>
        <v>0.999999999999995</v>
      </c>
      <c r="N90" t="s">
        <v>6162</v>
      </c>
    </row>
    <row r="91" spans="1:14">
      <c r="A91" t="s">
        <v>51</v>
      </c>
      <c r="B91" t="s">
        <v>428</v>
      </c>
      <c r="C91">
        <v>90</v>
      </c>
      <c r="D91">
        <v>173</v>
      </c>
      <c r="E91">
        <v>135</v>
      </c>
      <c r="F91" s="22">
        <f>主线!K94</f>
        <v>0.97245051663214</v>
      </c>
      <c r="G91" s="22">
        <f>主线!L94</f>
        <v>1.0644370418593</v>
      </c>
      <c r="H91" s="22">
        <v>0.300271350058489</v>
      </c>
      <c r="I91" s="22">
        <f>主线!X94</f>
        <v>0.300271350058489</v>
      </c>
      <c r="J91" s="22">
        <f t="shared" si="2"/>
        <v>1</v>
      </c>
      <c r="K91" s="22">
        <v>60.027531306925</v>
      </c>
      <c r="L91" s="22">
        <f>主线!Y94</f>
        <v>60.0275313069251</v>
      </c>
      <c r="M91" s="22">
        <f t="shared" si="3"/>
        <v>1</v>
      </c>
      <c r="N91" t="s">
        <v>6162</v>
      </c>
    </row>
    <row r="92" spans="1:14">
      <c r="A92" t="s">
        <v>51</v>
      </c>
      <c r="B92" t="s">
        <v>431</v>
      </c>
      <c r="C92">
        <v>91</v>
      </c>
      <c r="D92">
        <v>174</v>
      </c>
      <c r="E92">
        <v>136</v>
      </c>
      <c r="F92" s="22">
        <f>主线!K95</f>
        <v>0.967815583254906</v>
      </c>
      <c r="G92" s="22">
        <f>主线!L95</f>
        <v>1.0625295132139</v>
      </c>
      <c r="H92" s="22">
        <v>0.299013245291613</v>
      </c>
      <c r="I92" s="22">
        <f>主线!X95</f>
        <v>0.299013245291612</v>
      </c>
      <c r="J92" s="22">
        <f t="shared" si="2"/>
        <v>0.999999999999998</v>
      </c>
      <c r="K92" s="22">
        <v>60.4002959317229</v>
      </c>
      <c r="L92" s="22">
        <f>主线!Y95</f>
        <v>60.4002959317226</v>
      </c>
      <c r="M92" s="22">
        <f t="shared" si="3"/>
        <v>0.999999999999995</v>
      </c>
      <c r="N92" t="s">
        <v>6162</v>
      </c>
    </row>
    <row r="93" spans="1:14">
      <c r="A93" t="s">
        <v>51</v>
      </c>
      <c r="B93" t="s">
        <v>434</v>
      </c>
      <c r="C93">
        <v>92</v>
      </c>
      <c r="D93">
        <v>175</v>
      </c>
      <c r="E93">
        <v>136</v>
      </c>
      <c r="F93" s="22">
        <f>主线!K96</f>
        <v>0.981523350475477</v>
      </c>
      <c r="G93" s="22">
        <f>主线!L96</f>
        <v>1.07292121318402</v>
      </c>
      <c r="H93" s="22">
        <v>0.297887754853065</v>
      </c>
      <c r="I93" s="22">
        <f>主线!X96</f>
        <v>0.297887754853065</v>
      </c>
      <c r="J93" s="22">
        <f t="shared" si="2"/>
        <v>0.999999999999999</v>
      </c>
      <c r="K93" s="22">
        <v>60.7527727684546</v>
      </c>
      <c r="L93" s="22">
        <f>主线!Y96</f>
        <v>60.7527727684544</v>
      </c>
      <c r="M93" s="22">
        <f t="shared" si="3"/>
        <v>0.999999999999996</v>
      </c>
      <c r="N93" t="s">
        <v>6162</v>
      </c>
    </row>
    <row r="94" spans="1:14">
      <c r="A94" t="s">
        <v>51</v>
      </c>
      <c r="B94" t="s">
        <v>437</v>
      </c>
      <c r="C94">
        <v>93</v>
      </c>
      <c r="D94">
        <v>177</v>
      </c>
      <c r="E94">
        <v>138</v>
      </c>
      <c r="F94" s="22">
        <f>主线!K97</f>
        <v>0.975114032609106</v>
      </c>
      <c r="G94" s="22">
        <f>主线!L97</f>
        <v>1.07136448187043</v>
      </c>
      <c r="H94" s="22">
        <v>0.301625485965359</v>
      </c>
      <c r="I94" s="22">
        <f>主线!X97</f>
        <v>0.301625485965358</v>
      </c>
      <c r="J94" s="22">
        <f t="shared" si="2"/>
        <v>0.999999999999998</v>
      </c>
      <c r="K94" s="22">
        <v>60.419249410428</v>
      </c>
      <c r="L94" s="22">
        <f>主线!Y97</f>
        <v>60.4192494104279</v>
      </c>
      <c r="M94" s="22">
        <f t="shared" si="3"/>
        <v>0.999999999999999</v>
      </c>
      <c r="N94" t="s">
        <v>6162</v>
      </c>
    </row>
    <row r="95" spans="1:14">
      <c r="A95" t="s">
        <v>51</v>
      </c>
      <c r="B95" t="s">
        <v>440</v>
      </c>
      <c r="C95">
        <v>94</v>
      </c>
      <c r="D95">
        <v>178</v>
      </c>
      <c r="E95">
        <v>139</v>
      </c>
      <c r="F95" s="22">
        <f>主线!K98</f>
        <v>0.97164172118924</v>
      </c>
      <c r="G95" s="22">
        <f>主线!L98</f>
        <v>1.07037632595104</v>
      </c>
      <c r="H95" s="22">
        <v>0.300732696694351</v>
      </c>
      <c r="I95" s="22">
        <f>主线!X98</f>
        <v>0.300732696694351</v>
      </c>
      <c r="J95" s="22">
        <f t="shared" si="2"/>
        <v>0.999999999999999</v>
      </c>
      <c r="K95" s="22">
        <v>60.7296295857129</v>
      </c>
      <c r="L95" s="22">
        <f>主线!Y98</f>
        <v>60.7296295857127</v>
      </c>
      <c r="M95" s="22">
        <f t="shared" si="3"/>
        <v>0.999999999999996</v>
      </c>
      <c r="N95" t="s">
        <v>6162</v>
      </c>
    </row>
    <row r="96" spans="1:14">
      <c r="A96" t="s">
        <v>51</v>
      </c>
      <c r="B96" t="s">
        <v>443</v>
      </c>
      <c r="C96">
        <v>95</v>
      </c>
      <c r="D96">
        <v>180</v>
      </c>
      <c r="E96">
        <v>141</v>
      </c>
      <c r="F96" s="22">
        <f>主线!K99</f>
        <v>0.966132979675865</v>
      </c>
      <c r="G96" s="22">
        <f>主线!L99</f>
        <v>1.06964047849819</v>
      </c>
      <c r="H96" s="22">
        <v>0.304692634282513</v>
      </c>
      <c r="I96" s="22">
        <f>主线!X99</f>
        <v>0.304692634282513</v>
      </c>
      <c r="J96" s="22">
        <f t="shared" si="2"/>
        <v>1</v>
      </c>
      <c r="K96" s="22">
        <v>60.3609891713334</v>
      </c>
      <c r="L96" s="22">
        <f>主线!Y99</f>
        <v>60.3609891713335</v>
      </c>
      <c r="M96" s="22">
        <f t="shared" si="3"/>
        <v>1</v>
      </c>
      <c r="N96" t="s">
        <v>6162</v>
      </c>
    </row>
    <row r="97" spans="1:14">
      <c r="A97" t="s">
        <v>51</v>
      </c>
      <c r="B97" t="s">
        <v>446</v>
      </c>
      <c r="C97">
        <v>96</v>
      </c>
      <c r="D97">
        <v>180</v>
      </c>
      <c r="E97">
        <v>141</v>
      </c>
      <c r="F97" s="22">
        <f>主线!K100</f>
        <v>0.965746738910535</v>
      </c>
      <c r="G97" s="22">
        <f>主线!L100</f>
        <v>1.06962858695769</v>
      </c>
      <c r="H97" s="22">
        <v>0.299292867750062</v>
      </c>
      <c r="I97" s="22">
        <f>主线!X100</f>
        <v>0.299292867750062</v>
      </c>
      <c r="J97" s="22">
        <f t="shared" si="2"/>
        <v>1</v>
      </c>
      <c r="K97" s="22">
        <v>61.2848388183219</v>
      </c>
      <c r="L97" s="22">
        <f>主线!Y100</f>
        <v>61.284838818322</v>
      </c>
      <c r="M97" s="22">
        <f t="shared" si="3"/>
        <v>1</v>
      </c>
      <c r="N97" t="s">
        <v>6162</v>
      </c>
    </row>
    <row r="98" spans="1:14">
      <c r="A98" t="s">
        <v>51</v>
      </c>
      <c r="B98" t="s">
        <v>449</v>
      </c>
      <c r="C98">
        <v>97</v>
      </c>
      <c r="D98">
        <v>181</v>
      </c>
      <c r="E98">
        <v>142</v>
      </c>
      <c r="F98" s="22">
        <f>主线!K101</f>
        <v>0.963366110748191</v>
      </c>
      <c r="G98" s="22">
        <f>主线!L101</f>
        <v>1.06972801368831</v>
      </c>
      <c r="H98" s="22">
        <v>0.298753861643835</v>
      </c>
      <c r="I98" s="22">
        <f>主线!X101</f>
        <v>0.298753861643835</v>
      </c>
      <c r="J98" s="22">
        <f t="shared" si="2"/>
        <v>1</v>
      </c>
      <c r="K98" s="22">
        <v>61.5370716142601</v>
      </c>
      <c r="L98" s="22">
        <f>主线!Y101</f>
        <v>61.53707161426</v>
      </c>
      <c r="M98" s="22">
        <f t="shared" si="3"/>
        <v>0.999999999999998</v>
      </c>
      <c r="N98" t="s">
        <v>6162</v>
      </c>
    </row>
    <row r="99" spans="1:14">
      <c r="A99" t="s">
        <v>51</v>
      </c>
      <c r="B99" t="s">
        <v>452</v>
      </c>
      <c r="C99">
        <v>98</v>
      </c>
      <c r="D99">
        <v>183</v>
      </c>
      <c r="E99">
        <v>143</v>
      </c>
      <c r="F99" s="22">
        <f>主线!K102</f>
        <v>0.976345726483203</v>
      </c>
      <c r="G99" s="22">
        <f>主线!L102</f>
        <v>1.08154140586632</v>
      </c>
      <c r="H99" s="22">
        <v>0.302981727899539</v>
      </c>
      <c r="I99" s="22">
        <f>主线!X102</f>
        <v>0.302981727899539</v>
      </c>
      <c r="J99" s="22">
        <f t="shared" si="2"/>
        <v>1</v>
      </c>
      <c r="K99" s="22">
        <v>61.1119616225063</v>
      </c>
      <c r="L99" s="22">
        <f>主线!Y102</f>
        <v>61.1119616225065</v>
      </c>
      <c r="M99" s="22">
        <f t="shared" si="3"/>
        <v>1</v>
      </c>
      <c r="N99" t="s">
        <v>6162</v>
      </c>
    </row>
    <row r="100" spans="1:14">
      <c r="A100" t="s">
        <v>51</v>
      </c>
      <c r="B100" t="s">
        <v>455</v>
      </c>
      <c r="C100">
        <v>99</v>
      </c>
      <c r="D100">
        <v>187</v>
      </c>
      <c r="E100">
        <v>154</v>
      </c>
      <c r="F100" s="22">
        <f>主线!K103</f>
        <v>1.04827330321245</v>
      </c>
      <c r="G100" s="22">
        <f>主线!L103</f>
        <v>0.875375075636608</v>
      </c>
      <c r="H100" s="22">
        <v>33.0407707461712</v>
      </c>
      <c r="I100" s="22">
        <f>主线!X103</f>
        <v>33.0407707461712</v>
      </c>
      <c r="J100" s="22">
        <f t="shared" si="2"/>
        <v>1</v>
      </c>
      <c r="K100" s="22">
        <v>59.4139475427089</v>
      </c>
      <c r="L100" s="22">
        <f>主线!Y103</f>
        <v>59.4139475427089</v>
      </c>
      <c r="M100" s="22">
        <f t="shared" si="3"/>
        <v>0.999999999999999</v>
      </c>
      <c r="N100" t="s">
        <v>6162</v>
      </c>
    </row>
    <row r="101" spans="1:14">
      <c r="A101" t="s">
        <v>53</v>
      </c>
      <c r="B101" t="s">
        <v>460</v>
      </c>
      <c r="C101">
        <v>71</v>
      </c>
      <c r="D101">
        <v>146</v>
      </c>
      <c r="E101">
        <v>116</v>
      </c>
      <c r="F101" s="22">
        <f>困难主线!K5</f>
        <v>0.935978845415059</v>
      </c>
      <c r="G101" s="22">
        <f>困难主线!L5</f>
        <v>1.00554975854801</v>
      </c>
      <c r="H101" s="22">
        <v>0.315654703354278</v>
      </c>
      <c r="I101" s="22">
        <f>困难主线!X5</f>
        <v>0.315654703354279</v>
      </c>
      <c r="J101" s="22">
        <f t="shared" si="2"/>
        <v>1</v>
      </c>
      <c r="K101" s="22">
        <v>53.2882064128242</v>
      </c>
      <c r="L101" s="22">
        <f>困难主线!Y5</f>
        <v>53.2882064128242</v>
      </c>
      <c r="M101" s="22">
        <f t="shared" si="3"/>
        <v>1</v>
      </c>
      <c r="N101" t="s">
        <v>6162</v>
      </c>
    </row>
    <row r="102" spans="1:14">
      <c r="A102" t="s">
        <v>53</v>
      </c>
      <c r="B102" t="s">
        <v>463</v>
      </c>
      <c r="C102">
        <v>72</v>
      </c>
      <c r="D102">
        <v>147</v>
      </c>
      <c r="E102">
        <v>116</v>
      </c>
      <c r="F102" s="22">
        <f>困难主线!K6</f>
        <v>0.947115733768273</v>
      </c>
      <c r="G102" s="22">
        <f>困难主线!L6</f>
        <v>1.01337755353988</v>
      </c>
      <c r="H102" s="22">
        <v>0.310656636933683</v>
      </c>
      <c r="I102" s="22">
        <f>困难主线!X6</f>
        <v>0.329898713822712</v>
      </c>
      <c r="J102" s="22">
        <f t="shared" si="2"/>
        <v>1.06194001544263</v>
      </c>
      <c r="K102" s="22">
        <v>54.2035675819847</v>
      </c>
      <c r="L102" s="22">
        <f>困难主线!Y6</f>
        <v>52.2244031590856</v>
      </c>
      <c r="M102" s="22">
        <f t="shared" si="3"/>
        <v>0.963486454652536</v>
      </c>
      <c r="N102" t="s">
        <v>6162</v>
      </c>
    </row>
    <row r="103" spans="1:14">
      <c r="A103" t="s">
        <v>53</v>
      </c>
      <c r="B103" t="s">
        <v>466</v>
      </c>
      <c r="C103">
        <v>73</v>
      </c>
      <c r="D103">
        <v>148</v>
      </c>
      <c r="E103">
        <v>116</v>
      </c>
      <c r="F103" s="22">
        <f>困难主线!K7</f>
        <v>0.958989463663426</v>
      </c>
      <c r="G103" s="22">
        <f>困难主线!L7</f>
        <v>1.02184141499613</v>
      </c>
      <c r="H103" s="22">
        <v>0.306011026773959</v>
      </c>
      <c r="I103" s="22">
        <f>困难主线!X7</f>
        <v>0.338084860044258</v>
      </c>
      <c r="J103" s="22">
        <f t="shared" si="2"/>
        <v>1.10481267164922</v>
      </c>
      <c r="K103" s="22">
        <v>55.0888820710865</v>
      </c>
      <c r="L103" s="22">
        <f>困难主线!Y7</f>
        <v>51.7962132576425</v>
      </c>
      <c r="M103" s="22">
        <f t="shared" si="3"/>
        <v>0.940229885057475</v>
      </c>
      <c r="N103" t="s">
        <v>6162</v>
      </c>
    </row>
    <row r="104" spans="1:14">
      <c r="A104" t="s">
        <v>53</v>
      </c>
      <c r="B104" t="s">
        <v>469</v>
      </c>
      <c r="C104">
        <v>74</v>
      </c>
      <c r="D104">
        <v>150</v>
      </c>
      <c r="E104">
        <v>116</v>
      </c>
      <c r="F104" s="22">
        <f>困难主线!K8</f>
        <v>0.988628986659005</v>
      </c>
      <c r="G104" s="22">
        <f>困难主线!L8</f>
        <v>1.04366231164812</v>
      </c>
      <c r="H104" s="22">
        <v>0.306982170586159</v>
      </c>
      <c r="I104" s="22">
        <f>困难主线!X8</f>
        <v>0.359655801251634</v>
      </c>
      <c r="J104" s="22">
        <f t="shared" si="2"/>
        <v>1.17158530922137</v>
      </c>
      <c r="K104" s="22">
        <v>55.2615134573595</v>
      </c>
      <c r="L104" s="22">
        <f>困难主线!Y8</f>
        <v>50.1096530408159</v>
      </c>
      <c r="M104" s="22">
        <f t="shared" si="3"/>
        <v>0.906773085023832</v>
      </c>
      <c r="N104" t="s">
        <v>6162</v>
      </c>
    </row>
    <row r="105" spans="1:14">
      <c r="A105" t="s">
        <v>53</v>
      </c>
      <c r="B105" t="s">
        <v>472</v>
      </c>
      <c r="C105">
        <v>75</v>
      </c>
      <c r="D105">
        <v>153</v>
      </c>
      <c r="E105">
        <v>119</v>
      </c>
      <c r="F105" s="22">
        <f>困难主线!K9</f>
        <v>0.9767031930946</v>
      </c>
      <c r="G105" s="22">
        <f>困难主线!L9</f>
        <v>1.03985025416137</v>
      </c>
      <c r="H105" s="22">
        <v>0.313477710478681</v>
      </c>
      <c r="I105" s="22">
        <f>困难主线!X9</f>
        <v>0.366471037654325</v>
      </c>
      <c r="J105" s="22">
        <f t="shared" si="2"/>
        <v>1.16904974549777</v>
      </c>
      <c r="K105" s="22">
        <v>54.7372477275219</v>
      </c>
      <c r="L105" s="22">
        <f>困难主线!Y9</f>
        <v>49.7079081406206</v>
      </c>
      <c r="M105" s="22">
        <f t="shared" si="3"/>
        <v>0.908118515349236</v>
      </c>
      <c r="N105" t="s">
        <v>6162</v>
      </c>
    </row>
    <row r="106" spans="1:14">
      <c r="A106" t="s">
        <v>53</v>
      </c>
      <c r="B106" t="s">
        <v>476</v>
      </c>
      <c r="C106">
        <v>76</v>
      </c>
      <c r="D106">
        <v>154</v>
      </c>
      <c r="E106">
        <v>119</v>
      </c>
      <c r="F106" s="22">
        <f>困难主线!K10</f>
        <v>0.990472025846035</v>
      </c>
      <c r="G106" s="22">
        <f>困难主线!L10</f>
        <v>1.04996037606877</v>
      </c>
      <c r="H106" s="22">
        <v>0.30949606947827</v>
      </c>
      <c r="I106" s="22">
        <f>困难主线!X10</f>
        <v>0.383089574661542</v>
      </c>
      <c r="J106" s="22">
        <f t="shared" si="2"/>
        <v>1.23778494281795</v>
      </c>
      <c r="K106" s="22">
        <v>55.513574124432</v>
      </c>
      <c r="L106" s="22">
        <f>困难主线!Y10</f>
        <v>48.6790171779</v>
      </c>
      <c r="M106" s="22">
        <f t="shared" si="3"/>
        <v>0.876884941127866</v>
      </c>
      <c r="N106" t="s">
        <v>6162</v>
      </c>
    </row>
    <row r="107" spans="1:14">
      <c r="A107" t="s">
        <v>53</v>
      </c>
      <c r="B107" t="s">
        <v>479</v>
      </c>
      <c r="C107">
        <v>77</v>
      </c>
      <c r="D107">
        <v>155</v>
      </c>
      <c r="E107">
        <v>120</v>
      </c>
      <c r="F107" s="22">
        <f>困难主线!K11</f>
        <v>0.985226928267657</v>
      </c>
      <c r="G107" s="22">
        <f>困难主线!L11</f>
        <v>1.04776127087879</v>
      </c>
      <c r="H107" s="22">
        <v>0.30579976504819</v>
      </c>
      <c r="I107" s="22">
        <f>困难主线!X11</f>
        <v>0.385326278873478</v>
      </c>
      <c r="J107" s="22">
        <f t="shared" si="2"/>
        <v>1.26006074207662</v>
      </c>
      <c r="K107" s="22">
        <v>56.2581790144256</v>
      </c>
      <c r="L107" s="22">
        <f>困难主线!Y11</f>
        <v>48.8028914643711</v>
      </c>
      <c r="M107" s="22">
        <f t="shared" si="3"/>
        <v>0.867480823576908</v>
      </c>
      <c r="N107" t="s">
        <v>6162</v>
      </c>
    </row>
    <row r="108" spans="1:14">
      <c r="A108" t="s">
        <v>53</v>
      </c>
      <c r="B108" t="s">
        <v>482</v>
      </c>
      <c r="C108">
        <v>78</v>
      </c>
      <c r="D108">
        <v>157</v>
      </c>
      <c r="E108">
        <v>122</v>
      </c>
      <c r="F108" s="22">
        <f>困难主线!K12</f>
        <v>0.977938453546373</v>
      </c>
      <c r="G108" s="22">
        <f>困难主线!L12</f>
        <v>1.04583440656595</v>
      </c>
      <c r="H108" s="22">
        <v>0.307532250624932</v>
      </c>
      <c r="I108" s="22">
        <f>困难主线!X12</f>
        <v>0.393969591382967</v>
      </c>
      <c r="J108" s="22">
        <f t="shared" si="2"/>
        <v>1.28106756472658</v>
      </c>
      <c r="K108" s="22">
        <v>56.3009231107313</v>
      </c>
      <c r="L108" s="22">
        <f>困难主线!Y12</f>
        <v>48.3654145372813</v>
      </c>
      <c r="M108" s="22">
        <f t="shared" si="3"/>
        <v>0.859051892313691</v>
      </c>
      <c r="N108" t="s">
        <v>6162</v>
      </c>
    </row>
    <row r="109" spans="1:14">
      <c r="A109" t="s">
        <v>53</v>
      </c>
      <c r="B109" t="s">
        <v>485</v>
      </c>
      <c r="C109">
        <v>79</v>
      </c>
      <c r="D109">
        <v>157</v>
      </c>
      <c r="E109">
        <v>122</v>
      </c>
      <c r="F109" s="22">
        <f>困难主线!K13</f>
        <v>0.97656530637776</v>
      </c>
      <c r="G109" s="22">
        <f>困难主线!L13</f>
        <v>1.04497844412362</v>
      </c>
      <c r="H109" s="22">
        <v>0.29918923163779</v>
      </c>
      <c r="I109" s="22">
        <f>困难主线!X13</f>
        <v>0.405062758709842</v>
      </c>
      <c r="J109" s="22">
        <f t="shared" si="2"/>
        <v>1.35386810712568</v>
      </c>
      <c r="K109" s="22">
        <v>57.6613309360165</v>
      </c>
      <c r="L109" s="22">
        <f>困难主线!Y13</f>
        <v>47.8943074180416</v>
      </c>
      <c r="M109" s="22">
        <f t="shared" si="3"/>
        <v>0.830613977176267</v>
      </c>
      <c r="N109" t="s">
        <v>6162</v>
      </c>
    </row>
    <row r="110" spans="1:14">
      <c r="A110" t="s">
        <v>53</v>
      </c>
      <c r="B110" t="s">
        <v>488</v>
      </c>
      <c r="C110">
        <v>80</v>
      </c>
      <c r="D110">
        <v>159</v>
      </c>
      <c r="E110">
        <v>123</v>
      </c>
      <c r="F110" s="22">
        <f>困难主线!K14</f>
        <v>0.98955674988599</v>
      </c>
      <c r="G110" s="22">
        <f>困难主线!L14</f>
        <v>1.05662820165562</v>
      </c>
      <c r="H110" s="22">
        <v>0.301252952260671</v>
      </c>
      <c r="I110" s="22">
        <f>困难主线!X14</f>
        <v>0.414817867545369</v>
      </c>
      <c r="J110" s="22">
        <f t="shared" si="2"/>
        <v>1.37697527752834</v>
      </c>
      <c r="K110" s="22">
        <v>57.6424179587933</v>
      </c>
      <c r="L110" s="22">
        <f>困难主线!Y14</f>
        <v>47.3964130324402</v>
      </c>
      <c r="M110" s="22">
        <f t="shared" si="3"/>
        <v>0.82224887003044</v>
      </c>
      <c r="N110" t="s">
        <v>6162</v>
      </c>
    </row>
    <row r="111" spans="1:14">
      <c r="A111" t="s">
        <v>53</v>
      </c>
      <c r="B111" t="s">
        <v>492</v>
      </c>
      <c r="C111">
        <v>81</v>
      </c>
      <c r="D111">
        <v>161</v>
      </c>
      <c r="E111">
        <v>125</v>
      </c>
      <c r="F111" s="22">
        <f>困难主线!K15</f>
        <v>0.983789364303365</v>
      </c>
      <c r="G111" s="22">
        <f>困难主线!L15</f>
        <v>1.05610178247524</v>
      </c>
      <c r="H111" s="22">
        <v>0.303480385768075</v>
      </c>
      <c r="I111" s="22">
        <f>困难主线!X15</f>
        <v>0.424321779323845</v>
      </c>
      <c r="J111" s="22">
        <f t="shared" si="2"/>
        <v>1.39818518501594</v>
      </c>
      <c r="K111" s="22">
        <v>57.5948076619081</v>
      </c>
      <c r="L111" s="22">
        <f>困难主线!Y15</f>
        <v>46.9374804921198</v>
      </c>
      <c r="M111" s="22">
        <f t="shared" si="3"/>
        <v>0.814960278496828</v>
      </c>
      <c r="N111" t="s">
        <v>6162</v>
      </c>
    </row>
    <row r="112" spans="1:14">
      <c r="A112" t="s">
        <v>53</v>
      </c>
      <c r="B112" t="s">
        <v>495</v>
      </c>
      <c r="C112">
        <v>82</v>
      </c>
      <c r="D112">
        <v>163</v>
      </c>
      <c r="E112">
        <v>127</v>
      </c>
      <c r="F112" s="22">
        <f>困难主线!K16</f>
        <v>0.978639490283494</v>
      </c>
      <c r="G112" s="22">
        <f>困难主线!L16</f>
        <v>1.05603496423753</v>
      </c>
      <c r="H112" s="22">
        <v>0.305859747950294</v>
      </c>
      <c r="I112" s="22">
        <f>困难主线!X16</f>
        <v>0.434118377510933</v>
      </c>
      <c r="J112" s="22">
        <f t="shared" si="2"/>
        <v>1.41933804765144</v>
      </c>
      <c r="K112" s="22">
        <v>57.5237792263925</v>
      </c>
      <c r="L112" s="22">
        <f>困难主线!Y16</f>
        <v>46.4773841489535</v>
      </c>
      <c r="M112" s="22">
        <f t="shared" si="3"/>
        <v>0.807968196352948</v>
      </c>
      <c r="N112" t="s">
        <v>6162</v>
      </c>
    </row>
    <row r="113" spans="1:14">
      <c r="A113" t="s">
        <v>53</v>
      </c>
      <c r="B113" t="s">
        <v>498</v>
      </c>
      <c r="C113">
        <v>83</v>
      </c>
      <c r="D113">
        <v>164</v>
      </c>
      <c r="E113">
        <v>128</v>
      </c>
      <c r="F113" s="22">
        <f>困难主线!K17</f>
        <v>0.976636235090301</v>
      </c>
      <c r="G113" s="22">
        <f>困难主线!L17</f>
        <v>1.05672129853038</v>
      </c>
      <c r="H113" s="22">
        <v>0.303358040449149</v>
      </c>
      <c r="I113" s="22">
        <f>困难主线!X17</f>
        <v>0.43762697117121</v>
      </c>
      <c r="J113" s="22">
        <f t="shared" si="2"/>
        <v>1.44260877517294</v>
      </c>
      <c r="K113" s="22">
        <v>58.0933560067646</v>
      </c>
      <c r="L113" s="22">
        <f>困难主线!Y17</f>
        <v>46.4854965288881</v>
      </c>
      <c r="M113" s="22">
        <f t="shared" si="3"/>
        <v>0.800186109466203</v>
      </c>
      <c r="N113" t="s">
        <v>6162</v>
      </c>
    </row>
    <row r="114" spans="1:14">
      <c r="A114" t="s">
        <v>53</v>
      </c>
      <c r="B114" t="s">
        <v>501</v>
      </c>
      <c r="C114">
        <v>84</v>
      </c>
      <c r="D114">
        <v>166</v>
      </c>
      <c r="E114">
        <v>130</v>
      </c>
      <c r="F114" s="22">
        <f>困难主线!K18</f>
        <v>0.972577565403843</v>
      </c>
      <c r="G114" s="22">
        <f>困难主线!L18</f>
        <v>1.0575891755814</v>
      </c>
      <c r="H114" s="22">
        <v>0.306035058429199</v>
      </c>
      <c r="I114" s="22">
        <f>困难主线!X18</f>
        <v>0.44794245772494</v>
      </c>
      <c r="J114" s="22">
        <f t="shared" si="2"/>
        <v>1.463696545174</v>
      </c>
      <c r="K114" s="22">
        <v>57.9700621967716</v>
      </c>
      <c r="L114" s="22">
        <f>困难主线!Y18</f>
        <v>45.9978808547076</v>
      </c>
      <c r="M114" s="22">
        <f t="shared" si="3"/>
        <v>0.793476479265694</v>
      </c>
      <c r="N114" t="s">
        <v>6162</v>
      </c>
    </row>
    <row r="115" spans="1:14">
      <c r="A115" t="s">
        <v>53</v>
      </c>
      <c r="B115" t="s">
        <v>504</v>
      </c>
      <c r="C115">
        <v>85</v>
      </c>
      <c r="D115">
        <v>167</v>
      </c>
      <c r="E115">
        <v>131</v>
      </c>
      <c r="F115" s="22">
        <f>困难主线!K19</f>
        <v>0.968118441910819</v>
      </c>
      <c r="G115" s="22">
        <f>困难主线!L19</f>
        <v>1.0558757972632</v>
      </c>
      <c r="H115" s="22">
        <v>0.303857699649401</v>
      </c>
      <c r="I115" s="22">
        <f>困难主线!X19</f>
        <v>0.459731768583154</v>
      </c>
      <c r="J115" s="22">
        <f t="shared" si="2"/>
        <v>1.51298377205384</v>
      </c>
      <c r="K115" s="22">
        <v>58.4823950222827</v>
      </c>
      <c r="L115" s="22">
        <f>困难主线!Y19</f>
        <v>45.5028246281087</v>
      </c>
      <c r="M115" s="22">
        <f t="shared" si="3"/>
        <v>0.778060211295577</v>
      </c>
      <c r="N115" t="s">
        <v>6162</v>
      </c>
    </row>
    <row r="116" spans="1:14">
      <c r="A116" t="s">
        <v>53</v>
      </c>
      <c r="B116" t="s">
        <v>508</v>
      </c>
      <c r="C116">
        <v>86</v>
      </c>
      <c r="D116">
        <v>168</v>
      </c>
      <c r="E116">
        <v>131</v>
      </c>
      <c r="F116" s="22">
        <f>困难主线!K20</f>
        <v>0.979643587371965</v>
      </c>
      <c r="G116" s="22">
        <f>困难主线!L20</f>
        <v>1.06410936943801</v>
      </c>
      <c r="H116" s="22">
        <v>0.30186482099524</v>
      </c>
      <c r="I116" s="22">
        <f>困难主线!X20</f>
        <v>0.480808760511086</v>
      </c>
      <c r="J116" s="22">
        <f t="shared" si="2"/>
        <v>1.59279494353093</v>
      </c>
      <c r="K116" s="22">
        <v>58.9751490323662</v>
      </c>
      <c r="L116" s="22">
        <f>困难主线!Y20</f>
        <v>44.4868374872567</v>
      </c>
      <c r="M116" s="22">
        <f t="shared" si="3"/>
        <v>0.754331921447826</v>
      </c>
      <c r="N116" t="s">
        <v>6162</v>
      </c>
    </row>
    <row r="117" spans="1:14">
      <c r="A117" t="s">
        <v>53</v>
      </c>
      <c r="B117" t="s">
        <v>511</v>
      </c>
      <c r="C117">
        <v>87</v>
      </c>
      <c r="D117">
        <v>170</v>
      </c>
      <c r="E117">
        <v>133</v>
      </c>
      <c r="F117" s="22">
        <f>困难主线!K21</f>
        <v>0.970768482890477</v>
      </c>
      <c r="G117" s="22">
        <f>困难主线!L21</f>
        <v>1.06041226003755</v>
      </c>
      <c r="H117" s="22">
        <v>0.304936915992909</v>
      </c>
      <c r="I117" s="22">
        <f>困难主线!X21</f>
        <v>0.483980076648796</v>
      </c>
      <c r="J117" s="22">
        <f t="shared" si="2"/>
        <v>1.58714819776052</v>
      </c>
      <c r="K117" s="22">
        <v>58.7762926443669</v>
      </c>
      <c r="L117" s="22">
        <f>困难主线!Y21</f>
        <v>44.4537019758389</v>
      </c>
      <c r="M117" s="22">
        <f t="shared" si="3"/>
        <v>0.756320277714885</v>
      </c>
      <c r="N117" t="s">
        <v>6162</v>
      </c>
    </row>
    <row r="118" spans="1:14">
      <c r="A118" t="s">
        <v>53</v>
      </c>
      <c r="B118" t="s">
        <v>514</v>
      </c>
      <c r="C118">
        <v>88</v>
      </c>
      <c r="D118">
        <v>170</v>
      </c>
      <c r="E118">
        <v>133</v>
      </c>
      <c r="F118" s="22">
        <f>困难主线!K22</f>
        <v>0.967339578171009</v>
      </c>
      <c r="G118" s="22">
        <f>困难主线!L22</f>
        <v>1.05756079087802</v>
      </c>
      <c r="H118" s="22">
        <v>0.298375234286106</v>
      </c>
      <c r="I118" s="22">
        <f>困难主线!X22</f>
        <v>0.498114952429212</v>
      </c>
      <c r="J118" s="22">
        <f t="shared" si="2"/>
        <v>1.66942458753658</v>
      </c>
      <c r="K118" s="22">
        <v>59.8822583784105</v>
      </c>
      <c r="L118" s="22">
        <f>困难主线!Y22</f>
        <v>43.9373302195205</v>
      </c>
      <c r="M118" s="22">
        <f t="shared" si="3"/>
        <v>0.733728677062743</v>
      </c>
      <c r="N118" t="s">
        <v>6162</v>
      </c>
    </row>
    <row r="119" spans="1:14">
      <c r="A119" t="s">
        <v>53</v>
      </c>
      <c r="B119" t="s">
        <v>517</v>
      </c>
      <c r="C119">
        <v>89</v>
      </c>
      <c r="D119">
        <v>172</v>
      </c>
      <c r="E119">
        <v>134</v>
      </c>
      <c r="F119" s="22">
        <f>困难主线!K23</f>
        <v>0.977506048617982</v>
      </c>
      <c r="G119" s="22">
        <f>困难主线!L23</f>
        <v>1.06679101480297</v>
      </c>
      <c r="H119" s="22">
        <v>0.3016710997486</v>
      </c>
      <c r="I119" s="22">
        <f>困难主线!X23</f>
        <v>0.519663804446079</v>
      </c>
      <c r="J119" s="22">
        <f t="shared" si="2"/>
        <v>1.72261713130341</v>
      </c>
      <c r="K119" s="22">
        <v>59.634048608868</v>
      </c>
      <c r="L119" s="22">
        <f>困难主线!Y23</f>
        <v>42.9510919277683</v>
      </c>
      <c r="M119" s="22">
        <f t="shared" si="3"/>
        <v>0.720244439707237</v>
      </c>
      <c r="N119" t="s">
        <v>6162</v>
      </c>
    </row>
    <row r="120" spans="1:14">
      <c r="A120" t="s">
        <v>53</v>
      </c>
      <c r="B120" t="s">
        <v>520</v>
      </c>
      <c r="C120">
        <v>90</v>
      </c>
      <c r="D120">
        <v>173</v>
      </c>
      <c r="E120">
        <v>135</v>
      </c>
      <c r="F120" s="22">
        <f>困难主线!K24</f>
        <v>0.97245051663214</v>
      </c>
      <c r="G120" s="22">
        <f>困难主线!L24</f>
        <v>1.0644370418593</v>
      </c>
      <c r="H120" s="22">
        <v>0.300271350058489</v>
      </c>
      <c r="I120" s="22">
        <f>困难主线!X24</f>
        <v>0.52480844408</v>
      </c>
      <c r="J120" s="22">
        <f t="shared" si="2"/>
        <v>1.74778061236203</v>
      </c>
      <c r="K120" s="22">
        <v>60.027531306925</v>
      </c>
      <c r="L120" s="22">
        <f>困难主线!Y24</f>
        <v>42.8732235584922</v>
      </c>
      <c r="M120" s="22">
        <f t="shared" si="3"/>
        <v>0.714225999721334</v>
      </c>
      <c r="N120" t="s">
        <v>6162</v>
      </c>
    </row>
    <row r="121" spans="1:14">
      <c r="A121" t="s">
        <v>53</v>
      </c>
      <c r="B121" t="s">
        <v>524</v>
      </c>
      <c r="C121">
        <v>91</v>
      </c>
      <c r="D121">
        <v>174</v>
      </c>
      <c r="E121">
        <v>136</v>
      </c>
      <c r="F121" s="22">
        <f>困难主线!K25</f>
        <v>0.967815583254906</v>
      </c>
      <c r="G121" s="22">
        <f>困难主线!L25</f>
        <v>1.0625295132139</v>
      </c>
      <c r="H121" s="22">
        <v>0.299013245291613</v>
      </c>
      <c r="I121" s="22">
        <f>困难主线!X25</f>
        <v>0.538888557116845</v>
      </c>
      <c r="J121" s="22">
        <f t="shared" si="2"/>
        <v>1.80222303059282</v>
      </c>
      <c r="K121" s="22">
        <v>60.4002959317229</v>
      </c>
      <c r="L121" s="22">
        <f>困难主线!Y25</f>
        <v>42.3643802070153</v>
      </c>
      <c r="M121" s="22">
        <f t="shared" si="3"/>
        <v>0.701393586794747</v>
      </c>
      <c r="N121" t="s">
        <v>6162</v>
      </c>
    </row>
    <row r="122" spans="1:14">
      <c r="A122" t="s">
        <v>53</v>
      </c>
      <c r="B122" t="s">
        <v>527</v>
      </c>
      <c r="C122">
        <v>92</v>
      </c>
      <c r="D122">
        <v>175</v>
      </c>
      <c r="E122">
        <v>136</v>
      </c>
      <c r="F122" s="22">
        <f>困难主线!K26</f>
        <v>0.981523350475477</v>
      </c>
      <c r="G122" s="22">
        <f>困难主线!L26</f>
        <v>1.07292121318402</v>
      </c>
      <c r="H122" s="22">
        <v>0.297887754853065</v>
      </c>
      <c r="I122" s="22">
        <f>困难主线!X26</f>
        <v>0.563671521174198</v>
      </c>
      <c r="J122" s="22">
        <f t="shared" si="2"/>
        <v>1.8922279012517</v>
      </c>
      <c r="K122" s="22">
        <v>60.7527727684546</v>
      </c>
      <c r="L122" s="22">
        <f>困难主线!Y26</f>
        <v>41.3934907053516</v>
      </c>
      <c r="M122" s="22">
        <f t="shared" si="3"/>
        <v>0.681343234540314</v>
      </c>
      <c r="N122" t="s">
        <v>6162</v>
      </c>
    </row>
    <row r="123" spans="1:14">
      <c r="A123" t="s">
        <v>53</v>
      </c>
      <c r="B123" t="s">
        <v>530</v>
      </c>
      <c r="C123">
        <v>93</v>
      </c>
      <c r="D123">
        <v>177</v>
      </c>
      <c r="E123">
        <v>138</v>
      </c>
      <c r="F123" s="22">
        <f>困难主线!K27</f>
        <v>0.975114032609106</v>
      </c>
      <c r="G123" s="22">
        <f>困难主线!L27</f>
        <v>1.07136448187043</v>
      </c>
      <c r="H123" s="22">
        <v>0.301625485965359</v>
      </c>
      <c r="I123" s="22">
        <f>困难主线!X27</f>
        <v>0.568156873722645</v>
      </c>
      <c r="J123" s="22">
        <f t="shared" si="2"/>
        <v>1.88365008979346</v>
      </c>
      <c r="K123" s="22">
        <v>60.419249410428</v>
      </c>
      <c r="L123" s="22">
        <f>困难主线!Y27</f>
        <v>41.3013539745192</v>
      </c>
      <c r="M123" s="22">
        <f t="shared" si="3"/>
        <v>0.683579395267874</v>
      </c>
      <c r="N123" t="s">
        <v>6162</v>
      </c>
    </row>
    <row r="124" spans="1:14">
      <c r="A124" t="s">
        <v>53</v>
      </c>
      <c r="B124" t="s">
        <v>533</v>
      </c>
      <c r="C124">
        <v>94</v>
      </c>
      <c r="D124">
        <v>178</v>
      </c>
      <c r="E124">
        <v>139</v>
      </c>
      <c r="F124" s="22">
        <f>困难主线!K28</f>
        <v>0.97164172118924</v>
      </c>
      <c r="G124" s="22">
        <f>困难主线!L28</f>
        <v>1.07037632595104</v>
      </c>
      <c r="H124" s="22">
        <v>0.300732696694351</v>
      </c>
      <c r="I124" s="22">
        <f>困难主线!X28</f>
        <v>0.583532087932359</v>
      </c>
      <c r="J124" s="22">
        <f t="shared" si="2"/>
        <v>1.94036795581769</v>
      </c>
      <c r="K124" s="22">
        <v>60.7296295857129</v>
      </c>
      <c r="L124" s="22">
        <f>困难主线!Y28</f>
        <v>40.7984391239355</v>
      </c>
      <c r="M124" s="22">
        <f t="shared" si="3"/>
        <v>0.671804511278193</v>
      </c>
      <c r="N124" t="s">
        <v>6162</v>
      </c>
    </row>
    <row r="125" spans="1:14">
      <c r="A125" t="s">
        <v>53</v>
      </c>
      <c r="B125" t="s">
        <v>536</v>
      </c>
      <c r="C125">
        <v>95</v>
      </c>
      <c r="D125">
        <v>180</v>
      </c>
      <c r="E125">
        <v>141</v>
      </c>
      <c r="F125" s="22">
        <f>困难主线!K29</f>
        <v>0.966132979675865</v>
      </c>
      <c r="G125" s="22">
        <f>困难主线!L29</f>
        <v>1.06964047849819</v>
      </c>
      <c r="H125" s="22">
        <v>0.304692634282513</v>
      </c>
      <c r="I125" s="22">
        <f>困难主线!X29</f>
        <v>0.588505975288435</v>
      </c>
      <c r="J125" s="22">
        <f t="shared" si="2"/>
        <v>1.93147424345929</v>
      </c>
      <c r="K125" s="22">
        <v>60.3609891713334</v>
      </c>
      <c r="L125" s="22">
        <f>困难主线!Y29</f>
        <v>40.6798329013149</v>
      </c>
      <c r="M125" s="22">
        <f t="shared" si="3"/>
        <v>0.673942449581899</v>
      </c>
      <c r="N125" t="s">
        <v>6162</v>
      </c>
    </row>
    <row r="126" spans="1:14">
      <c r="A126" t="s">
        <v>53</v>
      </c>
      <c r="B126" t="s">
        <v>540</v>
      </c>
      <c r="C126">
        <v>96</v>
      </c>
      <c r="D126">
        <v>180</v>
      </c>
      <c r="E126">
        <v>141</v>
      </c>
      <c r="F126" s="22">
        <f>困难主线!K30</f>
        <v>0.965746738910535</v>
      </c>
      <c r="G126" s="22">
        <f>困难主线!L30</f>
        <v>1.06962858695769</v>
      </c>
      <c r="H126" s="22">
        <v>0.299292867750062</v>
      </c>
      <c r="I126" s="22">
        <f>困难主线!X30</f>
        <v>0.60602022445607</v>
      </c>
      <c r="J126" s="22">
        <f t="shared" si="2"/>
        <v>2.02484018082968</v>
      </c>
      <c r="K126" s="22">
        <v>61.2848388183219</v>
      </c>
      <c r="L126" s="22">
        <f>困难主线!Y30</f>
        <v>40.1616117593942</v>
      </c>
      <c r="M126" s="22">
        <f t="shared" si="3"/>
        <v>0.655327035752721</v>
      </c>
      <c r="N126" t="s">
        <v>6162</v>
      </c>
    </row>
    <row r="127" spans="1:14">
      <c r="A127" t="s">
        <v>53</v>
      </c>
      <c r="B127" t="s">
        <v>543</v>
      </c>
      <c r="C127">
        <v>97</v>
      </c>
      <c r="D127">
        <v>181</v>
      </c>
      <c r="E127">
        <v>142</v>
      </c>
      <c r="F127" s="22">
        <f>困难主线!K31</f>
        <v>0.963366110748191</v>
      </c>
      <c r="G127" s="22">
        <f>困难主线!L31</f>
        <v>1.06972801368831</v>
      </c>
      <c r="H127" s="22">
        <v>0.298753861643835</v>
      </c>
      <c r="I127" s="22">
        <f>困难主线!X31</f>
        <v>0.622551556334151</v>
      </c>
      <c r="J127" s="22">
        <f t="shared" si="2"/>
        <v>2.08382764630617</v>
      </c>
      <c r="K127" s="22">
        <v>61.5370716142601</v>
      </c>
      <c r="L127" s="22">
        <f>困难主线!Y31</f>
        <v>39.651816628343</v>
      </c>
      <c r="M127" s="22">
        <f t="shared" si="3"/>
        <v>0.644356573821014</v>
      </c>
      <c r="N127" t="s">
        <v>6162</v>
      </c>
    </row>
    <row r="128" spans="1:14">
      <c r="A128" t="s">
        <v>53</v>
      </c>
      <c r="B128" t="s">
        <v>546</v>
      </c>
      <c r="C128">
        <v>98</v>
      </c>
      <c r="D128">
        <v>183</v>
      </c>
      <c r="E128">
        <v>143</v>
      </c>
      <c r="F128" s="22">
        <f>困难主线!K32</f>
        <v>0.976345726483203</v>
      </c>
      <c r="G128" s="22">
        <f>困难主线!L32</f>
        <v>1.08154140586632</v>
      </c>
      <c r="H128" s="22">
        <v>0.302981727899539</v>
      </c>
      <c r="I128" s="22">
        <f>困难主线!X32</f>
        <v>0.639612614002361</v>
      </c>
      <c r="J128" s="22">
        <f t="shared" si="2"/>
        <v>2.11106002476308</v>
      </c>
      <c r="K128" s="22">
        <v>61.1119616225063</v>
      </c>
      <c r="L128" s="22">
        <f>困难主线!Y32</f>
        <v>39.0886272370505</v>
      </c>
      <c r="M128" s="22">
        <f t="shared" si="3"/>
        <v>0.639623180131318</v>
      </c>
      <c r="N128" t="s">
        <v>6162</v>
      </c>
    </row>
    <row r="129" spans="1:14">
      <c r="A129" t="s">
        <v>53</v>
      </c>
      <c r="B129" t="s">
        <v>549</v>
      </c>
      <c r="C129">
        <v>99</v>
      </c>
      <c r="D129">
        <v>184</v>
      </c>
      <c r="E129">
        <v>144</v>
      </c>
      <c r="F129" s="22">
        <f>困难主线!K33</f>
        <v>0.974570086574435</v>
      </c>
      <c r="G129" s="22">
        <f>困难主线!L33</f>
        <v>1.08219296878179</v>
      </c>
      <c r="H129" s="22">
        <v>0.302633841895569</v>
      </c>
      <c r="I129" s="22">
        <f>困难主线!X33</f>
        <v>0.657150921599673</v>
      </c>
      <c r="J129" s="22">
        <f t="shared" si="2"/>
        <v>2.17143898211634</v>
      </c>
      <c r="K129" s="22">
        <v>61.3250015374068</v>
      </c>
      <c r="L129" s="22">
        <f>困难主线!Y33</f>
        <v>38.5815033837639</v>
      </c>
      <c r="M129" s="22">
        <f t="shared" si="3"/>
        <v>0.62913171490473</v>
      </c>
      <c r="N129" t="s">
        <v>6162</v>
      </c>
    </row>
    <row r="130" spans="1:14">
      <c r="A130" t="s">
        <v>53</v>
      </c>
      <c r="B130" t="s">
        <v>552</v>
      </c>
      <c r="C130">
        <v>100</v>
      </c>
      <c r="D130">
        <v>185</v>
      </c>
      <c r="E130">
        <v>145</v>
      </c>
      <c r="F130" s="22">
        <f>困难主线!K34</f>
        <v>0.970769512718545</v>
      </c>
      <c r="G130" s="22">
        <f>困难主线!L34</f>
        <v>1.08091881331408</v>
      </c>
      <c r="H130" s="22">
        <v>0.3023883303454</v>
      </c>
      <c r="I130" s="22">
        <f>困难主线!X34</f>
        <v>0.664981658474569</v>
      </c>
      <c r="J130" s="22">
        <f t="shared" ref="J130:J193" si="4">I130/H130</f>
        <v>2.19909828436501</v>
      </c>
      <c r="K130" s="22">
        <v>61.5186064750322</v>
      </c>
      <c r="L130" s="22">
        <f>困难主线!Y34</f>
        <v>38.4256332892934</v>
      </c>
      <c r="M130" s="22">
        <f t="shared" ref="M130:M193" si="5">L130/K130</f>
        <v>0.624618070711481</v>
      </c>
      <c r="N130" t="s">
        <v>6162</v>
      </c>
    </row>
    <row r="131" spans="1:14">
      <c r="A131" t="s">
        <v>53</v>
      </c>
      <c r="B131" t="s">
        <v>556</v>
      </c>
      <c r="C131">
        <v>101</v>
      </c>
      <c r="D131">
        <v>186</v>
      </c>
      <c r="E131">
        <v>146</v>
      </c>
      <c r="F131" s="22">
        <f>困难主线!K35</f>
        <v>0.966323352032524</v>
      </c>
      <c r="G131" s="22">
        <f>困难主线!L35</f>
        <v>1.07993654361155</v>
      </c>
      <c r="H131" s="22">
        <v>0.298543734396196</v>
      </c>
      <c r="I131" s="22">
        <f>困难主线!X35</f>
        <v>0.674923415562</v>
      </c>
      <c r="J131" s="22">
        <f t="shared" si="4"/>
        <v>2.26071874168463</v>
      </c>
      <c r="K131" s="22">
        <v>62.1558534593676</v>
      </c>
      <c r="L131" s="22">
        <f>困难主线!Y35</f>
        <v>38.1987136381105</v>
      </c>
      <c r="M131" s="22">
        <f t="shared" si="5"/>
        <v>0.614563416188657</v>
      </c>
      <c r="N131" t="s">
        <v>6162</v>
      </c>
    </row>
    <row r="132" spans="1:14">
      <c r="A132" t="s">
        <v>53</v>
      </c>
      <c r="B132" t="s">
        <v>559</v>
      </c>
      <c r="C132">
        <v>102</v>
      </c>
      <c r="D132">
        <v>188</v>
      </c>
      <c r="E132">
        <v>148</v>
      </c>
      <c r="F132" s="22">
        <f>困难主线!K36</f>
        <v>0.960198177882008</v>
      </c>
      <c r="G132" s="22">
        <f>困难主线!L36</f>
        <v>1.07910429146781</v>
      </c>
      <c r="H132" s="22">
        <v>0.299497688014474</v>
      </c>
      <c r="I132" s="22">
        <f>困难主线!X36</f>
        <v>0.683661773114991</v>
      </c>
      <c r="J132" s="22">
        <f t="shared" si="4"/>
        <v>2.2826946600067</v>
      </c>
      <c r="K132" s="22">
        <v>62.1129978936476</v>
      </c>
      <c r="L132" s="22">
        <f>困难主线!Y36</f>
        <v>37.9706132337389</v>
      </c>
      <c r="M132" s="22">
        <f t="shared" si="5"/>
        <v>0.611315095412939</v>
      </c>
      <c r="N132" t="s">
        <v>6162</v>
      </c>
    </row>
    <row r="133" spans="1:14">
      <c r="A133" t="s">
        <v>53</v>
      </c>
      <c r="B133" t="s">
        <v>562</v>
      </c>
      <c r="C133">
        <v>103</v>
      </c>
      <c r="D133">
        <v>190</v>
      </c>
      <c r="E133">
        <v>149</v>
      </c>
      <c r="F133" s="22">
        <f>困难主线!K37</f>
        <v>0.971630637566757</v>
      </c>
      <c r="G133" s="22">
        <f>困难主线!L37</f>
        <v>1.09027077260927</v>
      </c>
      <c r="H133" s="22">
        <v>0.300623427234892</v>
      </c>
      <c r="I133" s="22">
        <f>困难主线!X37</f>
        <v>0.694704188641331</v>
      </c>
      <c r="J133" s="22">
        <f t="shared" si="4"/>
        <v>2.31087841367241</v>
      </c>
      <c r="K133" s="22">
        <v>62.0417972484285</v>
      </c>
      <c r="L133" s="22">
        <f>困难主线!Y37</f>
        <v>37.6613663801117</v>
      </c>
      <c r="M133" s="22">
        <f t="shared" si="5"/>
        <v>0.60703216299985</v>
      </c>
      <c r="N133" t="s">
        <v>6162</v>
      </c>
    </row>
    <row r="134" spans="1:14">
      <c r="A134" t="s">
        <v>53</v>
      </c>
      <c r="B134" t="s">
        <v>565</v>
      </c>
      <c r="C134">
        <v>104</v>
      </c>
      <c r="D134">
        <v>192</v>
      </c>
      <c r="E134">
        <v>151</v>
      </c>
      <c r="F134" s="22">
        <f>困难主线!K38</f>
        <v>0.966528329515162</v>
      </c>
      <c r="G134" s="22">
        <f>困难主线!L38</f>
        <v>1.09022464851023</v>
      </c>
      <c r="H134" s="22">
        <v>0.301899848982565</v>
      </c>
      <c r="I134" s="22">
        <f>困难主线!X38</f>
        <v>0.704267575150188</v>
      </c>
      <c r="J134" s="22">
        <f t="shared" si="4"/>
        <v>2.3327854502864</v>
      </c>
      <c r="K134" s="22">
        <v>61.9495352525504</v>
      </c>
      <c r="L134" s="22">
        <f>困难主线!Y38</f>
        <v>37.4137907915077</v>
      </c>
      <c r="M134" s="22">
        <f t="shared" si="5"/>
        <v>0.60393981389824</v>
      </c>
      <c r="N134" t="s">
        <v>6162</v>
      </c>
    </row>
    <row r="135" spans="1:14">
      <c r="A135" t="s">
        <v>53</v>
      </c>
      <c r="B135" t="s">
        <v>568</v>
      </c>
      <c r="C135">
        <v>105</v>
      </c>
      <c r="D135">
        <v>193</v>
      </c>
      <c r="E135">
        <v>152</v>
      </c>
      <c r="F135" s="22">
        <f>困难主线!K39</f>
        <v>0.964219015410545</v>
      </c>
      <c r="G135" s="22">
        <f>困难主线!L39</f>
        <v>1.09087353806124</v>
      </c>
      <c r="H135" s="22">
        <v>0.298799172323277</v>
      </c>
      <c r="I135" s="22">
        <f>困难主线!X39</f>
        <v>0.715887534471549</v>
      </c>
      <c r="J135" s="22">
        <f t="shared" si="4"/>
        <v>2.39588191930135</v>
      </c>
      <c r="K135" s="22">
        <v>62.4721528003078</v>
      </c>
      <c r="L135" s="22">
        <f>困难主线!Y39</f>
        <v>37.1452786819595</v>
      </c>
      <c r="M135" s="22">
        <f t="shared" si="5"/>
        <v>0.594589381299127</v>
      </c>
      <c r="N135" t="s">
        <v>6162</v>
      </c>
    </row>
    <row r="136" spans="1:14">
      <c r="A136" t="s">
        <v>54</v>
      </c>
      <c r="B136" t="s">
        <v>573</v>
      </c>
      <c r="C136">
        <v>16</v>
      </c>
      <c r="D136">
        <v>22</v>
      </c>
      <c r="E136">
        <v>20</v>
      </c>
      <c r="F136" s="22">
        <f>角色经验!K5</f>
        <v>1.08830187415834</v>
      </c>
      <c r="G136" s="22">
        <f>角色经验!L5</f>
        <v>0.874592828608589</v>
      </c>
      <c r="H136" s="22">
        <v>0.274567673786944</v>
      </c>
      <c r="I136" s="22">
        <f>角色经验!X5</f>
        <v>0.274567673786944</v>
      </c>
      <c r="J136" s="22">
        <f t="shared" si="4"/>
        <v>1</v>
      </c>
      <c r="K136" s="22">
        <v>51.6446316631681</v>
      </c>
      <c r="L136" s="22">
        <f>角色经验!Y5</f>
        <v>51.6446316631681</v>
      </c>
      <c r="M136" s="22">
        <f t="shared" si="5"/>
        <v>0.999999999999999</v>
      </c>
      <c r="N136" t="s">
        <v>6162</v>
      </c>
    </row>
    <row r="137" spans="1:14">
      <c r="A137" t="s">
        <v>54</v>
      </c>
      <c r="B137" t="s">
        <v>576</v>
      </c>
      <c r="C137">
        <v>20</v>
      </c>
      <c r="D137">
        <v>26</v>
      </c>
      <c r="E137">
        <v>24</v>
      </c>
      <c r="F137" s="22">
        <f>角色经验!K6</f>
        <v>1.07226447081797</v>
      </c>
      <c r="G137" s="22">
        <f>角色经验!L6</f>
        <v>0.877882152006833</v>
      </c>
      <c r="H137" s="22">
        <v>0.242559115520248</v>
      </c>
      <c r="I137" s="22">
        <f>角色经验!X6</f>
        <v>0.242559115520247</v>
      </c>
      <c r="J137" s="22">
        <f t="shared" si="4"/>
        <v>0.999999999999996</v>
      </c>
      <c r="K137" s="22">
        <v>57.0614018696354</v>
      </c>
      <c r="L137" s="22">
        <f>角色经验!Y6</f>
        <v>57.0614018696353</v>
      </c>
      <c r="M137" s="22">
        <f t="shared" si="5"/>
        <v>0.999999999999999</v>
      </c>
      <c r="N137" t="s">
        <v>6162</v>
      </c>
    </row>
    <row r="138" spans="1:14">
      <c r="A138" t="s">
        <v>54</v>
      </c>
      <c r="B138" t="s">
        <v>579</v>
      </c>
      <c r="C138">
        <v>33</v>
      </c>
      <c r="D138">
        <v>39</v>
      </c>
      <c r="E138">
        <v>31</v>
      </c>
      <c r="F138" s="22">
        <f>角色经验!K7</f>
        <v>1.0413925891834</v>
      </c>
      <c r="G138" s="22">
        <f>角色经验!L7</f>
        <v>0.885474371240769</v>
      </c>
      <c r="H138" s="22">
        <v>0.150228246578205</v>
      </c>
      <c r="I138" s="22">
        <f>角色经验!X7</f>
        <v>0.150228246578205</v>
      </c>
      <c r="J138" s="22">
        <f t="shared" si="4"/>
        <v>1</v>
      </c>
      <c r="K138" s="22">
        <v>85.3396123163832</v>
      </c>
      <c r="L138" s="22">
        <f>角色经验!Y7</f>
        <v>85.3396123163831</v>
      </c>
      <c r="M138" s="22">
        <f t="shared" si="5"/>
        <v>0.999999999999999</v>
      </c>
      <c r="N138" t="s">
        <v>6162</v>
      </c>
    </row>
    <row r="139" spans="1:14">
      <c r="A139" t="s">
        <v>54</v>
      </c>
      <c r="B139" t="s">
        <v>582</v>
      </c>
      <c r="C139">
        <v>48</v>
      </c>
      <c r="D139">
        <v>49</v>
      </c>
      <c r="E139">
        <v>34</v>
      </c>
      <c r="F139" s="22">
        <f>角色经验!K8</f>
        <v>1.03103111729802</v>
      </c>
      <c r="G139" s="22">
        <f>角色经验!L8</f>
        <v>0.885754757003408</v>
      </c>
      <c r="H139" s="22">
        <v>0.0804460801256086</v>
      </c>
      <c r="I139" s="22">
        <f>角色经验!X8</f>
        <v>0.0804460801256087</v>
      </c>
      <c r="J139" s="22">
        <f t="shared" si="4"/>
        <v>1</v>
      </c>
      <c r="K139" s="22">
        <v>141.396511460388</v>
      </c>
      <c r="L139" s="22">
        <f>角色经验!Y8</f>
        <v>141.396511460388</v>
      </c>
      <c r="M139" s="22">
        <f t="shared" si="5"/>
        <v>1</v>
      </c>
      <c r="N139" t="s">
        <v>6162</v>
      </c>
    </row>
    <row r="140" spans="1:14">
      <c r="A140" t="s">
        <v>54</v>
      </c>
      <c r="B140" t="s">
        <v>585</v>
      </c>
      <c r="C140">
        <v>64</v>
      </c>
      <c r="D140">
        <v>61</v>
      </c>
      <c r="E140">
        <v>42</v>
      </c>
      <c r="F140" s="22">
        <f>角色经验!K9</f>
        <v>1.05578471016559</v>
      </c>
      <c r="G140" s="22">
        <f>角色经验!L9</f>
        <v>0.933132403197277</v>
      </c>
      <c r="H140" s="22">
        <v>0.0630600139995946</v>
      </c>
      <c r="I140" s="22">
        <f>角色经验!X9</f>
        <v>0.0630600139995946</v>
      </c>
      <c r="J140" s="22">
        <f t="shared" si="4"/>
        <v>1</v>
      </c>
      <c r="K140" s="22">
        <v>171.463770977079</v>
      </c>
      <c r="L140" s="22">
        <f>角色经验!Y9</f>
        <v>171.463770977079</v>
      </c>
      <c r="M140" s="22">
        <f t="shared" si="5"/>
        <v>1</v>
      </c>
      <c r="N140" t="s">
        <v>6162</v>
      </c>
    </row>
    <row r="141" spans="1:14">
      <c r="A141" t="s">
        <v>55</v>
      </c>
      <c r="B141" t="s">
        <v>573</v>
      </c>
      <c r="C141">
        <v>16</v>
      </c>
      <c r="D141">
        <v>22</v>
      </c>
      <c r="E141">
        <v>20</v>
      </c>
      <c r="F141" s="22">
        <f>金币!K5</f>
        <v>1.08830187415834</v>
      </c>
      <c r="G141" s="22">
        <f>金币!L5</f>
        <v>0.874592828608589</v>
      </c>
      <c r="H141" s="22">
        <v>0.274567673786944</v>
      </c>
      <c r="I141" s="22">
        <f>金币!X5</f>
        <v>0.274567673786944</v>
      </c>
      <c r="J141" s="22">
        <f t="shared" si="4"/>
        <v>1</v>
      </c>
      <c r="K141" s="22">
        <v>51.6446316631681</v>
      </c>
      <c r="L141" s="22">
        <f>金币!Y5</f>
        <v>51.6446316631681</v>
      </c>
      <c r="M141" s="22">
        <f t="shared" si="5"/>
        <v>0.999999999999999</v>
      </c>
      <c r="N141" t="s">
        <v>6162</v>
      </c>
    </row>
    <row r="142" spans="1:14">
      <c r="A142" t="s">
        <v>55</v>
      </c>
      <c r="B142" t="s">
        <v>576</v>
      </c>
      <c r="C142">
        <v>20</v>
      </c>
      <c r="D142">
        <v>26</v>
      </c>
      <c r="E142">
        <v>24</v>
      </c>
      <c r="F142" s="22">
        <f>金币!K6</f>
        <v>1.07226447081797</v>
      </c>
      <c r="G142" s="22">
        <f>金币!L6</f>
        <v>0.877882152006833</v>
      </c>
      <c r="H142" s="22">
        <v>0.242559115520248</v>
      </c>
      <c r="I142" s="22">
        <f>金币!X6</f>
        <v>0.242559115520247</v>
      </c>
      <c r="J142" s="22">
        <f t="shared" si="4"/>
        <v>0.999999999999996</v>
      </c>
      <c r="K142" s="22">
        <v>57.0614018696354</v>
      </c>
      <c r="L142" s="22">
        <f>金币!Y6</f>
        <v>57.0614018696353</v>
      </c>
      <c r="M142" s="22">
        <f t="shared" si="5"/>
        <v>0.999999999999999</v>
      </c>
      <c r="N142" t="s">
        <v>6162</v>
      </c>
    </row>
    <row r="143" spans="1:14">
      <c r="A143" t="s">
        <v>55</v>
      </c>
      <c r="B143" t="s">
        <v>579</v>
      </c>
      <c r="C143">
        <v>33</v>
      </c>
      <c r="D143">
        <v>39</v>
      </c>
      <c r="E143">
        <v>31</v>
      </c>
      <c r="F143" s="22">
        <f>金币!K7</f>
        <v>1.0413925891834</v>
      </c>
      <c r="G143" s="22">
        <f>金币!L7</f>
        <v>0.885474371240769</v>
      </c>
      <c r="H143" s="22">
        <v>0.150228246578205</v>
      </c>
      <c r="I143" s="22">
        <f>金币!X7</f>
        <v>0.150228246578205</v>
      </c>
      <c r="J143" s="22">
        <f t="shared" si="4"/>
        <v>1</v>
      </c>
      <c r="K143" s="22">
        <v>85.3396123163832</v>
      </c>
      <c r="L143" s="22">
        <f>金币!Y7</f>
        <v>85.3396123163831</v>
      </c>
      <c r="M143" s="22">
        <f t="shared" si="5"/>
        <v>0.999999999999999</v>
      </c>
      <c r="N143" t="s">
        <v>6162</v>
      </c>
    </row>
    <row r="144" spans="1:14">
      <c r="A144" t="s">
        <v>55</v>
      </c>
      <c r="B144" t="s">
        <v>582</v>
      </c>
      <c r="C144">
        <v>48</v>
      </c>
      <c r="D144">
        <v>49</v>
      </c>
      <c r="E144">
        <v>34</v>
      </c>
      <c r="F144" s="22">
        <f>金币!K8</f>
        <v>1.03103111729802</v>
      </c>
      <c r="G144" s="22">
        <f>金币!L8</f>
        <v>0.885754757003408</v>
      </c>
      <c r="H144" s="22">
        <v>0.0804460801256086</v>
      </c>
      <c r="I144" s="22">
        <f>金币!X8</f>
        <v>0.0804460801256087</v>
      </c>
      <c r="J144" s="22">
        <f t="shared" si="4"/>
        <v>1</v>
      </c>
      <c r="K144" s="22">
        <v>141.396511460388</v>
      </c>
      <c r="L144" s="22">
        <f>金币!Y8</f>
        <v>141.396511460388</v>
      </c>
      <c r="M144" s="22">
        <f t="shared" si="5"/>
        <v>1</v>
      </c>
      <c r="N144" t="s">
        <v>6162</v>
      </c>
    </row>
    <row r="145" spans="1:14">
      <c r="A145" t="s">
        <v>55</v>
      </c>
      <c r="B145" t="s">
        <v>585</v>
      </c>
      <c r="C145">
        <v>64</v>
      </c>
      <c r="D145">
        <v>61</v>
      </c>
      <c r="E145">
        <v>42</v>
      </c>
      <c r="F145" s="22">
        <f>金币!K9</f>
        <v>1.05578471016559</v>
      </c>
      <c r="G145" s="22">
        <f>金币!L9</f>
        <v>0.933132403197277</v>
      </c>
      <c r="H145" s="22">
        <v>0.0630600139995946</v>
      </c>
      <c r="I145" s="22">
        <f>金币!X9</f>
        <v>0.0630600139995946</v>
      </c>
      <c r="J145" s="22">
        <f t="shared" si="4"/>
        <v>1</v>
      </c>
      <c r="K145" s="22">
        <v>171.463770977079</v>
      </c>
      <c r="L145" s="22">
        <f>金币!Y9</f>
        <v>171.463770977079</v>
      </c>
      <c r="M145" s="22">
        <f t="shared" si="5"/>
        <v>1</v>
      </c>
      <c r="N145" t="s">
        <v>6162</v>
      </c>
    </row>
    <row r="146" spans="1:14">
      <c r="A146" t="s">
        <v>56</v>
      </c>
      <c r="B146" t="s">
        <v>573</v>
      </c>
      <c r="C146">
        <v>16</v>
      </c>
      <c r="D146">
        <v>22</v>
      </c>
      <c r="E146">
        <v>20</v>
      </c>
      <c r="F146" s="22">
        <f>收容经验!K5</f>
        <v>1.08830187415834</v>
      </c>
      <c r="G146" s="22">
        <f>收容经验!L5</f>
        <v>0.874592828608589</v>
      </c>
      <c r="H146" s="22">
        <v>0.274567673786944</v>
      </c>
      <c r="I146" s="22">
        <f>收容经验!X5</f>
        <v>0.274567673786944</v>
      </c>
      <c r="J146" s="22">
        <f t="shared" si="4"/>
        <v>1</v>
      </c>
      <c r="K146" s="22">
        <v>51.6446316631681</v>
      </c>
      <c r="L146" s="22">
        <f>收容经验!Y5</f>
        <v>51.6446316631681</v>
      </c>
      <c r="M146" s="22">
        <f t="shared" si="5"/>
        <v>0.999999999999999</v>
      </c>
      <c r="N146" t="s">
        <v>6162</v>
      </c>
    </row>
    <row r="147" spans="1:14">
      <c r="A147" t="s">
        <v>56</v>
      </c>
      <c r="B147" t="s">
        <v>576</v>
      </c>
      <c r="C147">
        <v>20</v>
      </c>
      <c r="D147">
        <v>26</v>
      </c>
      <c r="E147">
        <v>24</v>
      </c>
      <c r="F147" s="22">
        <f>收容经验!K6</f>
        <v>1.07226447081797</v>
      </c>
      <c r="G147" s="22">
        <f>收容经验!L6</f>
        <v>0.877882152006833</v>
      </c>
      <c r="H147" s="22">
        <v>0.242559115520248</v>
      </c>
      <c r="I147" s="22">
        <f>收容经验!X6</f>
        <v>0.242559115520247</v>
      </c>
      <c r="J147" s="22">
        <f t="shared" si="4"/>
        <v>0.999999999999996</v>
      </c>
      <c r="K147" s="22">
        <v>57.0614018696354</v>
      </c>
      <c r="L147" s="22">
        <f>收容经验!Y6</f>
        <v>57.0614018696353</v>
      </c>
      <c r="M147" s="22">
        <f t="shared" si="5"/>
        <v>0.999999999999999</v>
      </c>
      <c r="N147" t="s">
        <v>6162</v>
      </c>
    </row>
    <row r="148" spans="1:14">
      <c r="A148" t="s">
        <v>56</v>
      </c>
      <c r="B148" t="s">
        <v>579</v>
      </c>
      <c r="C148">
        <v>33</v>
      </c>
      <c r="D148">
        <v>39</v>
      </c>
      <c r="E148">
        <v>31</v>
      </c>
      <c r="F148" s="22">
        <f>收容经验!K7</f>
        <v>1.0413925891834</v>
      </c>
      <c r="G148" s="22">
        <f>收容经验!L7</f>
        <v>0.885474371240769</v>
      </c>
      <c r="H148" s="22">
        <v>0.150228246578205</v>
      </c>
      <c r="I148" s="22">
        <f>收容经验!X7</f>
        <v>0.150228246578205</v>
      </c>
      <c r="J148" s="22">
        <f t="shared" si="4"/>
        <v>1</v>
      </c>
      <c r="K148" s="22">
        <v>85.3396123163832</v>
      </c>
      <c r="L148" s="22">
        <f>收容经验!Y7</f>
        <v>85.3396123163831</v>
      </c>
      <c r="M148" s="22">
        <f t="shared" si="5"/>
        <v>0.999999999999999</v>
      </c>
      <c r="N148" t="s">
        <v>6162</v>
      </c>
    </row>
    <row r="149" spans="1:14">
      <c r="A149" t="s">
        <v>56</v>
      </c>
      <c r="B149" t="s">
        <v>582</v>
      </c>
      <c r="C149">
        <v>48</v>
      </c>
      <c r="D149">
        <v>49</v>
      </c>
      <c r="E149">
        <v>34</v>
      </c>
      <c r="F149" s="22">
        <f>收容经验!K8</f>
        <v>1.03103111729802</v>
      </c>
      <c r="G149" s="22">
        <f>收容经验!L8</f>
        <v>0.885754757003408</v>
      </c>
      <c r="H149" s="22">
        <v>0.0804460801256086</v>
      </c>
      <c r="I149" s="22">
        <f>收容经验!X8</f>
        <v>0.0804460801256087</v>
      </c>
      <c r="J149" s="22">
        <f t="shared" si="4"/>
        <v>1</v>
      </c>
      <c r="K149" s="22">
        <v>141.396511460388</v>
      </c>
      <c r="L149" s="22">
        <f>收容经验!Y8</f>
        <v>141.396511460388</v>
      </c>
      <c r="M149" s="22">
        <f t="shared" si="5"/>
        <v>1</v>
      </c>
      <c r="N149" t="s">
        <v>6162</v>
      </c>
    </row>
    <row r="150" spans="1:14">
      <c r="A150" t="s">
        <v>56</v>
      </c>
      <c r="B150" t="s">
        <v>585</v>
      </c>
      <c r="C150">
        <v>64</v>
      </c>
      <c r="D150">
        <v>61</v>
      </c>
      <c r="E150">
        <v>42</v>
      </c>
      <c r="F150" s="22">
        <f>收容经验!K9</f>
        <v>1.05578471016559</v>
      </c>
      <c r="G150" s="22">
        <f>收容经验!L9</f>
        <v>0.933132403197277</v>
      </c>
      <c r="H150" s="22">
        <v>0.0630600139995946</v>
      </c>
      <c r="I150" s="22">
        <f>收容经验!X9</f>
        <v>0.0630600139995946</v>
      </c>
      <c r="J150" s="22">
        <f t="shared" si="4"/>
        <v>1</v>
      </c>
      <c r="K150" s="22">
        <v>171.463770977079</v>
      </c>
      <c r="L150" s="22">
        <f>收容经验!Y9</f>
        <v>171.463770977079</v>
      </c>
      <c r="M150" s="22">
        <f t="shared" si="5"/>
        <v>1</v>
      </c>
      <c r="N150" t="s">
        <v>6162</v>
      </c>
    </row>
    <row r="151" spans="1:14">
      <c r="A151" t="s">
        <v>57</v>
      </c>
      <c r="B151" t="s">
        <v>573</v>
      </c>
      <c r="C151">
        <v>100</v>
      </c>
      <c r="D151">
        <v>129</v>
      </c>
      <c r="E151">
        <v>102</v>
      </c>
      <c r="F151" s="22">
        <f>旅券!K5</f>
        <v>1.07990869802304</v>
      </c>
      <c r="G151" s="22">
        <f>旅券!L5</f>
        <v>0.793456501955126</v>
      </c>
      <c r="H151" s="22">
        <v>11.2614747333939</v>
      </c>
      <c r="I151" s="22">
        <f>旅券!X5</f>
        <v>11.2614747333938</v>
      </c>
      <c r="J151" s="22">
        <f t="shared" si="4"/>
        <v>0.999999999999994</v>
      </c>
      <c r="K151" s="22">
        <v>119.881797347347</v>
      </c>
      <c r="L151" s="22">
        <f>旅券!Y5</f>
        <v>119.881797347347</v>
      </c>
      <c r="M151" s="22">
        <f t="shared" si="5"/>
        <v>1</v>
      </c>
      <c r="N151" t="s">
        <v>6162</v>
      </c>
    </row>
    <row r="152" spans="1:14">
      <c r="A152" t="s">
        <v>57</v>
      </c>
      <c r="B152" t="s">
        <v>576</v>
      </c>
      <c r="C152">
        <v>112</v>
      </c>
      <c r="D152">
        <v>166</v>
      </c>
      <c r="E152">
        <v>135</v>
      </c>
      <c r="F152" s="22">
        <f>旅券!K6</f>
        <v>1.06534064398689</v>
      </c>
      <c r="G152" s="22">
        <f>旅券!L6</f>
        <v>0.858799015312246</v>
      </c>
      <c r="H152" s="22">
        <v>16.9465096432986</v>
      </c>
      <c r="I152" s="22">
        <f>旅券!X6</f>
        <v>16.9465096432985</v>
      </c>
      <c r="J152" s="22">
        <f t="shared" si="4"/>
        <v>0.999999999999996</v>
      </c>
      <c r="K152" s="22">
        <v>94.078580035778</v>
      </c>
      <c r="L152" s="22">
        <f>旅券!Y6</f>
        <v>94.078580035778</v>
      </c>
      <c r="M152" s="22">
        <f t="shared" si="5"/>
        <v>1</v>
      </c>
      <c r="N152" t="s">
        <v>6162</v>
      </c>
    </row>
    <row r="153" spans="1:14">
      <c r="A153" t="s">
        <v>57</v>
      </c>
      <c r="B153" t="s">
        <v>579</v>
      </c>
      <c r="C153">
        <v>126</v>
      </c>
      <c r="D153">
        <v>204</v>
      </c>
      <c r="E153">
        <v>172</v>
      </c>
      <c r="F153" s="22">
        <f>旅券!K7</f>
        <v>1.02745540139657</v>
      </c>
      <c r="G153" s="22">
        <f>旅券!L7</f>
        <v>0.913314398239222</v>
      </c>
      <c r="H153" s="22">
        <v>24.7183906230985</v>
      </c>
      <c r="I153" s="22">
        <f>旅券!X7</f>
        <v>24.7183906230984</v>
      </c>
      <c r="J153" s="22">
        <f t="shared" si="4"/>
        <v>0.999999999999997</v>
      </c>
      <c r="K153" s="22">
        <v>75.3877159276231</v>
      </c>
      <c r="L153" s="22">
        <f>旅券!Y7</f>
        <v>75.3877159276229</v>
      </c>
      <c r="M153" s="22">
        <f t="shared" si="5"/>
        <v>0.999999999999997</v>
      </c>
      <c r="N153" t="s">
        <v>6162</v>
      </c>
    </row>
    <row r="154" spans="1:14">
      <c r="A154" t="s">
        <v>57</v>
      </c>
      <c r="B154" t="s">
        <v>582</v>
      </c>
      <c r="C154">
        <v>142</v>
      </c>
      <c r="D154">
        <v>230</v>
      </c>
      <c r="E154">
        <v>199</v>
      </c>
      <c r="F154" s="22">
        <f>旅券!K8</f>
        <v>1.01486632057472</v>
      </c>
      <c r="G154" s="22">
        <f>旅券!L8</f>
        <v>0.958559057747547</v>
      </c>
      <c r="H154" s="22">
        <v>29.797864348546</v>
      </c>
      <c r="I154" s="22">
        <f>旅券!X8</f>
        <v>29.7978643485459</v>
      </c>
      <c r="J154" s="22">
        <f t="shared" si="4"/>
        <v>0.999999999999997</v>
      </c>
      <c r="K154" s="22">
        <v>68.1074809910158</v>
      </c>
      <c r="L154" s="22">
        <f>旅券!Y8</f>
        <v>68.1074809910159</v>
      </c>
      <c r="M154" s="22">
        <f t="shared" si="5"/>
        <v>1</v>
      </c>
      <c r="N154" t="s">
        <v>6162</v>
      </c>
    </row>
    <row r="155" spans="1:14">
      <c r="A155" t="s">
        <v>57</v>
      </c>
      <c r="B155" t="s">
        <v>585</v>
      </c>
      <c r="C155">
        <v>160</v>
      </c>
      <c r="D155">
        <v>248</v>
      </c>
      <c r="E155">
        <v>220</v>
      </c>
      <c r="F155" s="22">
        <f>旅券!K9</f>
        <v>1.00817636214388</v>
      </c>
      <c r="G155" s="22">
        <f>旅券!L9</f>
        <v>0.995146825475285</v>
      </c>
      <c r="H155" s="22">
        <v>32.8450520552988</v>
      </c>
      <c r="I155" s="22">
        <f>旅券!X9</f>
        <v>32.8450520552988</v>
      </c>
      <c r="J155" s="22">
        <f t="shared" si="4"/>
        <v>1</v>
      </c>
      <c r="K155" s="22">
        <v>64.9075357918272</v>
      </c>
      <c r="L155" s="22">
        <f>旅券!Y9</f>
        <v>64.9075357918271</v>
      </c>
      <c r="M155" s="22">
        <f t="shared" si="5"/>
        <v>0.999999999999998</v>
      </c>
      <c r="N155" t="s">
        <v>6162</v>
      </c>
    </row>
    <row r="156" spans="1:14">
      <c r="A156" t="s">
        <v>57</v>
      </c>
      <c r="B156" t="s">
        <v>589</v>
      </c>
      <c r="C156">
        <v>180</v>
      </c>
      <c r="D156">
        <v>264</v>
      </c>
      <c r="E156">
        <v>241</v>
      </c>
      <c r="F156" s="22">
        <f>旅券!K10</f>
        <v>0.992571601701453</v>
      </c>
      <c r="G156" s="22">
        <f>旅券!L10</f>
        <v>1.02342753184361</v>
      </c>
      <c r="H156" s="22">
        <v>36.3144847569017</v>
      </c>
      <c r="I156" s="22">
        <f>旅券!X10</f>
        <v>36.3144847569018</v>
      </c>
      <c r="J156" s="22">
        <f t="shared" si="4"/>
        <v>1</v>
      </c>
      <c r="K156" s="22">
        <v>61.5700245540108</v>
      </c>
      <c r="L156" s="22">
        <f>旅券!Y10</f>
        <v>61.5700245540108</v>
      </c>
      <c r="M156" s="22">
        <f t="shared" si="5"/>
        <v>0.999999999999999</v>
      </c>
      <c r="N156" t="s">
        <v>6162</v>
      </c>
    </row>
    <row r="157" spans="1:14">
      <c r="A157" t="s">
        <v>57</v>
      </c>
      <c r="B157" t="s">
        <v>592</v>
      </c>
      <c r="C157">
        <v>202</v>
      </c>
      <c r="D157">
        <v>275</v>
      </c>
      <c r="E157">
        <v>258</v>
      </c>
      <c r="F157" s="22">
        <f>旅券!K11</f>
        <v>0.988982179292714</v>
      </c>
      <c r="G157" s="22">
        <f>旅券!L11</f>
        <v>1.05281333148257</v>
      </c>
      <c r="H157" s="22">
        <v>38.6196901635103</v>
      </c>
      <c r="I157" s="22">
        <f>旅券!X11</f>
        <v>38.6196901635101</v>
      </c>
      <c r="J157" s="22">
        <f t="shared" si="4"/>
        <v>0.999999999999996</v>
      </c>
      <c r="K157" s="22">
        <v>59.698356053557</v>
      </c>
      <c r="L157" s="22">
        <f>旅券!Y11</f>
        <v>59.6983560535569</v>
      </c>
      <c r="M157" s="22">
        <f t="shared" si="5"/>
        <v>0.999999999999997</v>
      </c>
      <c r="N157" t="s">
        <v>6162</v>
      </c>
    </row>
    <row r="158" spans="1:14">
      <c r="A158" t="s">
        <v>57</v>
      </c>
      <c r="B158" t="s">
        <v>595</v>
      </c>
      <c r="C158">
        <v>226</v>
      </c>
      <c r="D158">
        <v>284</v>
      </c>
      <c r="E158">
        <v>275</v>
      </c>
      <c r="F158" s="22">
        <f>旅券!K12</f>
        <v>0.974640081454633</v>
      </c>
      <c r="G158" s="22">
        <f>旅券!L12</f>
        <v>1.07385458010427</v>
      </c>
      <c r="H158" s="22">
        <v>40.9650942231664</v>
      </c>
      <c r="I158" s="22">
        <f>旅券!X12</f>
        <v>40.9650942231664</v>
      </c>
      <c r="J158" s="22">
        <f t="shared" si="4"/>
        <v>1</v>
      </c>
      <c r="K158" s="22">
        <v>57.8662872740313</v>
      </c>
      <c r="L158" s="22">
        <f>旅券!Y12</f>
        <v>57.8662872740314</v>
      </c>
      <c r="M158" s="22">
        <f t="shared" si="5"/>
        <v>1</v>
      </c>
      <c r="N158" t="s">
        <v>6162</v>
      </c>
    </row>
    <row r="159" spans="1:14">
      <c r="A159" t="s">
        <v>57</v>
      </c>
      <c r="B159" t="s">
        <v>598</v>
      </c>
      <c r="C159">
        <v>252</v>
      </c>
      <c r="D159">
        <v>292</v>
      </c>
      <c r="E159">
        <v>292</v>
      </c>
      <c r="F159" s="22">
        <f>旅券!K13</f>
        <v>0.962898761335162</v>
      </c>
      <c r="G159" s="22">
        <f>旅券!L13</f>
        <v>1.09553933422662</v>
      </c>
      <c r="H159" s="22">
        <v>43.6676854515511</v>
      </c>
      <c r="I159" s="22">
        <f>旅券!X13</f>
        <v>43.6676854515511</v>
      </c>
      <c r="J159" s="22">
        <f t="shared" si="4"/>
        <v>1</v>
      </c>
      <c r="K159" s="22">
        <v>55.8366616506035</v>
      </c>
      <c r="L159" s="22">
        <f>旅券!Y13</f>
        <v>55.8366616506037</v>
      </c>
      <c r="M159" s="22">
        <f t="shared" si="5"/>
        <v>1</v>
      </c>
      <c r="N159" t="s">
        <v>6162</v>
      </c>
    </row>
    <row r="160" spans="1:14">
      <c r="A160" t="s">
        <v>57</v>
      </c>
      <c r="B160" t="s">
        <v>641</v>
      </c>
      <c r="C160">
        <v>279</v>
      </c>
      <c r="D160">
        <v>303</v>
      </c>
      <c r="E160">
        <v>312</v>
      </c>
      <c r="F160" s="22">
        <f>旅券!K14</f>
        <v>0.959812363969416</v>
      </c>
      <c r="G160" s="22">
        <f>旅券!L14</f>
        <v>1.12491355634151</v>
      </c>
      <c r="H160" s="22">
        <v>48.9399418516817</v>
      </c>
      <c r="I160" s="22">
        <f>旅券!X14</f>
        <v>48.9399418516817</v>
      </c>
      <c r="J160" s="22">
        <f t="shared" si="4"/>
        <v>0.999999999999999</v>
      </c>
      <c r="K160" s="22">
        <v>52.1810319673369</v>
      </c>
      <c r="L160" s="22">
        <f>旅券!Y14</f>
        <v>52.1810319673367</v>
      </c>
      <c r="M160" s="22">
        <f t="shared" si="5"/>
        <v>0.999999999999997</v>
      </c>
      <c r="N160" t="s">
        <v>6162</v>
      </c>
    </row>
    <row r="161" spans="1:14">
      <c r="A161" t="s">
        <v>58</v>
      </c>
      <c r="B161" t="s">
        <v>573</v>
      </c>
      <c r="C161">
        <v>24</v>
      </c>
      <c r="D161">
        <v>26</v>
      </c>
      <c r="E161">
        <v>23</v>
      </c>
      <c r="F161" s="22">
        <f>映射!K5</f>
        <v>1.21078110769917</v>
      </c>
      <c r="G161" s="22">
        <f>映射!L5</f>
        <v>0.747093023255814</v>
      </c>
      <c r="H161" s="22">
        <v>7.08141933730498</v>
      </c>
      <c r="I161" s="22">
        <f>映射!X5</f>
        <v>7.081419337305</v>
      </c>
      <c r="J161" s="22">
        <f t="shared" si="4"/>
        <v>1</v>
      </c>
      <c r="K161" s="22">
        <v>77.6391325323922</v>
      </c>
      <c r="L161" s="22">
        <f>映射!Y5</f>
        <v>77.6391325323922</v>
      </c>
      <c r="M161" s="22">
        <f t="shared" si="5"/>
        <v>1</v>
      </c>
      <c r="N161" t="s">
        <v>6162</v>
      </c>
    </row>
    <row r="162" spans="1:14">
      <c r="A162" t="s">
        <v>58</v>
      </c>
      <c r="B162" t="s">
        <v>576</v>
      </c>
      <c r="C162">
        <v>29</v>
      </c>
      <c r="D162">
        <v>35</v>
      </c>
      <c r="E162">
        <v>30</v>
      </c>
      <c r="F162" s="22">
        <f>映射!K6</f>
        <v>1.17720882621358</v>
      </c>
      <c r="G162" s="22">
        <f>映射!L6</f>
        <v>0.744081354282956</v>
      </c>
      <c r="H162" s="22">
        <v>7.34408426601762</v>
      </c>
      <c r="I162" s="22">
        <f>映射!X6</f>
        <v>7.34408426601761</v>
      </c>
      <c r="J162" s="22">
        <f t="shared" si="4"/>
        <v>0.999999999999999</v>
      </c>
      <c r="K162" s="22">
        <v>73.9678171876445</v>
      </c>
      <c r="L162" s="22">
        <f>映射!Y6</f>
        <v>73.9678171876447</v>
      </c>
      <c r="M162" s="22">
        <f t="shared" si="5"/>
        <v>1</v>
      </c>
      <c r="N162" t="s">
        <v>6162</v>
      </c>
    </row>
    <row r="163" spans="1:14">
      <c r="A163" t="s">
        <v>58</v>
      </c>
      <c r="B163" t="s">
        <v>579</v>
      </c>
      <c r="C163">
        <v>36</v>
      </c>
      <c r="D163">
        <v>45</v>
      </c>
      <c r="E163">
        <v>33</v>
      </c>
      <c r="F163" s="22">
        <f>映射!K7</f>
        <v>1.18020954502231</v>
      </c>
      <c r="G163" s="22">
        <f>映射!L7</f>
        <v>0.748409114069851</v>
      </c>
      <c r="H163" s="22">
        <v>5.94874333907198</v>
      </c>
      <c r="I163" s="22">
        <f>映射!X7</f>
        <v>5.948743339072</v>
      </c>
      <c r="J163" s="22">
        <f t="shared" si="4"/>
        <v>1</v>
      </c>
      <c r="K163" s="22">
        <v>86.8889382996143</v>
      </c>
      <c r="L163" s="22">
        <f>映射!Y7</f>
        <v>86.8889382996145</v>
      </c>
      <c r="M163" s="22">
        <f t="shared" si="5"/>
        <v>1</v>
      </c>
      <c r="N163" t="s">
        <v>6162</v>
      </c>
    </row>
    <row r="164" spans="1:14">
      <c r="A164" t="s">
        <v>58</v>
      </c>
      <c r="B164" t="s">
        <v>582</v>
      </c>
      <c r="C164">
        <v>43</v>
      </c>
      <c r="D164">
        <v>54</v>
      </c>
      <c r="E164">
        <v>38</v>
      </c>
      <c r="F164" s="22">
        <f>映射!K8</f>
        <v>1.17460796583434</v>
      </c>
      <c r="G164" s="22">
        <f>映射!L8</f>
        <v>0.741168613880481</v>
      </c>
      <c r="H164" s="22">
        <v>5.0856270243093</v>
      </c>
      <c r="I164" s="22">
        <f>映射!X8</f>
        <v>5.08562702430931</v>
      </c>
      <c r="J164" s="22">
        <f t="shared" si="4"/>
        <v>1</v>
      </c>
      <c r="K164" s="22">
        <v>99.581460725854</v>
      </c>
      <c r="L164" s="22">
        <f>映射!Y8</f>
        <v>99.5814607258541</v>
      </c>
      <c r="M164" s="22">
        <f t="shared" si="5"/>
        <v>1</v>
      </c>
      <c r="N164" t="s">
        <v>6162</v>
      </c>
    </row>
    <row r="165" spans="1:14">
      <c r="A165" t="s">
        <v>58</v>
      </c>
      <c r="B165" t="s">
        <v>585</v>
      </c>
      <c r="C165">
        <v>50</v>
      </c>
      <c r="D165">
        <v>63</v>
      </c>
      <c r="E165">
        <v>46</v>
      </c>
      <c r="F165" s="22">
        <f>映射!K9</f>
        <v>1.14596876131196</v>
      </c>
      <c r="G165" s="22">
        <f>映射!L9</f>
        <v>0.730743580765173</v>
      </c>
      <c r="H165" s="22">
        <v>4.72735459267961</v>
      </c>
      <c r="I165" s="22">
        <f>映射!X9</f>
        <v>4.7273545926796</v>
      </c>
      <c r="J165" s="22">
        <f t="shared" si="4"/>
        <v>0.999999999999997</v>
      </c>
      <c r="K165" s="22">
        <v>107.36110137807</v>
      </c>
      <c r="L165" s="22">
        <f>映射!Y9</f>
        <v>107.36110137807</v>
      </c>
      <c r="M165" s="22">
        <f t="shared" si="5"/>
        <v>1</v>
      </c>
      <c r="N165" t="s">
        <v>6162</v>
      </c>
    </row>
    <row r="166" spans="1:14">
      <c r="A166" t="s">
        <v>58</v>
      </c>
      <c r="B166" t="s">
        <v>589</v>
      </c>
      <c r="C166">
        <v>58</v>
      </c>
      <c r="D166">
        <v>73</v>
      </c>
      <c r="E166">
        <v>55</v>
      </c>
      <c r="F166" s="22">
        <f>映射!K10</f>
        <v>1.12653278812402</v>
      </c>
      <c r="G166" s="22">
        <f>映射!L10</f>
        <v>0.73259627655623</v>
      </c>
      <c r="H166" s="22">
        <v>4.59028162845401</v>
      </c>
      <c r="I166" s="22">
        <f>映射!X10</f>
        <v>4.59028162845403</v>
      </c>
      <c r="J166" s="22">
        <f t="shared" si="4"/>
        <v>1</v>
      </c>
      <c r="K166" s="22">
        <v>112.372800874269</v>
      </c>
      <c r="L166" s="22">
        <f>映射!Y10</f>
        <v>112.372800874269</v>
      </c>
      <c r="M166" s="22">
        <f t="shared" si="5"/>
        <v>0.999999999999996</v>
      </c>
      <c r="N166" t="s">
        <v>6162</v>
      </c>
    </row>
    <row r="167" spans="1:14">
      <c r="A167" t="s">
        <v>58</v>
      </c>
      <c r="B167" t="s">
        <v>592</v>
      </c>
      <c r="C167">
        <v>66</v>
      </c>
      <c r="D167">
        <v>82</v>
      </c>
      <c r="E167">
        <v>62</v>
      </c>
      <c r="F167" s="22">
        <f>映射!K11</f>
        <v>1.13837439832732</v>
      </c>
      <c r="G167" s="22">
        <f>映射!L11</f>
        <v>0.74818595483741</v>
      </c>
      <c r="H167" s="22">
        <v>4.44112923777848</v>
      </c>
      <c r="I167" s="22">
        <f>映射!X11</f>
        <v>4.44112923777848</v>
      </c>
      <c r="J167" s="22">
        <f t="shared" si="4"/>
        <v>1</v>
      </c>
      <c r="K167" s="22">
        <v>118.895449910463</v>
      </c>
      <c r="L167" s="22">
        <f>映射!Y11</f>
        <v>118.895449910463</v>
      </c>
      <c r="M167" s="22">
        <f t="shared" si="5"/>
        <v>0.999999999999998</v>
      </c>
      <c r="N167" t="s">
        <v>6162</v>
      </c>
    </row>
    <row r="168" spans="1:14">
      <c r="A168" t="s">
        <v>58</v>
      </c>
      <c r="B168" t="s">
        <v>595</v>
      </c>
      <c r="C168">
        <v>74</v>
      </c>
      <c r="D168">
        <v>91</v>
      </c>
      <c r="E168">
        <v>69</v>
      </c>
      <c r="F168" s="22">
        <f>映射!K12</f>
        <v>1.13156025638566</v>
      </c>
      <c r="G168" s="22">
        <f>映射!L12</f>
        <v>0.75369277434186</v>
      </c>
      <c r="H168" s="22">
        <v>4.24656736743334</v>
      </c>
      <c r="I168" s="22">
        <f>映射!X12</f>
        <v>4.24656736743335</v>
      </c>
      <c r="J168" s="22">
        <f t="shared" si="4"/>
        <v>1</v>
      </c>
      <c r="K168" s="22">
        <v>129.489657274692</v>
      </c>
      <c r="L168" s="22">
        <f>映射!Y12</f>
        <v>129.489657274692</v>
      </c>
      <c r="M168" s="22">
        <f t="shared" si="5"/>
        <v>0.999999999999999</v>
      </c>
      <c r="N168" t="s">
        <v>6162</v>
      </c>
    </row>
    <row r="169" spans="1:14">
      <c r="A169" t="s">
        <v>58</v>
      </c>
      <c r="B169" t="s">
        <v>598</v>
      </c>
      <c r="C169">
        <v>82</v>
      </c>
      <c r="D169">
        <v>100</v>
      </c>
      <c r="E169">
        <v>77</v>
      </c>
      <c r="F169" s="22">
        <f>映射!K13</f>
        <v>1.10905485237202</v>
      </c>
      <c r="G169" s="22">
        <f>映射!L13</f>
        <v>0.757902456937782</v>
      </c>
      <c r="H169" s="22">
        <v>4.24454258290307</v>
      </c>
      <c r="I169" s="22">
        <f>映射!X13</f>
        <v>4.24454258290307</v>
      </c>
      <c r="J169" s="22">
        <f t="shared" si="4"/>
        <v>1</v>
      </c>
      <c r="K169" s="22">
        <v>135.161913509016</v>
      </c>
      <c r="L169" s="22">
        <f>映射!Y13</f>
        <v>135.161913509016</v>
      </c>
      <c r="M169" s="22">
        <f t="shared" si="5"/>
        <v>1</v>
      </c>
      <c r="N169" t="s">
        <v>6162</v>
      </c>
    </row>
    <row r="170" spans="1:14">
      <c r="A170" t="s">
        <v>58</v>
      </c>
      <c r="B170" t="s">
        <v>641</v>
      </c>
      <c r="C170">
        <v>90</v>
      </c>
      <c r="D170">
        <v>110</v>
      </c>
      <c r="E170">
        <v>85</v>
      </c>
      <c r="F170" s="22">
        <f>映射!K14</f>
        <v>1.10725986449125</v>
      </c>
      <c r="G170" s="22">
        <f>映射!L14</f>
        <v>0.771653066032038</v>
      </c>
      <c r="H170" s="22">
        <v>4.47557637349738</v>
      </c>
      <c r="I170" s="22">
        <f>映射!X14</f>
        <v>4.47557637349736</v>
      </c>
      <c r="J170" s="22">
        <f t="shared" si="4"/>
        <v>0.999999999999995</v>
      </c>
      <c r="K170" s="22">
        <v>134.938938204297</v>
      </c>
      <c r="L170" s="22">
        <f>映射!Y14</f>
        <v>134.938938204297</v>
      </c>
      <c r="M170" s="22">
        <f t="shared" si="5"/>
        <v>0.999999999999997</v>
      </c>
      <c r="N170" t="s">
        <v>6162</v>
      </c>
    </row>
    <row r="171" spans="1:14">
      <c r="A171" t="s">
        <v>58</v>
      </c>
      <c r="B171" t="s">
        <v>671</v>
      </c>
      <c r="C171">
        <v>99</v>
      </c>
      <c r="D171">
        <v>119</v>
      </c>
      <c r="E171">
        <v>93</v>
      </c>
      <c r="F171" s="22">
        <f>映射!K15</f>
        <v>1.09189090472177</v>
      </c>
      <c r="G171" s="22">
        <f>映射!L15</f>
        <v>0.781376007637187</v>
      </c>
      <c r="H171" s="22">
        <v>4.63295873502986</v>
      </c>
      <c r="I171" s="22">
        <f>映射!X15</f>
        <v>4.63295873502984</v>
      </c>
      <c r="J171" s="22">
        <f t="shared" si="4"/>
        <v>0.999999999999996</v>
      </c>
      <c r="K171" s="22">
        <v>135.954619957299</v>
      </c>
      <c r="L171" s="22">
        <f>映射!Y15</f>
        <v>135.954619957299</v>
      </c>
      <c r="M171" s="22">
        <f t="shared" si="5"/>
        <v>0.999999999999997</v>
      </c>
      <c r="N171" t="s">
        <v>6162</v>
      </c>
    </row>
    <row r="172" spans="1:14">
      <c r="A172" t="s">
        <v>58</v>
      </c>
      <c r="B172" t="s">
        <v>674</v>
      </c>
      <c r="C172">
        <v>108</v>
      </c>
      <c r="D172">
        <v>128</v>
      </c>
      <c r="E172">
        <v>101</v>
      </c>
      <c r="F172" s="22">
        <f>映射!K16</f>
        <v>1.08013776568264</v>
      </c>
      <c r="G172" s="22">
        <f>映射!L16</f>
        <v>0.796538030333609</v>
      </c>
      <c r="H172" s="22">
        <v>4.48746652958326</v>
      </c>
      <c r="I172" s="22">
        <f>映射!X16</f>
        <v>4.48746652958325</v>
      </c>
      <c r="J172" s="22">
        <f t="shared" si="4"/>
        <v>0.999999999999998</v>
      </c>
      <c r="K172" s="22">
        <v>141.455255340924</v>
      </c>
      <c r="L172" s="22">
        <f>映射!Y16</f>
        <v>141.455255340924</v>
      </c>
      <c r="M172" s="22">
        <f t="shared" si="5"/>
        <v>1</v>
      </c>
      <c r="N172" t="s">
        <v>6162</v>
      </c>
    </row>
    <row r="173" spans="1:14">
      <c r="A173" t="s">
        <v>58</v>
      </c>
      <c r="B173" t="s">
        <v>677</v>
      </c>
      <c r="C173">
        <v>116</v>
      </c>
      <c r="D173">
        <v>138</v>
      </c>
      <c r="E173">
        <v>111</v>
      </c>
      <c r="F173" s="22">
        <f>映射!K17</f>
        <v>1.06572906115279</v>
      </c>
      <c r="G173" s="22">
        <f>映射!L17</f>
        <v>0.815189448370908</v>
      </c>
      <c r="H173" s="22">
        <v>4.64061842909295</v>
      </c>
      <c r="I173" s="22">
        <f>映射!X17</f>
        <v>4.64061842909295</v>
      </c>
      <c r="J173" s="22">
        <f t="shared" si="4"/>
        <v>1</v>
      </c>
      <c r="K173" s="22">
        <v>140.04149464645</v>
      </c>
      <c r="L173" s="22">
        <f>映射!Y17</f>
        <v>140.041494646449</v>
      </c>
      <c r="M173" s="22">
        <f t="shared" si="5"/>
        <v>0.999999999999995</v>
      </c>
      <c r="N173" t="s">
        <v>6162</v>
      </c>
    </row>
    <row r="174" spans="1:14">
      <c r="A174" t="s">
        <v>58</v>
      </c>
      <c r="B174" t="s">
        <v>680</v>
      </c>
      <c r="C174">
        <v>125</v>
      </c>
      <c r="D174">
        <v>147</v>
      </c>
      <c r="E174">
        <v>120</v>
      </c>
      <c r="F174" s="22">
        <f>映射!K18</f>
        <v>1.05537868365952</v>
      </c>
      <c r="G174" s="22">
        <f>映射!L18</f>
        <v>0.833052425809945</v>
      </c>
      <c r="H174" s="22">
        <v>4.73169733144622</v>
      </c>
      <c r="I174" s="22">
        <f>映射!X18</f>
        <v>4.73169733144623</v>
      </c>
      <c r="J174" s="22">
        <f t="shared" si="4"/>
        <v>1</v>
      </c>
      <c r="K174" s="22">
        <v>139.741034750835</v>
      </c>
      <c r="L174" s="22">
        <f>映射!Y18</f>
        <v>139.741034750835</v>
      </c>
      <c r="M174" s="22">
        <f t="shared" si="5"/>
        <v>0.999999999999997</v>
      </c>
      <c r="N174" t="s">
        <v>6162</v>
      </c>
    </row>
    <row r="175" spans="1:14">
      <c r="A175" t="s">
        <v>58</v>
      </c>
      <c r="B175" t="s">
        <v>683</v>
      </c>
      <c r="C175">
        <v>134</v>
      </c>
      <c r="D175">
        <v>156</v>
      </c>
      <c r="E175">
        <v>129</v>
      </c>
      <c r="F175" s="22">
        <f>映射!K19</f>
        <v>1.05697922812179</v>
      </c>
      <c r="G175" s="22">
        <f>映射!L19</f>
        <v>0.856651838829397</v>
      </c>
      <c r="H175" s="22">
        <v>4.93460484306969</v>
      </c>
      <c r="I175" s="22">
        <f>映射!X19</f>
        <v>4.93460484306971</v>
      </c>
      <c r="J175" s="22">
        <f t="shared" si="4"/>
        <v>1</v>
      </c>
      <c r="K175" s="22">
        <v>137.119199662944</v>
      </c>
      <c r="L175" s="22">
        <f>映射!Y19</f>
        <v>137.119199662944</v>
      </c>
      <c r="M175" s="22">
        <f t="shared" si="5"/>
        <v>1</v>
      </c>
      <c r="N175" t="s">
        <v>6162</v>
      </c>
    </row>
    <row r="176" spans="1:14">
      <c r="A176" t="s">
        <v>58</v>
      </c>
      <c r="B176" t="s">
        <v>686</v>
      </c>
      <c r="C176">
        <v>143</v>
      </c>
      <c r="D176">
        <v>166</v>
      </c>
      <c r="E176">
        <v>140</v>
      </c>
      <c r="F176" s="22">
        <f>映射!K20</f>
        <v>1.04289213940022</v>
      </c>
      <c r="G176" s="22">
        <f>映射!L20</f>
        <v>0.875192051916462</v>
      </c>
      <c r="H176" s="22">
        <v>5.32802419236463</v>
      </c>
      <c r="I176" s="22">
        <f>映射!X20</f>
        <v>5.32802419236464</v>
      </c>
      <c r="J176" s="22">
        <f t="shared" si="4"/>
        <v>1</v>
      </c>
      <c r="K176" s="22">
        <v>131.358721048513</v>
      </c>
      <c r="L176" s="22">
        <f>映射!Y20</f>
        <v>131.358721048513</v>
      </c>
      <c r="M176" s="22">
        <f t="shared" si="5"/>
        <v>1</v>
      </c>
      <c r="N176" t="s">
        <v>6162</v>
      </c>
    </row>
    <row r="177" spans="1:14">
      <c r="A177" t="s">
        <v>58</v>
      </c>
      <c r="B177" t="s">
        <v>689</v>
      </c>
      <c r="C177">
        <v>153</v>
      </c>
      <c r="D177">
        <v>175</v>
      </c>
      <c r="E177">
        <v>150</v>
      </c>
      <c r="F177" s="22">
        <f>映射!K21</f>
        <v>1.03663329161026</v>
      </c>
      <c r="G177" s="22">
        <f>映射!L21</f>
        <v>0.895192216733449</v>
      </c>
      <c r="H177" s="22">
        <v>5.67504172531104</v>
      </c>
      <c r="I177" s="22">
        <f>映射!X21</f>
        <v>5.67504172531107</v>
      </c>
      <c r="J177" s="22">
        <f t="shared" si="4"/>
        <v>1.00000000000001</v>
      </c>
      <c r="K177" s="22">
        <v>126.896983234761</v>
      </c>
      <c r="L177" s="22">
        <f>映射!Y21</f>
        <v>126.896983234762</v>
      </c>
      <c r="M177" s="22">
        <f t="shared" si="5"/>
        <v>1</v>
      </c>
      <c r="N177" t="s">
        <v>6162</v>
      </c>
    </row>
    <row r="178" spans="1:14">
      <c r="A178" t="s">
        <v>58</v>
      </c>
      <c r="B178" t="s">
        <v>692</v>
      </c>
      <c r="C178">
        <v>162</v>
      </c>
      <c r="D178">
        <v>184</v>
      </c>
      <c r="E178">
        <v>160</v>
      </c>
      <c r="F178" s="22">
        <f>映射!K22</f>
        <v>1.03619836966429</v>
      </c>
      <c r="G178" s="22">
        <f>映射!L22</f>
        <v>0.917372203776233</v>
      </c>
      <c r="H178" s="22">
        <v>6.16612846529201</v>
      </c>
      <c r="I178" s="22">
        <f>映射!X22</f>
        <v>6.16612846529202</v>
      </c>
      <c r="J178" s="22">
        <f t="shared" si="4"/>
        <v>1</v>
      </c>
      <c r="K178" s="22">
        <v>120.863949392029</v>
      </c>
      <c r="L178" s="22">
        <f>映射!Y22</f>
        <v>120.863949392029</v>
      </c>
      <c r="M178" s="22">
        <f t="shared" si="5"/>
        <v>1</v>
      </c>
      <c r="N178" t="s">
        <v>6162</v>
      </c>
    </row>
    <row r="179" spans="1:14">
      <c r="A179" t="s">
        <v>58</v>
      </c>
      <c r="B179" t="s">
        <v>695</v>
      </c>
      <c r="C179">
        <v>171</v>
      </c>
      <c r="D179">
        <v>194</v>
      </c>
      <c r="E179">
        <v>172</v>
      </c>
      <c r="F179" s="22">
        <f>映射!K23</f>
        <v>1.01820929899662</v>
      </c>
      <c r="G179" s="22">
        <f>映射!L23</f>
        <v>0.932091789423659</v>
      </c>
      <c r="H179" s="22">
        <v>6.85839312304933</v>
      </c>
      <c r="I179" s="22">
        <f>映射!X23</f>
        <v>6.85839312304928</v>
      </c>
      <c r="J179" s="22">
        <f t="shared" si="4"/>
        <v>0.999999999999993</v>
      </c>
      <c r="K179" s="22">
        <v>113.345756758554</v>
      </c>
      <c r="L179" s="22">
        <f>映射!Y23</f>
        <v>113.345756758554</v>
      </c>
      <c r="M179" s="22">
        <f t="shared" si="5"/>
        <v>1</v>
      </c>
      <c r="N179" t="s">
        <v>6162</v>
      </c>
    </row>
    <row r="180" spans="1:14">
      <c r="A180" t="s">
        <v>58</v>
      </c>
      <c r="B180" t="s">
        <v>698</v>
      </c>
      <c r="C180">
        <v>181</v>
      </c>
      <c r="D180">
        <v>203</v>
      </c>
      <c r="E180">
        <v>183</v>
      </c>
      <c r="F180" s="22">
        <f>映射!K24</f>
        <v>1.01078130558729</v>
      </c>
      <c r="G180" s="22">
        <f>映射!L24</f>
        <v>0.950442926549424</v>
      </c>
      <c r="H180" s="22">
        <v>7.51056250738689</v>
      </c>
      <c r="I180" s="22">
        <f>映射!X24</f>
        <v>7.51056250738686</v>
      </c>
      <c r="J180" s="22">
        <f t="shared" si="4"/>
        <v>0.999999999999995</v>
      </c>
      <c r="K180" s="22">
        <v>107.365220731752</v>
      </c>
      <c r="L180" s="22">
        <f>映射!Y24</f>
        <v>107.365220731752</v>
      </c>
      <c r="M180" s="22">
        <f t="shared" si="5"/>
        <v>1</v>
      </c>
      <c r="N180" t="s">
        <v>6162</v>
      </c>
    </row>
    <row r="181" spans="1:14">
      <c r="A181" t="s">
        <v>58</v>
      </c>
      <c r="B181" t="s">
        <v>701</v>
      </c>
      <c r="C181">
        <v>190</v>
      </c>
      <c r="D181">
        <v>212</v>
      </c>
      <c r="E181">
        <v>194</v>
      </c>
      <c r="F181" s="22">
        <f>映射!K25</f>
        <v>1.00527491093789</v>
      </c>
      <c r="G181" s="22">
        <f>映射!L25</f>
        <v>0.968823750844287</v>
      </c>
      <c r="H181" s="22">
        <v>8.30445712240703</v>
      </c>
      <c r="I181" s="22">
        <f>映射!X25</f>
        <v>8.30445712240702</v>
      </c>
      <c r="J181" s="22">
        <f t="shared" si="4"/>
        <v>0.999999999999998</v>
      </c>
      <c r="K181" s="22">
        <v>101.008679209749</v>
      </c>
      <c r="L181" s="22">
        <f>映射!Y25</f>
        <v>101.008679209749</v>
      </c>
      <c r="M181" s="22">
        <f t="shared" si="5"/>
        <v>0.999999999999999</v>
      </c>
      <c r="N181" t="s">
        <v>6162</v>
      </c>
    </row>
    <row r="182" spans="1:14">
      <c r="A182" t="s">
        <v>58</v>
      </c>
      <c r="B182" t="s">
        <v>704</v>
      </c>
      <c r="C182">
        <v>200</v>
      </c>
      <c r="D182">
        <v>222</v>
      </c>
      <c r="E182">
        <v>206</v>
      </c>
      <c r="F182" s="22">
        <f>映射!K26</f>
        <v>1.00339828561656</v>
      </c>
      <c r="G182" s="22">
        <f>映射!L26</f>
        <v>0.990370075015221</v>
      </c>
      <c r="H182" s="22">
        <v>9.31707023639969</v>
      </c>
      <c r="I182" s="22">
        <f>映射!X26</f>
        <v>9.3170702363997</v>
      </c>
      <c r="J182" s="22">
        <f t="shared" si="4"/>
        <v>1</v>
      </c>
      <c r="K182" s="22">
        <v>94.1688015479281</v>
      </c>
      <c r="L182" s="22">
        <f>映射!Y26</f>
        <v>94.1688015479281</v>
      </c>
      <c r="M182" s="22">
        <f t="shared" si="5"/>
        <v>1</v>
      </c>
      <c r="N182" t="s">
        <v>6162</v>
      </c>
    </row>
    <row r="183" spans="1:14">
      <c r="A183" t="s">
        <v>58</v>
      </c>
      <c r="B183" t="s">
        <v>707</v>
      </c>
      <c r="C183">
        <v>210</v>
      </c>
      <c r="D183">
        <v>231</v>
      </c>
      <c r="E183">
        <v>218</v>
      </c>
      <c r="F183" s="22">
        <f>映射!K27</f>
        <v>0.991291585353962</v>
      </c>
      <c r="G183" s="22">
        <f>映射!L27</f>
        <v>1.0047303418767</v>
      </c>
      <c r="H183" s="22">
        <v>10.328765740304</v>
      </c>
      <c r="I183" s="22">
        <f>映射!X27</f>
        <v>10.328765740304</v>
      </c>
      <c r="J183" s="22">
        <f t="shared" si="4"/>
        <v>1</v>
      </c>
      <c r="K183" s="22">
        <v>88.4427744015268</v>
      </c>
      <c r="L183" s="22">
        <f>映射!Y27</f>
        <v>88.4427744015266</v>
      </c>
      <c r="M183" s="22">
        <f t="shared" si="5"/>
        <v>0.999999999999998</v>
      </c>
      <c r="N183" t="s">
        <v>6162</v>
      </c>
    </row>
    <row r="184" spans="1:14">
      <c r="A184" t="s">
        <v>58</v>
      </c>
      <c r="B184" t="s">
        <v>710</v>
      </c>
      <c r="C184">
        <v>219</v>
      </c>
      <c r="D184">
        <v>240</v>
      </c>
      <c r="E184">
        <v>229</v>
      </c>
      <c r="F184" s="22">
        <f>映射!K28</f>
        <v>0.993693814058289</v>
      </c>
      <c r="G184" s="22">
        <f>映射!L28</f>
        <v>1.02565018242229</v>
      </c>
      <c r="H184" s="22">
        <v>11.5000062519994</v>
      </c>
      <c r="I184" s="22">
        <f>映射!X28</f>
        <v>11.5000062519994</v>
      </c>
      <c r="J184" s="22">
        <f t="shared" si="4"/>
        <v>1</v>
      </c>
      <c r="K184" s="22">
        <v>82.8165701238938</v>
      </c>
      <c r="L184" s="22">
        <f>映射!Y28</f>
        <v>82.8165701238939</v>
      </c>
      <c r="M184" s="22">
        <f t="shared" si="5"/>
        <v>1</v>
      </c>
      <c r="N184" t="s">
        <v>6162</v>
      </c>
    </row>
    <row r="185" spans="1:14">
      <c r="A185" t="s">
        <v>58</v>
      </c>
      <c r="B185" t="s">
        <v>713</v>
      </c>
      <c r="C185">
        <v>229</v>
      </c>
      <c r="D185">
        <v>249</v>
      </c>
      <c r="E185">
        <v>241</v>
      </c>
      <c r="F185" s="22">
        <f>映射!K29</f>
        <v>0.986320932671804</v>
      </c>
      <c r="G185" s="22">
        <f>映射!L29</f>
        <v>1.04120234772454</v>
      </c>
      <c r="H185" s="22">
        <v>12.7903418618879</v>
      </c>
      <c r="I185" s="22">
        <f>映射!X29</f>
        <v>12.7903418618879</v>
      </c>
      <c r="J185" s="22">
        <f t="shared" si="4"/>
        <v>1</v>
      </c>
      <c r="K185" s="22">
        <v>77.6101088797393</v>
      </c>
      <c r="L185" s="22">
        <f>映射!Y29</f>
        <v>77.6101088797394</v>
      </c>
      <c r="M185" s="22">
        <f t="shared" si="5"/>
        <v>1</v>
      </c>
      <c r="N185" t="s">
        <v>6162</v>
      </c>
    </row>
    <row r="186" spans="1:14">
      <c r="A186" t="s">
        <v>58</v>
      </c>
      <c r="B186" t="s">
        <v>716</v>
      </c>
      <c r="C186">
        <v>239</v>
      </c>
      <c r="D186">
        <v>259</v>
      </c>
      <c r="E186">
        <v>254</v>
      </c>
      <c r="F186" s="22">
        <f>映射!K30</f>
        <v>0.981895192599818</v>
      </c>
      <c r="G186" s="22">
        <f>映射!L30</f>
        <v>1.0592137273962</v>
      </c>
      <c r="H186" s="22">
        <v>14.4319167521579</v>
      </c>
      <c r="I186" s="22">
        <f>映射!X30</f>
        <v>14.4319167521579</v>
      </c>
      <c r="J186" s="22">
        <f t="shared" si="4"/>
        <v>0.999999999999998</v>
      </c>
      <c r="K186" s="22">
        <v>72.0775982563731</v>
      </c>
      <c r="L186" s="22">
        <f>映射!Y30</f>
        <v>72.0775982563731</v>
      </c>
      <c r="M186" s="22">
        <f t="shared" si="5"/>
        <v>1</v>
      </c>
      <c r="N186" t="s">
        <v>6162</v>
      </c>
    </row>
    <row r="187" spans="1:14">
      <c r="A187" t="s">
        <v>58</v>
      </c>
      <c r="B187" t="s">
        <v>719</v>
      </c>
      <c r="C187">
        <v>249</v>
      </c>
      <c r="D187">
        <v>268</v>
      </c>
      <c r="E187">
        <v>266</v>
      </c>
      <c r="F187" s="22">
        <f>映射!K31</f>
        <v>0.980177379645643</v>
      </c>
      <c r="G187" s="22">
        <f>映射!L31</f>
        <v>1.07696873232885</v>
      </c>
      <c r="H187" s="22">
        <v>16.0678172439248</v>
      </c>
      <c r="I187" s="22">
        <f>映射!X31</f>
        <v>16.0678172439248</v>
      </c>
      <c r="J187" s="22">
        <f t="shared" si="4"/>
        <v>0.999999999999999</v>
      </c>
      <c r="K187" s="22">
        <v>67.5007192276165</v>
      </c>
      <c r="L187" s="22">
        <f>映射!Y31</f>
        <v>67.5007192276161</v>
      </c>
      <c r="M187" s="22">
        <f t="shared" si="5"/>
        <v>0.999999999999995</v>
      </c>
      <c r="N187" t="s">
        <v>6162</v>
      </c>
    </row>
    <row r="188" spans="1:14">
      <c r="A188" t="s">
        <v>58</v>
      </c>
      <c r="B188" t="s">
        <v>722</v>
      </c>
      <c r="C188">
        <v>259</v>
      </c>
      <c r="D188">
        <v>277</v>
      </c>
      <c r="E188">
        <v>279</v>
      </c>
      <c r="F188" s="22">
        <f>映射!K32</f>
        <v>0.966628607471665</v>
      </c>
      <c r="G188" s="22">
        <f>映射!L32</f>
        <v>1.08685322087678</v>
      </c>
      <c r="H188" s="22">
        <v>17.8892953102602</v>
      </c>
      <c r="I188" s="22">
        <f>映射!X32</f>
        <v>17.8892953102602</v>
      </c>
      <c r="J188" s="22">
        <f t="shared" si="4"/>
        <v>0.999999999999999</v>
      </c>
      <c r="K188" s="22">
        <v>63.2143777807656</v>
      </c>
      <c r="L188" s="22">
        <f>映射!Y32</f>
        <v>63.2143777807652</v>
      </c>
      <c r="M188" s="22">
        <f t="shared" si="5"/>
        <v>0.999999999999994</v>
      </c>
      <c r="N188" t="s">
        <v>6162</v>
      </c>
    </row>
    <row r="189" spans="1:14">
      <c r="A189" t="s">
        <v>58</v>
      </c>
      <c r="B189" t="s">
        <v>725</v>
      </c>
      <c r="C189">
        <v>269</v>
      </c>
      <c r="D189">
        <v>287</v>
      </c>
      <c r="E189">
        <v>292</v>
      </c>
      <c r="F189" s="22">
        <f>映射!K33</f>
        <v>0.968164059645081</v>
      </c>
      <c r="G189" s="22">
        <f>映射!L33</f>
        <v>1.10635179727611</v>
      </c>
      <c r="H189" s="22">
        <v>20.1675121116196</v>
      </c>
      <c r="I189" s="22">
        <f>映射!X33</f>
        <v>20.1675121116196</v>
      </c>
      <c r="J189" s="22">
        <f t="shared" si="4"/>
        <v>0.999999999999998</v>
      </c>
      <c r="K189" s="22">
        <v>58.7461564257782</v>
      </c>
      <c r="L189" s="22">
        <f>映射!Y33</f>
        <v>58.7461564257782</v>
      </c>
      <c r="M189" s="22">
        <f t="shared" si="5"/>
        <v>1</v>
      </c>
      <c r="N189" t="s">
        <v>6162</v>
      </c>
    </row>
    <row r="190" spans="1:14">
      <c r="A190" t="s">
        <v>58</v>
      </c>
      <c r="B190" t="s">
        <v>728</v>
      </c>
      <c r="C190">
        <v>279</v>
      </c>
      <c r="D190">
        <v>296</v>
      </c>
      <c r="E190">
        <v>305</v>
      </c>
      <c r="F190" s="22">
        <f>映射!K34</f>
        <v>0.959194059602632</v>
      </c>
      <c r="G190" s="22">
        <f>映射!L34</f>
        <v>1.11757518018391</v>
      </c>
      <c r="H190" s="22">
        <v>22.4310796972095</v>
      </c>
      <c r="I190" s="22">
        <f>映射!X34</f>
        <v>22.4310796972094</v>
      </c>
      <c r="J190" s="22">
        <f t="shared" si="4"/>
        <v>0.999999999999996</v>
      </c>
      <c r="K190" s="22">
        <v>55.0549969977649</v>
      </c>
      <c r="L190" s="22">
        <f>映射!Y34</f>
        <v>55.054996997765</v>
      </c>
      <c r="M190" s="22">
        <f t="shared" si="5"/>
        <v>1</v>
      </c>
      <c r="N190" t="s">
        <v>6162</v>
      </c>
    </row>
    <row r="191" spans="1:14">
      <c r="A191" t="s">
        <v>60</v>
      </c>
      <c r="B191" t="s">
        <v>573</v>
      </c>
      <c r="C191">
        <v>54</v>
      </c>
      <c r="D191">
        <v>87</v>
      </c>
      <c r="E191">
        <v>68</v>
      </c>
      <c r="F191" s="22">
        <f>Boss挑战!K5</f>
        <v>1.12337409306676</v>
      </c>
      <c r="G191" s="22">
        <f>Boss挑战!L5</f>
        <v>0.74981292753363</v>
      </c>
      <c r="H191" s="22">
        <v>15.76257661625</v>
      </c>
      <c r="I191" s="22">
        <f>Boss挑战!X5</f>
        <v>15.76257661625</v>
      </c>
      <c r="J191" s="22">
        <f t="shared" si="4"/>
        <v>0.999999999999999</v>
      </c>
      <c r="K191" s="22">
        <v>75.9686847244304</v>
      </c>
      <c r="L191" s="22">
        <f>Boss挑战!Y5</f>
        <v>75.9686847244304</v>
      </c>
      <c r="M191" s="22">
        <f t="shared" si="5"/>
        <v>0.999999999999999</v>
      </c>
      <c r="N191" t="s">
        <v>6162</v>
      </c>
    </row>
    <row r="192" spans="1:14">
      <c r="A192" t="s">
        <v>60</v>
      </c>
      <c r="B192" t="s">
        <v>576</v>
      </c>
      <c r="C192">
        <v>64</v>
      </c>
      <c r="D192">
        <v>118</v>
      </c>
      <c r="E192">
        <v>95</v>
      </c>
      <c r="F192" s="22">
        <f>Boss挑战!K6</f>
        <v>1.09907357478448</v>
      </c>
      <c r="G192" s="22">
        <f>Boss挑战!L6</f>
        <v>0.791963262055697</v>
      </c>
      <c r="H192" s="22">
        <v>23.0587997141001</v>
      </c>
      <c r="I192" s="22">
        <f>Boss挑战!X6</f>
        <v>23.0587997141001</v>
      </c>
      <c r="J192" s="22">
        <f t="shared" si="4"/>
        <v>1</v>
      </c>
      <c r="K192" s="22">
        <v>61.2440269443781</v>
      </c>
      <c r="L192" s="22">
        <f>Boss挑战!Y6</f>
        <v>61.2440269443781</v>
      </c>
      <c r="M192" s="22">
        <f t="shared" si="5"/>
        <v>1</v>
      </c>
      <c r="N192" t="s">
        <v>6162</v>
      </c>
    </row>
    <row r="193" spans="1:14">
      <c r="A193" t="s">
        <v>60</v>
      </c>
      <c r="B193" t="s">
        <v>579</v>
      </c>
      <c r="C193">
        <v>76</v>
      </c>
      <c r="D193">
        <v>148</v>
      </c>
      <c r="E193">
        <v>120</v>
      </c>
      <c r="F193" s="22">
        <f>Boss挑战!K7</f>
        <v>1.07914424095209</v>
      </c>
      <c r="G193" s="22">
        <f>Boss挑战!L7</f>
        <v>0.827303587460533</v>
      </c>
      <c r="H193" s="22">
        <v>27.7152179327466</v>
      </c>
      <c r="I193" s="22">
        <f>Boss挑战!X7</f>
        <v>27.7152179327467</v>
      </c>
      <c r="J193" s="22">
        <f t="shared" si="4"/>
        <v>1</v>
      </c>
      <c r="K193" s="22">
        <v>59.7141435776309</v>
      </c>
      <c r="L193" s="22">
        <f>Boss挑战!Y7</f>
        <v>59.7141435776309</v>
      </c>
      <c r="M193" s="22">
        <f t="shared" si="5"/>
        <v>0.999999999999999</v>
      </c>
      <c r="N193" t="s">
        <v>6162</v>
      </c>
    </row>
    <row r="194" spans="1:14">
      <c r="A194" t="s">
        <v>60</v>
      </c>
      <c r="B194" t="s">
        <v>582</v>
      </c>
      <c r="C194">
        <v>89</v>
      </c>
      <c r="D194">
        <v>172</v>
      </c>
      <c r="E194">
        <v>141</v>
      </c>
      <c r="F194" s="22">
        <f>Boss挑战!K8</f>
        <v>1.05480649735759</v>
      </c>
      <c r="G194" s="22">
        <f>Boss挑战!L8</f>
        <v>0.854646990676799</v>
      </c>
      <c r="H194" s="22">
        <v>30.9253840312954</v>
      </c>
      <c r="I194" s="22">
        <f>Boss挑战!X8</f>
        <v>30.9253840312955</v>
      </c>
      <c r="J194" s="22">
        <f t="shared" ref="J194:J257" si="6">I194/H194</f>
        <v>1</v>
      </c>
      <c r="K194" s="22">
        <v>59.634048608868</v>
      </c>
      <c r="L194" s="22">
        <f>Boss挑战!Y8</f>
        <v>59.6340486088679</v>
      </c>
      <c r="M194" s="22">
        <f t="shared" ref="M194:M257" si="7">L194/K194</f>
        <v>0.999999999999999</v>
      </c>
      <c r="N194" t="s">
        <v>6162</v>
      </c>
    </row>
    <row r="195" spans="1:14">
      <c r="A195" t="s">
        <v>60</v>
      </c>
      <c r="B195" t="s">
        <v>585</v>
      </c>
      <c r="C195">
        <v>104</v>
      </c>
      <c r="D195">
        <v>196</v>
      </c>
      <c r="E195">
        <v>162</v>
      </c>
      <c r="F195" s="22">
        <f>Boss挑战!K9</f>
        <v>1.03967770900507</v>
      </c>
      <c r="G195" s="22">
        <f>Boss挑战!L9</f>
        <v>0.886835348544449</v>
      </c>
      <c r="H195" s="22">
        <v>33.7308671164027</v>
      </c>
      <c r="I195" s="22">
        <f>Boss挑战!X9</f>
        <v>33.7308671164026</v>
      </c>
      <c r="J195" s="22">
        <f t="shared" si="6"/>
        <v>0.999999999999999</v>
      </c>
      <c r="K195" s="22">
        <v>59.4656899760942</v>
      </c>
      <c r="L195" s="22">
        <f>Boss挑战!Y9</f>
        <v>59.4656899760942</v>
      </c>
      <c r="M195" s="22">
        <f t="shared" si="7"/>
        <v>0.999999999999999</v>
      </c>
      <c r="N195" t="s">
        <v>6162</v>
      </c>
    </row>
    <row r="196" spans="1:14">
      <c r="A196" t="s">
        <v>60</v>
      </c>
      <c r="B196" t="s">
        <v>589</v>
      </c>
      <c r="C196">
        <v>122</v>
      </c>
      <c r="D196">
        <v>224</v>
      </c>
      <c r="E196">
        <v>189</v>
      </c>
      <c r="F196" s="22">
        <f>Boss挑战!K10</f>
        <v>1.03127610503314</v>
      </c>
      <c r="G196" s="22">
        <f>Boss挑战!L10</f>
        <v>0.939466811310611</v>
      </c>
      <c r="H196" s="22">
        <v>35.6324341935519</v>
      </c>
      <c r="I196" s="22">
        <f>Boss挑战!X10</f>
        <v>35.632434193552</v>
      </c>
      <c r="J196" s="22">
        <f t="shared" si="6"/>
        <v>1</v>
      </c>
      <c r="K196" s="22">
        <v>59.4689149760253</v>
      </c>
      <c r="L196" s="22">
        <f>Boss挑战!Y10</f>
        <v>59.4689149760254</v>
      </c>
      <c r="M196" s="22">
        <f t="shared" si="7"/>
        <v>1</v>
      </c>
      <c r="N196" t="s">
        <v>6162</v>
      </c>
    </row>
    <row r="197" spans="1:14">
      <c r="A197" t="s">
        <v>62</v>
      </c>
      <c r="B197" t="s">
        <v>734</v>
      </c>
      <c r="C197">
        <v>95</v>
      </c>
      <c r="D197">
        <v>183</v>
      </c>
      <c r="E197">
        <v>143</v>
      </c>
      <c r="F197" s="22">
        <f>大秘境!K5</f>
        <v>0.976540929820854</v>
      </c>
      <c r="G197" s="22">
        <f>大秘境!L5</f>
        <v>1.08067173483721</v>
      </c>
      <c r="H197" s="22">
        <v>0.319277944640455</v>
      </c>
      <c r="I197" s="22">
        <f>大秘境!X5</f>
        <v>0.319277944640456</v>
      </c>
      <c r="J197" s="22">
        <f t="shared" si="6"/>
        <v>1</v>
      </c>
      <c r="K197" s="22">
        <v>58.4542680862851</v>
      </c>
      <c r="L197" s="22">
        <f>大秘境!Y5</f>
        <v>58.4542680862849</v>
      </c>
      <c r="M197" s="22">
        <f t="shared" si="7"/>
        <v>0.999999999999997</v>
      </c>
      <c r="N197" t="s">
        <v>6162</v>
      </c>
    </row>
    <row r="198" spans="1:14">
      <c r="A198" t="s">
        <v>62</v>
      </c>
      <c r="B198" t="s">
        <v>737</v>
      </c>
      <c r="C198">
        <v>101</v>
      </c>
      <c r="D198">
        <v>192</v>
      </c>
      <c r="E198">
        <v>151</v>
      </c>
      <c r="F198" s="22">
        <f>大秘境!K6</f>
        <v>0.969744926924125</v>
      </c>
      <c r="G198" s="22">
        <f>大秘境!L6</f>
        <v>1.09016192045715</v>
      </c>
      <c r="H198" s="22">
        <v>0.327130026687157</v>
      </c>
      <c r="I198" s="22">
        <f>大秘境!X6</f>
        <v>0.327130026687157</v>
      </c>
      <c r="J198" s="22">
        <f t="shared" si="6"/>
        <v>1</v>
      </c>
      <c r="K198" s="22">
        <v>58.3887444283635</v>
      </c>
      <c r="L198" s="22">
        <f>大秘境!Y6</f>
        <v>58.3887444283637</v>
      </c>
      <c r="M198" s="22">
        <f t="shared" si="7"/>
        <v>1</v>
      </c>
      <c r="N198" t="s">
        <v>6162</v>
      </c>
    </row>
    <row r="199" spans="1:14">
      <c r="A199" t="s">
        <v>62</v>
      </c>
      <c r="B199" t="s">
        <v>739</v>
      </c>
      <c r="C199">
        <v>107</v>
      </c>
      <c r="D199">
        <v>201</v>
      </c>
      <c r="E199">
        <v>159</v>
      </c>
      <c r="F199" s="22">
        <f>大秘境!K7</f>
        <v>0.964580870355496</v>
      </c>
      <c r="G199" s="22">
        <f>大秘境!L7</f>
        <v>1.1035478487286</v>
      </c>
      <c r="H199" s="22">
        <v>0.320542651239206</v>
      </c>
      <c r="I199" s="22">
        <f>大秘境!X7</f>
        <v>0.320542651239206</v>
      </c>
      <c r="J199" s="22">
        <f t="shared" si="6"/>
        <v>1</v>
      </c>
      <c r="K199" s="22">
        <v>59.712004146715</v>
      </c>
      <c r="L199" s="22">
        <f>大秘境!Y7</f>
        <v>59.7120041467149</v>
      </c>
      <c r="M199" s="22">
        <f t="shared" si="7"/>
        <v>0.999999999999999</v>
      </c>
      <c r="N199" t="s">
        <v>6162</v>
      </c>
    </row>
    <row r="200" spans="1:14">
      <c r="A200" t="s">
        <v>62</v>
      </c>
      <c r="B200" t="s">
        <v>741</v>
      </c>
      <c r="C200">
        <v>114</v>
      </c>
      <c r="D200">
        <v>210</v>
      </c>
      <c r="E200">
        <v>168</v>
      </c>
      <c r="F200" s="22">
        <f>大秘境!K8</f>
        <v>0.9630583360773</v>
      </c>
      <c r="G200" s="22">
        <f>大秘境!L8</f>
        <v>1.12238693404869</v>
      </c>
      <c r="H200" s="22">
        <v>0.313500965662204</v>
      </c>
      <c r="I200" s="22">
        <f>大秘境!X8</f>
        <v>0.313500965662204</v>
      </c>
      <c r="J200" s="22">
        <f t="shared" si="6"/>
        <v>1</v>
      </c>
      <c r="K200" s="22">
        <v>61.1098535633697</v>
      </c>
      <c r="L200" s="22">
        <f>大秘境!Y8</f>
        <v>61.1098535633696</v>
      </c>
      <c r="M200" s="22">
        <f t="shared" si="7"/>
        <v>0.999999999999998</v>
      </c>
      <c r="N200" t="s">
        <v>6162</v>
      </c>
    </row>
    <row r="201" spans="1:14">
      <c r="A201" t="s">
        <v>62</v>
      </c>
      <c r="B201" t="s">
        <v>743</v>
      </c>
      <c r="C201">
        <v>121</v>
      </c>
      <c r="D201">
        <v>220</v>
      </c>
      <c r="E201">
        <v>178</v>
      </c>
      <c r="F201" s="22">
        <f>大秘境!K9</f>
        <v>0.951004591312042</v>
      </c>
      <c r="G201" s="22">
        <f>大秘境!L9</f>
        <v>1.13234950495075</v>
      </c>
      <c r="H201" s="22">
        <v>0.317463129416273</v>
      </c>
      <c r="I201" s="22">
        <f>大秘境!X9</f>
        <v>0.317463129416273</v>
      </c>
      <c r="J201" s="22">
        <f t="shared" si="6"/>
        <v>1</v>
      </c>
      <c r="K201" s="22">
        <v>60.9905671825976</v>
      </c>
      <c r="L201" s="22">
        <f>大秘境!Y9</f>
        <v>60.9905671825975</v>
      </c>
      <c r="M201" s="22">
        <f t="shared" si="7"/>
        <v>0.999999999999998</v>
      </c>
      <c r="N201" t="s">
        <v>6162</v>
      </c>
    </row>
    <row r="202" spans="1:14">
      <c r="A202" t="s">
        <v>62</v>
      </c>
      <c r="B202" t="s">
        <v>746</v>
      </c>
      <c r="C202">
        <v>128</v>
      </c>
      <c r="D202">
        <v>227</v>
      </c>
      <c r="E202">
        <v>186</v>
      </c>
      <c r="F202" s="22">
        <f>大秘境!K10</f>
        <v>0.943600541376085</v>
      </c>
      <c r="G202" s="22">
        <f>大秘境!L10</f>
        <v>1.14291701848363</v>
      </c>
      <c r="H202" s="22">
        <v>0.313497395310871</v>
      </c>
      <c r="I202" s="22">
        <f>大秘境!X10</f>
        <v>0.313497395310871</v>
      </c>
      <c r="J202" s="22">
        <f t="shared" si="6"/>
        <v>1</v>
      </c>
      <c r="K202" s="22">
        <v>61.840248360759</v>
      </c>
      <c r="L202" s="22">
        <f>大秘境!Y10</f>
        <v>61.8402483607592</v>
      </c>
      <c r="M202" s="22">
        <f t="shared" si="7"/>
        <v>1</v>
      </c>
      <c r="N202" t="s">
        <v>6162</v>
      </c>
    </row>
    <row r="203" spans="1:14">
      <c r="A203" t="s">
        <v>62</v>
      </c>
      <c r="B203" t="s">
        <v>748</v>
      </c>
      <c r="C203">
        <v>135</v>
      </c>
      <c r="D203">
        <v>234</v>
      </c>
      <c r="E203">
        <v>193</v>
      </c>
      <c r="F203" s="22">
        <f>大秘境!K11</f>
        <v>0.947622018277534</v>
      </c>
      <c r="G203" s="22">
        <f>大秘境!L11</f>
        <v>1.16023729995253</v>
      </c>
      <c r="H203" s="22">
        <v>0.314106296125466</v>
      </c>
      <c r="I203" s="22">
        <f>大秘境!X11</f>
        <v>0.314106296125466</v>
      </c>
      <c r="J203" s="22">
        <f t="shared" si="6"/>
        <v>1</v>
      </c>
      <c r="K203" s="22">
        <v>62.0369723256494</v>
      </c>
      <c r="L203" s="22">
        <f>大秘境!Y11</f>
        <v>62.0369723256494</v>
      </c>
      <c r="M203" s="22">
        <f t="shared" si="7"/>
        <v>1</v>
      </c>
      <c r="N203" t="s">
        <v>6162</v>
      </c>
    </row>
    <row r="204" spans="1:14">
      <c r="A204" t="s">
        <v>62</v>
      </c>
      <c r="B204" t="s">
        <v>750</v>
      </c>
      <c r="C204">
        <v>142</v>
      </c>
      <c r="D204">
        <v>240</v>
      </c>
      <c r="E204">
        <v>200</v>
      </c>
      <c r="F204" s="22">
        <f>大秘境!K12</f>
        <v>0.945895430935843</v>
      </c>
      <c r="G204" s="22">
        <f>大秘境!L12</f>
        <v>1.1725216094445</v>
      </c>
      <c r="H204" s="22">
        <v>0.314277897605528</v>
      </c>
      <c r="I204" s="22">
        <f>大秘境!X12</f>
        <v>0.314277897605528</v>
      </c>
      <c r="J204" s="22">
        <f t="shared" si="6"/>
        <v>0.999999999999999</v>
      </c>
      <c r="K204" s="22">
        <v>62.2494840825666</v>
      </c>
      <c r="L204" s="22">
        <f>大秘境!Y12</f>
        <v>62.2494840825669</v>
      </c>
      <c r="M204" s="22">
        <f t="shared" si="7"/>
        <v>1</v>
      </c>
      <c r="N204" t="s">
        <v>6162</v>
      </c>
    </row>
    <row r="205" spans="1:14">
      <c r="A205" t="s">
        <v>62</v>
      </c>
      <c r="B205" t="s">
        <v>752</v>
      </c>
      <c r="C205">
        <v>150</v>
      </c>
      <c r="D205">
        <v>246</v>
      </c>
      <c r="E205">
        <v>208</v>
      </c>
      <c r="F205" s="22">
        <f>大秘境!K13</f>
        <v>0.933227965834996</v>
      </c>
      <c r="G205" s="22">
        <f>大秘境!L13</f>
        <v>1.17679486579661</v>
      </c>
      <c r="H205" s="22">
        <v>0.314847674079832</v>
      </c>
      <c r="I205" s="22">
        <f>大秘境!X13</f>
        <v>0.314847674079831</v>
      </c>
      <c r="J205" s="22">
        <f t="shared" si="6"/>
        <v>0.999999999999996</v>
      </c>
      <c r="K205" s="22">
        <v>62.4019147941114</v>
      </c>
      <c r="L205" s="22">
        <f>大秘境!Y13</f>
        <v>62.4019147941112</v>
      </c>
      <c r="M205" s="22">
        <f t="shared" si="7"/>
        <v>0.999999999999997</v>
      </c>
      <c r="N205" t="s">
        <v>6162</v>
      </c>
    </row>
    <row r="206" spans="1:14">
      <c r="A206" t="s">
        <v>62</v>
      </c>
      <c r="B206" t="s">
        <v>754</v>
      </c>
      <c r="C206">
        <v>158</v>
      </c>
      <c r="D206">
        <v>251</v>
      </c>
      <c r="E206">
        <v>215</v>
      </c>
      <c r="F206" s="22">
        <f>大秘境!K14</f>
        <v>0.9277015189892</v>
      </c>
      <c r="G206" s="22">
        <f>大秘境!L14</f>
        <v>1.18518613830209</v>
      </c>
      <c r="H206" s="22">
        <v>0.314851910931278</v>
      </c>
      <c r="I206" s="22">
        <f>大秘境!X14</f>
        <v>0.314851910931277</v>
      </c>
      <c r="J206" s="22">
        <f t="shared" si="6"/>
        <v>0.999999999999995</v>
      </c>
      <c r="K206" s="22">
        <v>62.5927160151234</v>
      </c>
      <c r="L206" s="22">
        <f>大秘境!Y14</f>
        <v>62.5927160151235</v>
      </c>
      <c r="M206" s="22">
        <f t="shared" si="7"/>
        <v>1</v>
      </c>
      <c r="N206" t="s">
        <v>6162</v>
      </c>
    </row>
    <row r="207" spans="1:14">
      <c r="A207" t="s">
        <v>62</v>
      </c>
      <c r="B207" t="s">
        <v>756</v>
      </c>
      <c r="C207">
        <v>165</v>
      </c>
      <c r="D207">
        <v>256</v>
      </c>
      <c r="E207">
        <v>221</v>
      </c>
      <c r="F207" s="22">
        <f>大秘境!K15</f>
        <v>0.930792810059927</v>
      </c>
      <c r="G207" s="22">
        <f>大秘境!L15</f>
        <v>1.19841761076149</v>
      </c>
      <c r="H207" s="22">
        <v>0.31989152266375</v>
      </c>
      <c r="I207" s="22">
        <f>大秘境!X15</f>
        <v>0.319891522663749</v>
      </c>
      <c r="J207" s="22">
        <f t="shared" si="6"/>
        <v>0.999999999999995</v>
      </c>
      <c r="K207" s="22">
        <v>62.0816534595318</v>
      </c>
      <c r="L207" s="22">
        <f>大秘境!Y15</f>
        <v>62.0816534595316</v>
      </c>
      <c r="M207" s="22">
        <f t="shared" si="7"/>
        <v>0.999999999999997</v>
      </c>
      <c r="N207" t="s">
        <v>6162</v>
      </c>
    </row>
    <row r="208" spans="1:14">
      <c r="A208" t="s">
        <v>62</v>
      </c>
      <c r="B208" t="s">
        <v>758</v>
      </c>
      <c r="C208">
        <v>173</v>
      </c>
      <c r="D208">
        <v>260</v>
      </c>
      <c r="E208">
        <v>227</v>
      </c>
      <c r="F208" s="22">
        <f>大秘境!K16</f>
        <v>0.929622893890929</v>
      </c>
      <c r="G208" s="22">
        <f>大秘境!L16</f>
        <v>1.20840448217647</v>
      </c>
      <c r="H208" s="22">
        <v>0.321035281467947</v>
      </c>
      <c r="I208" s="22">
        <f>大秘境!X16</f>
        <v>0.321035281467946</v>
      </c>
      <c r="J208" s="22">
        <f t="shared" si="6"/>
        <v>0.999999999999996</v>
      </c>
      <c r="K208" s="22">
        <v>62.0776189983525</v>
      </c>
      <c r="L208" s="22">
        <f>大秘境!Y16</f>
        <v>62.0776189983526</v>
      </c>
      <c r="M208" s="22">
        <f t="shared" si="7"/>
        <v>1</v>
      </c>
      <c r="N208" t="s">
        <v>6162</v>
      </c>
    </row>
    <row r="209" spans="1:14">
      <c r="A209" t="s">
        <v>62</v>
      </c>
      <c r="B209" t="s">
        <v>760</v>
      </c>
      <c r="C209">
        <v>181</v>
      </c>
      <c r="D209">
        <v>264</v>
      </c>
      <c r="E209">
        <v>233</v>
      </c>
      <c r="F209" s="22">
        <f>大秘境!K17</f>
        <v>0.927414459259092</v>
      </c>
      <c r="G209" s="22">
        <f>大秘境!L17</f>
        <v>1.21679232322575</v>
      </c>
      <c r="H209" s="22">
        <v>0.324396017149109</v>
      </c>
      <c r="I209" s="22">
        <f>大秘境!X17</f>
        <v>0.324396017149109</v>
      </c>
      <c r="J209" s="22">
        <f t="shared" si="6"/>
        <v>1</v>
      </c>
      <c r="K209" s="22">
        <v>61.7746587424281</v>
      </c>
      <c r="L209" s="22">
        <f>大秘境!Y17</f>
        <v>61.7746587424284</v>
      </c>
      <c r="M209" s="22">
        <f t="shared" si="7"/>
        <v>1.00000000000001</v>
      </c>
      <c r="N209" t="s">
        <v>6162</v>
      </c>
    </row>
    <row r="210" spans="1:14">
      <c r="A210" t="s">
        <v>62</v>
      </c>
      <c r="B210" t="s">
        <v>762</v>
      </c>
      <c r="C210">
        <v>189</v>
      </c>
      <c r="D210">
        <v>268</v>
      </c>
      <c r="E210">
        <v>239</v>
      </c>
      <c r="F210" s="22">
        <f>大秘境!K18</f>
        <v>0.929136960829456</v>
      </c>
      <c r="G210" s="22">
        <f>大秘境!L18</f>
        <v>1.22853771020941</v>
      </c>
      <c r="H210" s="22">
        <v>0.329669362771688</v>
      </c>
      <c r="I210" s="22">
        <f>大秘境!X18</f>
        <v>0.329669362771688</v>
      </c>
      <c r="J210" s="22">
        <f t="shared" si="6"/>
        <v>0.999999999999999</v>
      </c>
      <c r="K210" s="22">
        <v>61.2286925893576</v>
      </c>
      <c r="L210" s="22">
        <f>大秘境!Y18</f>
        <v>61.2286925893577</v>
      </c>
      <c r="M210" s="22">
        <f t="shared" si="7"/>
        <v>1</v>
      </c>
      <c r="N210" t="s">
        <v>6162</v>
      </c>
    </row>
    <row r="211" spans="1:14">
      <c r="A211" t="s">
        <v>62</v>
      </c>
      <c r="B211" t="s">
        <v>764</v>
      </c>
      <c r="C211">
        <v>197</v>
      </c>
      <c r="D211">
        <v>271</v>
      </c>
      <c r="E211">
        <v>245</v>
      </c>
      <c r="F211" s="22">
        <f>大秘境!K19</f>
        <v>0.917613635352208</v>
      </c>
      <c r="G211" s="22">
        <f>大秘境!L19</f>
        <v>1.22815728624221</v>
      </c>
      <c r="H211" s="22">
        <v>0.332454163258674</v>
      </c>
      <c r="I211" s="22">
        <f>大秘境!X19</f>
        <v>0.332454163258674</v>
      </c>
      <c r="J211" s="22">
        <f t="shared" si="6"/>
        <v>1</v>
      </c>
      <c r="K211" s="22">
        <v>60.9829701208239</v>
      </c>
      <c r="L211" s="22">
        <f>大秘境!Y19</f>
        <v>60.982970120824</v>
      </c>
      <c r="M211" s="22">
        <f t="shared" si="7"/>
        <v>1</v>
      </c>
      <c r="N211" t="s">
        <v>6162</v>
      </c>
    </row>
    <row r="212" spans="1:14">
      <c r="A212" t="s">
        <v>62</v>
      </c>
      <c r="B212" t="s">
        <v>766</v>
      </c>
      <c r="C212">
        <v>205</v>
      </c>
      <c r="D212">
        <v>274</v>
      </c>
      <c r="E212">
        <v>250</v>
      </c>
      <c r="F212" s="22">
        <f>大秘境!K20</f>
        <v>0.921752132659619</v>
      </c>
      <c r="G212" s="22">
        <f>大秘境!L20</f>
        <v>1.24026886843341</v>
      </c>
      <c r="H212" s="22">
        <v>0.336647493996607</v>
      </c>
      <c r="I212" s="22">
        <f>大秘境!X20</f>
        <v>0.336647493996607</v>
      </c>
      <c r="J212" s="22">
        <f t="shared" si="6"/>
        <v>1</v>
      </c>
      <c r="K212" s="22">
        <v>60.5627691442725</v>
      </c>
      <c r="L212" s="22">
        <f>大秘境!Y20</f>
        <v>60.5627691442726</v>
      </c>
      <c r="M212" s="22">
        <f t="shared" si="7"/>
        <v>1</v>
      </c>
      <c r="N212" t="s">
        <v>6162</v>
      </c>
    </row>
    <row r="213" spans="1:14">
      <c r="A213" t="s">
        <v>62</v>
      </c>
      <c r="B213" t="s">
        <v>768</v>
      </c>
      <c r="C213">
        <v>213</v>
      </c>
      <c r="D213">
        <v>278</v>
      </c>
      <c r="E213">
        <v>257</v>
      </c>
      <c r="F213" s="22">
        <f>大秘境!K21</f>
        <v>0.911918349262879</v>
      </c>
      <c r="G213" s="22">
        <f>大秘境!L21</f>
        <v>1.24174258364797</v>
      </c>
      <c r="H213" s="22">
        <v>0.346297292294486</v>
      </c>
      <c r="I213" s="22">
        <f>大秘境!X21</f>
        <v>0.346297292294486</v>
      </c>
      <c r="J213" s="22">
        <f t="shared" si="6"/>
        <v>1</v>
      </c>
      <c r="K213" s="22">
        <v>59.5185480817823</v>
      </c>
      <c r="L213" s="22">
        <f>大秘境!Y21</f>
        <v>59.5185480817825</v>
      </c>
      <c r="M213" s="22">
        <f t="shared" si="7"/>
        <v>1</v>
      </c>
      <c r="N213" t="s">
        <v>6162</v>
      </c>
    </row>
    <row r="214" spans="1:14">
      <c r="A214" t="s">
        <v>62</v>
      </c>
      <c r="B214" t="s">
        <v>770</v>
      </c>
      <c r="C214">
        <v>221</v>
      </c>
      <c r="D214">
        <v>281</v>
      </c>
      <c r="E214">
        <v>262</v>
      </c>
      <c r="F214" s="22">
        <f>大秘境!K22</f>
        <v>0.916961783923683</v>
      </c>
      <c r="G214" s="22">
        <f>大秘境!L22</f>
        <v>1.25417897101172</v>
      </c>
      <c r="H214" s="22">
        <v>0.352869303611149</v>
      </c>
      <c r="I214" s="22">
        <f>大秘境!X22</f>
        <v>0.352869303611149</v>
      </c>
      <c r="J214" s="22">
        <f t="shared" si="6"/>
        <v>0.999999999999999</v>
      </c>
      <c r="K214" s="22">
        <v>58.8508102256582</v>
      </c>
      <c r="L214" s="22">
        <f>大秘境!Y22</f>
        <v>58.8508102256583</v>
      </c>
      <c r="M214" s="22">
        <f t="shared" si="7"/>
        <v>1</v>
      </c>
      <c r="N214" t="s">
        <v>6162</v>
      </c>
    </row>
    <row r="215" spans="1:14">
      <c r="A215" t="s">
        <v>62</v>
      </c>
      <c r="B215" t="s">
        <v>772</v>
      </c>
      <c r="C215">
        <v>229</v>
      </c>
      <c r="D215">
        <v>284</v>
      </c>
      <c r="E215">
        <v>268</v>
      </c>
      <c r="F215" s="22">
        <f>大秘境!K23</f>
        <v>0.909825071533798</v>
      </c>
      <c r="G215" s="22">
        <f>大秘境!L23</f>
        <v>1.2564527283729</v>
      </c>
      <c r="H215" s="22">
        <v>0.360432416103152</v>
      </c>
      <c r="I215" s="22">
        <f>大秘境!X23</f>
        <v>0.360432416103153</v>
      </c>
      <c r="J215" s="22">
        <f t="shared" si="6"/>
        <v>1</v>
      </c>
      <c r="K215" s="22">
        <v>58.0914650819707</v>
      </c>
      <c r="L215" s="22">
        <f>大秘境!Y23</f>
        <v>58.0914650819709</v>
      </c>
      <c r="M215" s="22">
        <f t="shared" si="7"/>
        <v>1</v>
      </c>
      <c r="N215" t="s">
        <v>6162</v>
      </c>
    </row>
    <row r="216" spans="1:14">
      <c r="A216" t="s">
        <v>62</v>
      </c>
      <c r="B216" t="s">
        <v>774</v>
      </c>
      <c r="C216">
        <v>237</v>
      </c>
      <c r="D216">
        <v>287</v>
      </c>
      <c r="E216">
        <v>273</v>
      </c>
      <c r="F216" s="22">
        <f>大秘境!K24</f>
        <v>0.915593429943015</v>
      </c>
      <c r="G216" s="22">
        <f>大秘境!L24</f>
        <v>1.26924978638973</v>
      </c>
      <c r="H216" s="22">
        <v>0.368914640733448</v>
      </c>
      <c r="I216" s="22">
        <f>大秘境!X24</f>
        <v>0.368914640733448</v>
      </c>
      <c r="J216" s="22">
        <f t="shared" si="6"/>
        <v>0.999999999999999</v>
      </c>
      <c r="K216" s="22">
        <v>57.2604109690628</v>
      </c>
      <c r="L216" s="22">
        <f>大秘境!Y24</f>
        <v>57.2604109690626</v>
      </c>
      <c r="M216" s="22">
        <f t="shared" si="7"/>
        <v>0.999999999999997</v>
      </c>
      <c r="N216" t="s">
        <v>6162</v>
      </c>
    </row>
    <row r="217" spans="1:14">
      <c r="A217" t="s">
        <v>62</v>
      </c>
      <c r="B217" t="s">
        <v>776</v>
      </c>
      <c r="C217">
        <v>246</v>
      </c>
      <c r="D217">
        <v>289</v>
      </c>
      <c r="E217">
        <v>278</v>
      </c>
      <c r="F217" s="22">
        <f>大秘境!K25</f>
        <v>0.914079132756287</v>
      </c>
      <c r="G217" s="22">
        <f>大秘境!L25</f>
        <v>1.27558658621214</v>
      </c>
      <c r="H217" s="22">
        <v>0.373249044646773</v>
      </c>
      <c r="I217" s="22">
        <f>大秘境!X25</f>
        <v>0.373249044646773</v>
      </c>
      <c r="J217" s="22">
        <f t="shared" si="6"/>
        <v>1</v>
      </c>
      <c r="K217" s="22">
        <v>56.8696749916113</v>
      </c>
      <c r="L217" s="22">
        <f>大秘境!Y25</f>
        <v>56.8696749916115</v>
      </c>
      <c r="M217" s="22">
        <f t="shared" si="7"/>
        <v>1</v>
      </c>
      <c r="N217" t="s">
        <v>6162</v>
      </c>
    </row>
    <row r="218" spans="1:14">
      <c r="A218" t="s">
        <v>62</v>
      </c>
      <c r="B218" t="s">
        <v>778</v>
      </c>
      <c r="C218">
        <v>254</v>
      </c>
      <c r="D218">
        <v>292</v>
      </c>
      <c r="E218">
        <v>284</v>
      </c>
      <c r="F218" s="22">
        <f>大秘境!K26</f>
        <v>0.909103825215339</v>
      </c>
      <c r="G218" s="22">
        <f>大秘境!L26</f>
        <v>1.27916804703092</v>
      </c>
      <c r="H218" s="22">
        <v>0.383310525183807</v>
      </c>
      <c r="I218" s="22">
        <f>大秘境!X26</f>
        <v>0.383310525183807</v>
      </c>
      <c r="J218" s="22">
        <f t="shared" si="6"/>
        <v>1</v>
      </c>
      <c r="K218" s="22">
        <v>55.9246823581013</v>
      </c>
      <c r="L218" s="22">
        <f>大秘境!Y26</f>
        <v>55.9246823581013</v>
      </c>
      <c r="M218" s="22">
        <f t="shared" si="7"/>
        <v>1</v>
      </c>
      <c r="N218" t="s">
        <v>6162</v>
      </c>
    </row>
    <row r="219" spans="1:14">
      <c r="A219" t="s">
        <v>62</v>
      </c>
      <c r="B219" t="s">
        <v>780</v>
      </c>
      <c r="C219">
        <v>262</v>
      </c>
      <c r="D219">
        <v>296</v>
      </c>
      <c r="E219">
        <v>291</v>
      </c>
      <c r="F219" s="22">
        <f>大秘境!K27</f>
        <v>0.904626307456486</v>
      </c>
      <c r="G219" s="22">
        <f>大秘境!L27</f>
        <v>1.28379377873449</v>
      </c>
      <c r="H219" s="22">
        <v>0.398786283902732</v>
      </c>
      <c r="I219" s="22">
        <f>大秘境!X27</f>
        <v>0.398786283902732</v>
      </c>
      <c r="J219" s="22">
        <f t="shared" si="6"/>
        <v>0.999999999999999</v>
      </c>
      <c r="K219" s="22">
        <v>54.5290703482252</v>
      </c>
      <c r="L219" s="22">
        <f>大秘境!Y27</f>
        <v>54.5290703482252</v>
      </c>
      <c r="M219" s="22">
        <f t="shared" si="7"/>
        <v>1</v>
      </c>
      <c r="N219" t="s">
        <v>6162</v>
      </c>
    </row>
    <row r="220" spans="1:14">
      <c r="A220" t="s">
        <v>62</v>
      </c>
      <c r="B220" t="s">
        <v>782</v>
      </c>
      <c r="C220">
        <v>271</v>
      </c>
      <c r="D220">
        <v>299</v>
      </c>
      <c r="E220">
        <v>297</v>
      </c>
      <c r="F220" s="22">
        <f>大秘境!K28</f>
        <v>0.904349238860208</v>
      </c>
      <c r="G220" s="22">
        <f>大秘境!L28</f>
        <v>1.29150814643165</v>
      </c>
      <c r="H220" s="22">
        <v>0.410048650797003</v>
      </c>
      <c r="I220" s="22">
        <f>大秘境!X28</f>
        <v>0.410048650797003</v>
      </c>
      <c r="J220" s="22">
        <f t="shared" si="6"/>
        <v>1</v>
      </c>
      <c r="K220" s="22">
        <v>53.5771113590292</v>
      </c>
      <c r="L220" s="22">
        <f>大秘境!Y28</f>
        <v>53.5771113590293</v>
      </c>
      <c r="M220" s="22">
        <f t="shared" si="7"/>
        <v>1</v>
      </c>
      <c r="N220" t="s">
        <v>6162</v>
      </c>
    </row>
    <row r="221" spans="1:14">
      <c r="A221" t="s">
        <v>62</v>
      </c>
      <c r="B221" t="s">
        <v>784</v>
      </c>
      <c r="C221">
        <v>279</v>
      </c>
      <c r="D221">
        <v>301</v>
      </c>
      <c r="E221">
        <v>302</v>
      </c>
      <c r="F221" s="22">
        <f>大秘境!K29</f>
        <v>0.901352615473646</v>
      </c>
      <c r="G221" s="22">
        <f>大秘境!L29</f>
        <v>1.29532433930881</v>
      </c>
      <c r="H221" s="22">
        <v>0.417423526107889</v>
      </c>
      <c r="I221" s="22">
        <f>大秘境!X29</f>
        <v>0.417423526107889</v>
      </c>
      <c r="J221" s="22">
        <f t="shared" si="6"/>
        <v>0.999999999999999</v>
      </c>
      <c r="K221" s="22">
        <v>52.9822851511698</v>
      </c>
      <c r="L221" s="22">
        <f>大秘境!Y29</f>
        <v>52.98228515117</v>
      </c>
      <c r="M221" s="22">
        <f t="shared" si="7"/>
        <v>1</v>
      </c>
      <c r="N221" t="s">
        <v>6162</v>
      </c>
    </row>
    <row r="222" spans="1:14">
      <c r="A222" t="s">
        <v>59</v>
      </c>
      <c r="B222" t="s">
        <v>734</v>
      </c>
      <c r="C222">
        <v>24</v>
      </c>
      <c r="D222">
        <v>37</v>
      </c>
      <c r="E222">
        <f>爬塔!J5</f>
        <v>15</v>
      </c>
      <c r="F222" s="22">
        <f>爬塔!K5</f>
        <v>1.0411518791012</v>
      </c>
      <c r="G222" s="22">
        <f>爬塔!L5</f>
        <v>0.878799464729497</v>
      </c>
      <c r="H222" s="22">
        <v>5.5954829218417</v>
      </c>
      <c r="I222" s="22">
        <f>爬塔!X5</f>
        <v>1.9688363424757</v>
      </c>
      <c r="J222" s="22">
        <f t="shared" si="6"/>
        <v>0.351861737400795</v>
      </c>
      <c r="K222" s="22">
        <v>8.68099067253635</v>
      </c>
      <c r="L222" s="22">
        <f>爬塔!Y5</f>
        <v>19.1766045755164</v>
      </c>
      <c r="M222" s="22">
        <f t="shared" si="7"/>
        <v>2.2090341182124</v>
      </c>
      <c r="N222" t="s">
        <v>6162</v>
      </c>
    </row>
    <row r="223" spans="1:14">
      <c r="A223" t="s">
        <v>59</v>
      </c>
      <c r="B223" t="s">
        <v>737</v>
      </c>
      <c r="C223">
        <v>25</v>
      </c>
      <c r="D223">
        <v>44</v>
      </c>
      <c r="E223">
        <f>爬塔!J6</f>
        <v>18</v>
      </c>
      <c r="F223" s="22">
        <f>爬塔!K6</f>
        <v>1.06638891711125</v>
      </c>
      <c r="G223" s="22">
        <f>爬塔!L6</f>
        <v>0.881697307575066</v>
      </c>
      <c r="H223" s="22">
        <v>6.51765578967623</v>
      </c>
      <c r="I223" s="22">
        <f>爬塔!X6</f>
        <v>2.32817710092679</v>
      </c>
      <c r="J223" s="22">
        <f t="shared" si="6"/>
        <v>0.357210809539</v>
      </c>
      <c r="K223" s="22">
        <v>7.40897489021318</v>
      </c>
      <c r="L223" s="22">
        <f>爬塔!Y6</f>
        <v>15.9517058368719</v>
      </c>
      <c r="M223" s="22">
        <f t="shared" si="7"/>
        <v>2.15302468603898</v>
      </c>
      <c r="N223" t="s">
        <v>6162</v>
      </c>
    </row>
    <row r="224" spans="1:14">
      <c r="A224" t="s">
        <v>59</v>
      </c>
      <c r="B224" t="s">
        <v>739</v>
      </c>
      <c r="C224">
        <v>27</v>
      </c>
      <c r="D224">
        <v>51</v>
      </c>
      <c r="E224">
        <f>爬塔!J7</f>
        <v>22</v>
      </c>
      <c r="F224" s="22">
        <f>爬塔!K7</f>
        <v>1.05982724415721</v>
      </c>
      <c r="G224" s="22">
        <f>爬塔!L7</f>
        <v>0.865250034404842</v>
      </c>
      <c r="H224" s="22">
        <v>9.4142173213273</v>
      </c>
      <c r="I224" s="22">
        <f>爬塔!X7</f>
        <v>3.56288167643343</v>
      </c>
      <c r="J224" s="22">
        <f t="shared" si="6"/>
        <v>0.378457555718621</v>
      </c>
      <c r="K224" s="22">
        <v>8.28935632571941</v>
      </c>
      <c r="L224" s="22">
        <f>爬塔!Y7</f>
        <v>16.70090255368</v>
      </c>
      <c r="M224" s="22">
        <f t="shared" si="7"/>
        <v>2.01474057784946</v>
      </c>
      <c r="N224" t="s">
        <v>6162</v>
      </c>
    </row>
    <row r="225" spans="1:14">
      <c r="A225" t="s">
        <v>59</v>
      </c>
      <c r="B225" t="s">
        <v>741</v>
      </c>
      <c r="C225">
        <v>29</v>
      </c>
      <c r="D225">
        <v>59</v>
      </c>
      <c r="E225">
        <f>爬塔!J8</f>
        <v>25</v>
      </c>
      <c r="F225" s="22">
        <f>爬塔!K8</f>
        <v>1.09014995868719</v>
      </c>
      <c r="G225" s="22">
        <f>爬塔!L8</f>
        <v>0.86749593133069</v>
      </c>
      <c r="H225" s="22">
        <v>7.59459437601721</v>
      </c>
      <c r="I225" s="22">
        <f>爬塔!X8</f>
        <v>2.90760197263718</v>
      </c>
      <c r="J225" s="22">
        <f t="shared" si="6"/>
        <v>0.38285151631258</v>
      </c>
      <c r="K225" s="22">
        <v>6.82497214162308</v>
      </c>
      <c r="L225" s="22">
        <f>爬塔!Y8</f>
        <v>13.6795103788623</v>
      </c>
      <c r="M225" s="22">
        <f t="shared" si="7"/>
        <v>2.00433204634432</v>
      </c>
      <c r="N225" t="s">
        <v>6162</v>
      </c>
    </row>
    <row r="226" spans="1:14">
      <c r="A226" t="s">
        <v>59</v>
      </c>
      <c r="B226" t="s">
        <v>743</v>
      </c>
      <c r="C226">
        <v>30</v>
      </c>
      <c r="D226">
        <v>65</v>
      </c>
      <c r="E226">
        <f>爬塔!J9</f>
        <v>28</v>
      </c>
      <c r="F226" s="22">
        <f>爬塔!K9</f>
        <v>1.07151884075861</v>
      </c>
      <c r="G226" s="22">
        <f>爬塔!L9</f>
        <v>0.847413576127544</v>
      </c>
      <c r="H226" s="22">
        <v>10.5939515485235</v>
      </c>
      <c r="I226" s="22">
        <f>爬塔!X9</f>
        <v>3.96947575087336</v>
      </c>
      <c r="J226" s="22">
        <f t="shared" si="6"/>
        <v>0.374692647280097</v>
      </c>
      <c r="K226" s="22">
        <v>7.05902187643787</v>
      </c>
      <c r="L226" s="22">
        <f>爬塔!Y9</f>
        <v>14.1152895841761</v>
      </c>
      <c r="M226" s="22">
        <f t="shared" si="7"/>
        <v>1.99960983706413</v>
      </c>
      <c r="N226" t="s">
        <v>6162</v>
      </c>
    </row>
    <row r="227" spans="1:14">
      <c r="A227" t="s">
        <v>59</v>
      </c>
      <c r="B227" t="s">
        <v>746</v>
      </c>
      <c r="C227">
        <v>32</v>
      </c>
      <c r="D227">
        <v>73</v>
      </c>
      <c r="E227">
        <f>爬塔!J10</f>
        <v>32</v>
      </c>
      <c r="F227" s="22">
        <f>爬塔!K10</f>
        <v>1.09281017575294</v>
      </c>
      <c r="G227" s="22">
        <f>爬塔!L10</f>
        <v>0.835587298989708</v>
      </c>
      <c r="H227" s="22">
        <v>9.76354475435241</v>
      </c>
      <c r="I227" s="22">
        <f>爬塔!X10</f>
        <v>4.0798595069624</v>
      </c>
      <c r="J227" s="22">
        <f t="shared" si="6"/>
        <v>0.417866626272561</v>
      </c>
      <c r="K227" s="22">
        <v>6.75350278185777</v>
      </c>
      <c r="L227" s="22">
        <f>爬塔!Y10</f>
        <v>12.4645068643018</v>
      </c>
      <c r="M227" s="22">
        <f t="shared" si="7"/>
        <v>1.8456358525217</v>
      </c>
      <c r="N227" t="s">
        <v>6162</v>
      </c>
    </row>
    <row r="228" spans="1:14">
      <c r="A228" t="s">
        <v>59</v>
      </c>
      <c r="B228" t="s">
        <v>748</v>
      </c>
      <c r="C228">
        <v>34</v>
      </c>
      <c r="D228">
        <v>79</v>
      </c>
      <c r="E228">
        <f>爬塔!J11</f>
        <v>35</v>
      </c>
      <c r="F228" s="22">
        <f>爬塔!K11</f>
        <v>1.10367102588911</v>
      </c>
      <c r="G228" s="22">
        <f>爬塔!L11</f>
        <v>0.821989230732882</v>
      </c>
      <c r="H228" s="22">
        <v>9.97885189230982</v>
      </c>
      <c r="I228" s="22">
        <f>爬塔!X11</f>
        <v>4.48832334119516</v>
      </c>
      <c r="J228" s="22">
        <f t="shared" si="6"/>
        <v>0.449783541196165</v>
      </c>
      <c r="K228" s="22">
        <v>7.39200577586841</v>
      </c>
      <c r="L228" s="22">
        <f>爬塔!Y11</f>
        <v>12.8710443623019</v>
      </c>
      <c r="M228" s="22">
        <f t="shared" si="7"/>
        <v>1.74121135082444</v>
      </c>
      <c r="N228" t="s">
        <v>6162</v>
      </c>
    </row>
    <row r="229" spans="1:14">
      <c r="A229" t="s">
        <v>59</v>
      </c>
      <c r="B229" t="s">
        <v>750</v>
      </c>
      <c r="C229">
        <v>36</v>
      </c>
      <c r="D229">
        <v>86</v>
      </c>
      <c r="E229">
        <f>爬塔!J12</f>
        <v>38</v>
      </c>
      <c r="F229" s="22">
        <f>爬塔!K12</f>
        <v>1.08637314746255</v>
      </c>
      <c r="G229" s="22">
        <f>爬塔!L12</f>
        <v>0.793670586729554</v>
      </c>
      <c r="H229" s="22">
        <v>11.0521193878309</v>
      </c>
      <c r="I229" s="22">
        <f>爬塔!X12</f>
        <v>4.98025069430285</v>
      </c>
      <c r="J229" s="22">
        <f t="shared" si="6"/>
        <v>0.450614992431807</v>
      </c>
      <c r="K229" s="22">
        <v>8.23368523776676</v>
      </c>
      <c r="L229" s="22">
        <f>爬塔!Y12</f>
        <v>14.208895296683</v>
      </c>
      <c r="M229" s="22">
        <f t="shared" si="7"/>
        <v>1.72570299766972</v>
      </c>
      <c r="N229" t="s">
        <v>6162</v>
      </c>
    </row>
    <row r="230" spans="1:14">
      <c r="A230" t="s">
        <v>59</v>
      </c>
      <c r="B230" t="s">
        <v>752</v>
      </c>
      <c r="C230">
        <v>38</v>
      </c>
      <c r="D230">
        <v>93</v>
      </c>
      <c r="E230">
        <f>爬塔!J13</f>
        <v>42</v>
      </c>
      <c r="F230" s="22">
        <f>爬塔!K13</f>
        <v>1.10754711497976</v>
      </c>
      <c r="G230" s="22">
        <f>爬塔!L13</f>
        <v>0.787948377143275</v>
      </c>
      <c r="H230" s="22">
        <v>10.2061983474411</v>
      </c>
      <c r="I230" s="22">
        <f>爬塔!X13</f>
        <v>4.97407376976466</v>
      </c>
      <c r="J230" s="22">
        <f t="shared" si="6"/>
        <v>0.48735813281659</v>
      </c>
      <c r="K230" s="22">
        <v>7.81344934902795</v>
      </c>
      <c r="L230" s="22">
        <f>爬塔!Y13</f>
        <v>12.7504476176696</v>
      </c>
      <c r="M230" s="22">
        <f t="shared" si="7"/>
        <v>1.63185899698138</v>
      </c>
      <c r="N230" t="s">
        <v>6162</v>
      </c>
    </row>
    <row r="231" spans="1:14">
      <c r="A231" t="s">
        <v>59</v>
      </c>
      <c r="B231" t="s">
        <v>754</v>
      </c>
      <c r="C231">
        <v>40</v>
      </c>
      <c r="D231">
        <v>100</v>
      </c>
      <c r="E231">
        <f>爬塔!J14</f>
        <v>45</v>
      </c>
      <c r="F231" s="22">
        <f>爬塔!K14</f>
        <v>1.13192683584797</v>
      </c>
      <c r="G231" s="22">
        <f>爬塔!L14</f>
        <v>0.785011875798147</v>
      </c>
      <c r="H231" s="22">
        <v>9.31388391144785</v>
      </c>
      <c r="I231" s="22">
        <f>爬塔!X14</f>
        <v>4.69587446465486</v>
      </c>
      <c r="J231" s="22">
        <f t="shared" si="6"/>
        <v>0.504180050911208</v>
      </c>
      <c r="K231" s="22">
        <v>7.68835778264004</v>
      </c>
      <c r="L231" s="22">
        <f>爬塔!Y14</f>
        <v>12.2727557174948</v>
      </c>
      <c r="M231" s="22">
        <f t="shared" si="7"/>
        <v>1.59627791323735</v>
      </c>
      <c r="N231" t="s">
        <v>6162</v>
      </c>
    </row>
    <row r="232" spans="1:14">
      <c r="A232" t="s">
        <v>59</v>
      </c>
      <c r="B232" t="s">
        <v>756</v>
      </c>
      <c r="C232">
        <v>42</v>
      </c>
      <c r="D232">
        <v>106</v>
      </c>
      <c r="E232">
        <f>爬塔!J15</f>
        <v>49</v>
      </c>
      <c r="F232" s="22">
        <f>爬塔!K15</f>
        <v>1.13026956740706</v>
      </c>
      <c r="G232" s="22">
        <f>爬塔!L15</f>
        <v>0.773622223301039</v>
      </c>
      <c r="H232" s="22">
        <v>9.32986902024131</v>
      </c>
      <c r="I232" s="22">
        <f>爬塔!X15</f>
        <v>4.86113190290091</v>
      </c>
      <c r="J232" s="22">
        <f t="shared" si="6"/>
        <v>0.521028954678207</v>
      </c>
      <c r="K232" s="22">
        <v>7.90856745510231</v>
      </c>
      <c r="L232" s="22">
        <f>爬塔!Y15</f>
        <v>12.2951752628974</v>
      </c>
      <c r="M232" s="22">
        <f t="shared" si="7"/>
        <v>1.55466528327643</v>
      </c>
      <c r="N232" t="s">
        <v>6162</v>
      </c>
    </row>
    <row r="233" spans="1:14">
      <c r="A233" t="s">
        <v>59</v>
      </c>
      <c r="B233" t="s">
        <v>758</v>
      </c>
      <c r="C233">
        <v>44</v>
      </c>
      <c r="D233">
        <v>113</v>
      </c>
      <c r="E233">
        <f>爬塔!J16</f>
        <v>52</v>
      </c>
      <c r="F233" s="22">
        <f>爬塔!K16</f>
        <v>1.13196374709648</v>
      </c>
      <c r="G233" s="22">
        <f>爬塔!L16</f>
        <v>0.761718454731972</v>
      </c>
      <c r="H233" s="22">
        <v>10.7465246829535</v>
      </c>
      <c r="I233" s="22">
        <f>爬塔!X16</f>
        <v>5.39211902126269</v>
      </c>
      <c r="J233" s="22">
        <f t="shared" si="6"/>
        <v>0.501754677008824</v>
      </c>
      <c r="K233" s="22">
        <v>8.29949596766359</v>
      </c>
      <c r="L233" s="22">
        <f>爬塔!Y16</f>
        <v>13.1275964623987</v>
      </c>
      <c r="M233" s="22">
        <f t="shared" si="7"/>
        <v>1.5817341816354</v>
      </c>
      <c r="N233" t="s">
        <v>6162</v>
      </c>
    </row>
    <row r="234" spans="1:14">
      <c r="A234" t="s">
        <v>59</v>
      </c>
      <c r="B234" t="s">
        <v>760</v>
      </c>
      <c r="C234">
        <v>47</v>
      </c>
      <c r="D234">
        <v>120</v>
      </c>
      <c r="E234">
        <f>爬塔!J17</f>
        <v>56</v>
      </c>
      <c r="F234" s="22">
        <f>爬塔!K17</f>
        <v>1.12378784957974</v>
      </c>
      <c r="G234" s="22">
        <f>爬塔!L17</f>
        <v>0.751671001397309</v>
      </c>
      <c r="H234" s="22">
        <v>8.83333579120045</v>
      </c>
      <c r="I234" s="22">
        <f>爬塔!X17</f>
        <v>4.48407366674978</v>
      </c>
      <c r="J234" s="22">
        <f t="shared" si="6"/>
        <v>0.507630839893657</v>
      </c>
      <c r="K234" s="22">
        <v>8.1290353899744</v>
      </c>
      <c r="L234" s="22">
        <f>爬塔!Y17</f>
        <v>12.7829980967395</v>
      </c>
      <c r="M234" s="22">
        <f t="shared" si="7"/>
        <v>1.57251106478203</v>
      </c>
      <c r="N234" t="s">
        <v>6162</v>
      </c>
    </row>
    <row r="235" spans="1:14">
      <c r="A235" t="s">
        <v>59</v>
      </c>
      <c r="B235" t="s">
        <v>762</v>
      </c>
      <c r="C235">
        <v>49</v>
      </c>
      <c r="D235">
        <v>126</v>
      </c>
      <c r="E235">
        <f>爬塔!J18</f>
        <v>59</v>
      </c>
      <c r="F235" s="22">
        <f>爬塔!K18</f>
        <v>1.12010583074231</v>
      </c>
      <c r="G235" s="22">
        <f>爬塔!L18</f>
        <v>0.738990752928763</v>
      </c>
      <c r="H235" s="22">
        <v>11.2881652571781</v>
      </c>
      <c r="I235" s="22">
        <f>爬塔!X18</f>
        <v>5.49343234525698</v>
      </c>
      <c r="J235" s="22">
        <f t="shared" si="6"/>
        <v>0.48665413910057</v>
      </c>
      <c r="K235" s="22">
        <v>9.19623173702079</v>
      </c>
      <c r="L235" s="22">
        <f>爬塔!Y18</f>
        <v>14.6975756841944</v>
      </c>
      <c r="M235" s="22">
        <f t="shared" si="7"/>
        <v>1.5982171942261</v>
      </c>
      <c r="N235" t="s">
        <v>6162</v>
      </c>
    </row>
    <row r="236" spans="1:14">
      <c r="A236" t="s">
        <v>59</v>
      </c>
      <c r="B236" t="s">
        <v>764</v>
      </c>
      <c r="C236">
        <v>51</v>
      </c>
      <c r="D236">
        <v>133</v>
      </c>
      <c r="E236">
        <f>爬塔!J19</f>
        <v>63</v>
      </c>
      <c r="F236" s="22">
        <f>爬塔!K19</f>
        <v>1.13181912616307</v>
      </c>
      <c r="G236" s="22">
        <f>爬塔!L19</f>
        <v>0.737244833037194</v>
      </c>
      <c r="H236" s="22">
        <v>11.1656721049002</v>
      </c>
      <c r="I236" s="22">
        <f>爬塔!X19</f>
        <v>5.45094045359714</v>
      </c>
      <c r="J236" s="22">
        <f t="shared" si="6"/>
        <v>0.488187401742249</v>
      </c>
      <c r="K236" s="22">
        <v>8.86275654768563</v>
      </c>
      <c r="L236" s="22">
        <f>爬塔!Y19</f>
        <v>14.1013901372043</v>
      </c>
      <c r="M236" s="22">
        <f t="shared" si="7"/>
        <v>1.59108399980665</v>
      </c>
      <c r="N236" t="s">
        <v>6162</v>
      </c>
    </row>
    <row r="237" spans="1:14">
      <c r="A237" t="s">
        <v>59</v>
      </c>
      <c r="B237" t="s">
        <v>766</v>
      </c>
      <c r="C237">
        <v>53</v>
      </c>
      <c r="D237">
        <v>141</v>
      </c>
      <c r="E237">
        <f>爬塔!J20</f>
        <v>66</v>
      </c>
      <c r="F237" s="22">
        <f>爬塔!K20</f>
        <v>1.14581687396119</v>
      </c>
      <c r="G237" s="22">
        <f>爬塔!L20</f>
        <v>0.734314126639064</v>
      </c>
      <c r="H237" s="22">
        <v>12.5594335542377</v>
      </c>
      <c r="I237" s="22">
        <f>爬塔!X20</f>
        <v>5.79762215773365</v>
      </c>
      <c r="J237" s="22">
        <f t="shared" si="6"/>
        <v>0.461614939296165</v>
      </c>
      <c r="K237" s="22">
        <v>8.7635929939772</v>
      </c>
      <c r="L237" s="22">
        <f>爬塔!Y20</f>
        <v>14.3625437970641</v>
      </c>
      <c r="M237" s="22">
        <f t="shared" si="7"/>
        <v>1.63888758947783</v>
      </c>
      <c r="N237" t="s">
        <v>6162</v>
      </c>
    </row>
    <row r="238" spans="1:14">
      <c r="A238" t="s">
        <v>59</v>
      </c>
      <c r="B238" t="s">
        <v>768</v>
      </c>
      <c r="C238">
        <v>55</v>
      </c>
      <c r="D238">
        <v>148</v>
      </c>
      <c r="E238">
        <f>爬塔!J21</f>
        <v>70</v>
      </c>
      <c r="F238" s="22">
        <f>爬塔!K21</f>
        <v>1.13362833785909</v>
      </c>
      <c r="G238" s="22">
        <f>爬塔!L21</f>
        <v>0.723026843108719</v>
      </c>
      <c r="H238" s="22">
        <v>13.1176798708932</v>
      </c>
      <c r="I238" s="22">
        <f>爬塔!X21</f>
        <v>5.92498147331118</v>
      </c>
      <c r="J238" s="22">
        <f t="shared" si="6"/>
        <v>0.451679072185479</v>
      </c>
      <c r="K238" s="22">
        <v>8.74053028706996</v>
      </c>
      <c r="L238" s="22">
        <f>爬塔!Y21</f>
        <v>14.459310810805</v>
      </c>
      <c r="M238" s="22">
        <f t="shared" si="7"/>
        <v>1.65428301669465</v>
      </c>
      <c r="N238" t="s">
        <v>6162</v>
      </c>
    </row>
    <row r="239" spans="1:14">
      <c r="A239" t="s">
        <v>59</v>
      </c>
      <c r="B239" t="s">
        <v>770</v>
      </c>
      <c r="C239">
        <v>58</v>
      </c>
      <c r="D239">
        <v>155</v>
      </c>
      <c r="E239">
        <f>爬塔!J22</f>
        <v>73</v>
      </c>
      <c r="F239" s="22">
        <f>爬塔!K22</f>
        <v>1.15036806139993</v>
      </c>
      <c r="G239" s="22">
        <f>爬塔!L22</f>
        <v>0.724312412508434</v>
      </c>
      <c r="H239" s="22">
        <v>11.7061535720668</v>
      </c>
      <c r="I239" s="22">
        <f>爬塔!X22</f>
        <v>5.30523278272904</v>
      </c>
      <c r="J239" s="22">
        <f t="shared" si="6"/>
        <v>0.453200340322578</v>
      </c>
      <c r="K239" s="22">
        <v>8.96278647704307</v>
      </c>
      <c r="L239" s="22">
        <f>爬塔!Y22</f>
        <v>14.8292050184225</v>
      </c>
      <c r="M239" s="22">
        <f t="shared" si="7"/>
        <v>1.65453065923253</v>
      </c>
      <c r="N239" t="s">
        <v>6162</v>
      </c>
    </row>
    <row r="240" spans="1:14">
      <c r="A240" t="s">
        <v>59</v>
      </c>
      <c r="B240" t="s">
        <v>772</v>
      </c>
      <c r="C240">
        <v>60</v>
      </c>
      <c r="D240">
        <v>162</v>
      </c>
      <c r="E240">
        <f>爬塔!J23</f>
        <v>77</v>
      </c>
      <c r="F240" s="22">
        <f>爬塔!K23</f>
        <v>1.13782153739877</v>
      </c>
      <c r="G240" s="22">
        <f>爬塔!L23</f>
        <v>0.711203466451227</v>
      </c>
      <c r="H240" s="22">
        <v>13.7833581001967</v>
      </c>
      <c r="I240" s="22">
        <f>爬塔!X23</f>
        <v>6.0703812065566</v>
      </c>
      <c r="J240" s="22">
        <f t="shared" si="6"/>
        <v>0.44041380644895</v>
      </c>
      <c r="K240" s="22">
        <v>9.23570969248688</v>
      </c>
      <c r="L240" s="22">
        <f>爬塔!Y23</f>
        <v>15.4276647358998</v>
      </c>
      <c r="M240" s="22">
        <f t="shared" si="7"/>
        <v>1.67043630100782</v>
      </c>
      <c r="N240" t="s">
        <v>6162</v>
      </c>
    </row>
    <row r="241" spans="1:14">
      <c r="A241" t="s">
        <v>59</v>
      </c>
      <c r="B241" t="s">
        <v>774</v>
      </c>
      <c r="C241">
        <v>62</v>
      </c>
      <c r="D241">
        <v>169</v>
      </c>
      <c r="E241">
        <f>爬塔!J24</f>
        <v>80</v>
      </c>
      <c r="F241" s="22">
        <f>爬塔!K24</f>
        <v>1.14019537889564</v>
      </c>
      <c r="G241" s="22">
        <f>爬塔!L24</f>
        <v>0.709306542104563</v>
      </c>
      <c r="H241" s="22">
        <v>12.1046688879446</v>
      </c>
      <c r="I241" s="22">
        <f>爬塔!X24</f>
        <v>5.25438456730994</v>
      </c>
      <c r="J241" s="22">
        <f t="shared" si="6"/>
        <v>0.434079165316363</v>
      </c>
      <c r="K241" s="22">
        <v>8.49957235486862</v>
      </c>
      <c r="L241" s="22">
        <f>爬塔!Y24</f>
        <v>14.3854811306265</v>
      </c>
      <c r="M241" s="22">
        <f t="shared" si="7"/>
        <v>1.69249469620508</v>
      </c>
      <c r="N241" t="s">
        <v>6162</v>
      </c>
    </row>
    <row r="242" spans="1:14">
      <c r="A242" t="s">
        <v>59</v>
      </c>
      <c r="B242" t="s">
        <v>776</v>
      </c>
      <c r="C242">
        <v>65</v>
      </c>
      <c r="D242">
        <v>176</v>
      </c>
      <c r="E242">
        <f>爬塔!J25</f>
        <v>84</v>
      </c>
      <c r="F242" s="22">
        <f>爬塔!K25</f>
        <v>1.15603728878297</v>
      </c>
      <c r="G242" s="22">
        <f>爬塔!L25</f>
        <v>0.706296922729767</v>
      </c>
      <c r="H242" s="22">
        <v>14.679419520164</v>
      </c>
      <c r="I242" s="22">
        <f>爬塔!X25</f>
        <v>6.28764697795124</v>
      </c>
      <c r="J242" s="22">
        <f t="shared" si="6"/>
        <v>0.428330763986572</v>
      </c>
      <c r="K242" s="22">
        <v>9.05445161127348</v>
      </c>
      <c r="L242" s="22">
        <f>爬塔!Y25</f>
        <v>15.273377426316</v>
      </c>
      <c r="M242" s="22">
        <f t="shared" si="7"/>
        <v>1.68683627479985</v>
      </c>
      <c r="N242" t="s">
        <v>6162</v>
      </c>
    </row>
    <row r="243" spans="1:14">
      <c r="A243" t="s">
        <v>59</v>
      </c>
      <c r="B243" t="s">
        <v>778</v>
      </c>
      <c r="C243">
        <v>67</v>
      </c>
      <c r="D243">
        <v>182</v>
      </c>
      <c r="E243">
        <f>爬塔!J26</f>
        <v>88</v>
      </c>
      <c r="F243" s="22">
        <f>爬塔!K26</f>
        <v>1.1643979107152</v>
      </c>
      <c r="G243" s="22">
        <f>爬塔!L26</f>
        <v>0.704486371215438</v>
      </c>
      <c r="H243" s="22">
        <v>14.1292340240251</v>
      </c>
      <c r="I243" s="22">
        <f>爬塔!X26</f>
        <v>6.18458698447759</v>
      </c>
      <c r="J243" s="22">
        <f t="shared" si="6"/>
        <v>0.437715659175963</v>
      </c>
      <c r="K243" s="22">
        <v>8.90756498055476</v>
      </c>
      <c r="L243" s="22">
        <f>爬塔!Y26</f>
        <v>14.8099622240915</v>
      </c>
      <c r="M243" s="22">
        <f t="shared" si="7"/>
        <v>1.66262746961956</v>
      </c>
      <c r="N243" t="s">
        <v>6162</v>
      </c>
    </row>
    <row r="244" spans="1:14">
      <c r="A244" t="s">
        <v>59</v>
      </c>
      <c r="B244" t="s">
        <v>780</v>
      </c>
      <c r="C244">
        <v>69</v>
      </c>
      <c r="D244">
        <v>186</v>
      </c>
      <c r="E244">
        <f>爬塔!J27</f>
        <v>92</v>
      </c>
      <c r="F244" s="22">
        <f>爬塔!K27</f>
        <v>1.14558616402225</v>
      </c>
      <c r="G244" s="22">
        <f>爬塔!L27</f>
        <v>0.693272974166658</v>
      </c>
      <c r="H244" s="22">
        <v>15.5197232813022</v>
      </c>
      <c r="I244" s="22">
        <f>爬塔!X27</f>
        <v>6.8768954720735</v>
      </c>
      <c r="J244" s="22">
        <f t="shared" si="6"/>
        <v>0.443106835568301</v>
      </c>
      <c r="K244" s="22">
        <v>9.9115756474108</v>
      </c>
      <c r="L244" s="22">
        <f>爬塔!Y27</f>
        <v>16.2592206901923</v>
      </c>
      <c r="M244" s="22">
        <f t="shared" si="7"/>
        <v>1.64042744247629</v>
      </c>
      <c r="N244" t="s">
        <v>6162</v>
      </c>
    </row>
    <row r="245" spans="1:14">
      <c r="A245" t="s">
        <v>59</v>
      </c>
      <c r="B245" t="s">
        <v>782</v>
      </c>
      <c r="C245">
        <v>72</v>
      </c>
      <c r="D245">
        <v>193</v>
      </c>
      <c r="E245">
        <f>爬塔!J28</f>
        <v>96</v>
      </c>
      <c r="F245" s="22">
        <f>爬塔!K28</f>
        <v>1.16272779973454</v>
      </c>
      <c r="G245" s="22">
        <f>爬塔!L28</f>
        <v>0.692791463529269</v>
      </c>
      <c r="H245" s="22">
        <v>15.4856026575642</v>
      </c>
      <c r="I245" s="22">
        <f>爬塔!X28</f>
        <v>6.98491867712292</v>
      </c>
      <c r="J245" s="22">
        <f t="shared" si="6"/>
        <v>0.451058885571432</v>
      </c>
      <c r="K245" s="22">
        <v>10.6644685348191</v>
      </c>
      <c r="L245" s="22">
        <f>爬塔!Y28</f>
        <v>17.2747632388546</v>
      </c>
      <c r="M245" s="22">
        <f t="shared" si="7"/>
        <v>1.61984286253489</v>
      </c>
      <c r="N245" t="s">
        <v>6162</v>
      </c>
    </row>
    <row r="246" spans="1:14">
      <c r="A246" t="s">
        <v>59</v>
      </c>
      <c r="B246" t="s">
        <v>784</v>
      </c>
      <c r="C246">
        <v>74</v>
      </c>
      <c r="D246">
        <v>198</v>
      </c>
      <c r="E246">
        <f>爬塔!J29</f>
        <v>100</v>
      </c>
      <c r="F246" s="22">
        <f>爬塔!K29</f>
        <v>1.14969429601044</v>
      </c>
      <c r="G246" s="22">
        <f>爬塔!L29</f>
        <v>0.68423679516723</v>
      </c>
      <c r="H246" s="22">
        <v>14.8636984558486</v>
      </c>
      <c r="I246" s="22">
        <f>爬塔!X29</f>
        <v>6.82571301311966</v>
      </c>
      <c r="J246" s="22">
        <f t="shared" si="6"/>
        <v>0.459220363854587</v>
      </c>
      <c r="K246" s="22">
        <v>10.4209641377275</v>
      </c>
      <c r="L246" s="22">
        <f>爬塔!Y29</f>
        <v>16.686459011745</v>
      </c>
      <c r="M246" s="22">
        <f t="shared" si="7"/>
        <v>1.60123946222348</v>
      </c>
      <c r="N246" t="s">
        <v>6162</v>
      </c>
    </row>
    <row r="247" spans="1:14">
      <c r="A247" t="s">
        <v>59</v>
      </c>
      <c r="B247" t="s">
        <v>786</v>
      </c>
      <c r="C247">
        <v>76</v>
      </c>
      <c r="D247">
        <v>201</v>
      </c>
      <c r="E247">
        <f>爬塔!J30</f>
        <v>104</v>
      </c>
      <c r="F247" s="22">
        <f>爬塔!K30</f>
        <v>1.16724116660848</v>
      </c>
      <c r="G247" s="22">
        <f>爬塔!L30</f>
        <v>0.689417739041316</v>
      </c>
      <c r="H247" s="22">
        <v>13.0474570319583</v>
      </c>
      <c r="I247" s="22">
        <f>爬塔!X30</f>
        <v>6.46244861037349</v>
      </c>
      <c r="J247" s="22">
        <f t="shared" si="6"/>
        <v>0.495303306578779</v>
      </c>
      <c r="K247" s="22">
        <v>9.96210913687108</v>
      </c>
      <c r="L247" s="22">
        <f>爬塔!Y30</f>
        <v>15.2681830664756</v>
      </c>
      <c r="M247" s="22">
        <f t="shared" si="7"/>
        <v>1.53262555716902</v>
      </c>
      <c r="N247" t="s">
        <v>6162</v>
      </c>
    </row>
    <row r="248" spans="1:14">
      <c r="A248" t="s">
        <v>59</v>
      </c>
      <c r="B248" t="s">
        <v>788</v>
      </c>
      <c r="C248">
        <v>79</v>
      </c>
      <c r="D248">
        <v>207</v>
      </c>
      <c r="E248">
        <f>爬塔!J31</f>
        <v>108</v>
      </c>
      <c r="F248" s="22">
        <f>爬塔!K31</f>
        <v>1.16303148484125</v>
      </c>
      <c r="G248" s="22">
        <f>爬塔!L31</f>
        <v>0.681464488943416</v>
      </c>
      <c r="H248" s="22">
        <v>15.5854272437086</v>
      </c>
      <c r="I248" s="22">
        <f>爬塔!X31</f>
        <v>7.61062285422892</v>
      </c>
      <c r="J248" s="22">
        <f t="shared" si="6"/>
        <v>0.488316600836279</v>
      </c>
      <c r="K248" s="22">
        <v>11.0192988279702</v>
      </c>
      <c r="L248" s="22">
        <f>爬塔!Y31</f>
        <v>16.9098351075849</v>
      </c>
      <c r="M248" s="22">
        <f t="shared" si="7"/>
        <v>1.53456543574831</v>
      </c>
      <c r="N248" t="s">
        <v>6162</v>
      </c>
    </row>
    <row r="249" spans="1:14">
      <c r="A249" t="s">
        <v>59</v>
      </c>
      <c r="B249" t="s">
        <v>790</v>
      </c>
      <c r="C249">
        <v>81</v>
      </c>
      <c r="D249">
        <v>211</v>
      </c>
      <c r="E249">
        <f>爬塔!J32</f>
        <v>112</v>
      </c>
      <c r="F249" s="22">
        <f>爬塔!K32</f>
        <v>1.16640085694238</v>
      </c>
      <c r="G249" s="22">
        <f>爬塔!L32</f>
        <v>0.680501860332393</v>
      </c>
      <c r="H249" s="22">
        <v>15.7806103772959</v>
      </c>
      <c r="I249" s="22">
        <f>爬塔!X32</f>
        <v>7.93770121473032</v>
      </c>
      <c r="J249" s="22">
        <f t="shared" si="6"/>
        <v>0.503003434274669</v>
      </c>
      <c r="K249" s="22">
        <v>10.7684462426168</v>
      </c>
      <c r="L249" s="22">
        <f>爬塔!Y32</f>
        <v>16.2001513585716</v>
      </c>
      <c r="M249" s="22">
        <f t="shared" si="7"/>
        <v>1.5044093635773</v>
      </c>
      <c r="N249" t="s">
        <v>6162</v>
      </c>
    </row>
    <row r="250" spans="1:14">
      <c r="A250" t="s">
        <v>59</v>
      </c>
      <c r="B250" t="s">
        <v>792</v>
      </c>
      <c r="C250">
        <v>84</v>
      </c>
      <c r="D250">
        <v>216</v>
      </c>
      <c r="E250">
        <f>爬塔!J33</f>
        <v>116</v>
      </c>
      <c r="F250" s="22">
        <f>爬塔!K33</f>
        <v>1.16284078604177</v>
      </c>
      <c r="G250" s="22">
        <f>爬塔!L33</f>
        <v>0.679448918464657</v>
      </c>
      <c r="H250" s="22">
        <v>14.0236540905299</v>
      </c>
      <c r="I250" s="22">
        <f>爬塔!X33</f>
        <v>7.17537105969881</v>
      </c>
      <c r="J250" s="22">
        <f t="shared" si="6"/>
        <v>0.511662011439964</v>
      </c>
      <c r="K250" s="22">
        <v>10.6544507656704</v>
      </c>
      <c r="L250" s="22">
        <f>爬塔!Y33</f>
        <v>15.8938869681519</v>
      </c>
      <c r="M250" s="22">
        <f t="shared" si="7"/>
        <v>1.49176032793388</v>
      </c>
      <c r="N250" t="s">
        <v>6162</v>
      </c>
    </row>
    <row r="251" spans="1:14">
      <c r="A251" t="s">
        <v>59</v>
      </c>
      <c r="B251" t="s">
        <v>794</v>
      </c>
      <c r="C251">
        <v>86</v>
      </c>
      <c r="D251">
        <v>220</v>
      </c>
      <c r="E251">
        <f>爬塔!J34</f>
        <v>120</v>
      </c>
      <c r="F251" s="22">
        <f>爬塔!K34</f>
        <v>1.15790204370874</v>
      </c>
      <c r="G251" s="22">
        <f>爬塔!L34</f>
        <v>0.675485081391402</v>
      </c>
      <c r="H251" s="22">
        <v>14.0528972023892</v>
      </c>
      <c r="I251" s="22">
        <f>爬塔!X34</f>
        <v>7.40766118768522</v>
      </c>
      <c r="J251" s="22">
        <f t="shared" si="6"/>
        <v>0.527126974672939</v>
      </c>
      <c r="K251" s="22">
        <v>11.1551717874543</v>
      </c>
      <c r="L251" s="22">
        <f>爬塔!Y34</f>
        <v>16.3391484734676</v>
      </c>
      <c r="M251" s="22">
        <f t="shared" si="7"/>
        <v>1.46471509222686</v>
      </c>
      <c r="N251" t="s">
        <v>6162</v>
      </c>
    </row>
    <row r="252" spans="1:14">
      <c r="A252" t="s">
        <v>59</v>
      </c>
      <c r="B252" t="s">
        <v>796</v>
      </c>
      <c r="C252">
        <v>89</v>
      </c>
      <c r="D252">
        <v>224</v>
      </c>
      <c r="E252">
        <f>爬塔!J35</f>
        <v>124</v>
      </c>
      <c r="F252" s="22">
        <f>爬塔!K35</f>
        <v>1.16967741431087</v>
      </c>
      <c r="G252" s="22">
        <f>爬塔!L35</f>
        <v>0.676370195756928</v>
      </c>
      <c r="H252" s="22">
        <v>13.9209374859203</v>
      </c>
      <c r="I252" s="22">
        <f>爬塔!X35</f>
        <v>7.67634113656579</v>
      </c>
      <c r="J252" s="22">
        <f t="shared" si="6"/>
        <v>0.551424151162928</v>
      </c>
      <c r="K252" s="22">
        <v>11.4476163780535</v>
      </c>
      <c r="L252" s="22">
        <f>爬塔!Y35</f>
        <v>16.3089330129552</v>
      </c>
      <c r="M252" s="22">
        <f t="shared" si="7"/>
        <v>1.42465754217808</v>
      </c>
      <c r="N252" t="s">
        <v>6162</v>
      </c>
    </row>
    <row r="253" spans="1:14">
      <c r="A253" t="s">
        <v>59</v>
      </c>
      <c r="B253" t="s">
        <v>798</v>
      </c>
      <c r="C253">
        <v>91</v>
      </c>
      <c r="D253">
        <v>227</v>
      </c>
      <c r="E253">
        <f>爬塔!J36</f>
        <v>128</v>
      </c>
      <c r="F253" s="22">
        <f>爬塔!K36</f>
        <v>1.17397097419226</v>
      </c>
      <c r="G253" s="22">
        <f>爬塔!L36</f>
        <v>0.675278998801872</v>
      </c>
      <c r="H253" s="22">
        <v>14.7441499060816</v>
      </c>
      <c r="I253" s="22">
        <f>爬塔!X36</f>
        <v>8.47845678337194</v>
      </c>
      <c r="J253" s="22">
        <f t="shared" si="6"/>
        <v>0.57503869923859</v>
      </c>
      <c r="K253" s="22">
        <v>12.0388150349879</v>
      </c>
      <c r="L253" s="22">
        <f>爬塔!Y36</f>
        <v>16.6939671346207</v>
      </c>
      <c r="M253" s="22">
        <f t="shared" si="7"/>
        <v>1.38667859636549</v>
      </c>
      <c r="N253" t="s">
        <v>6162</v>
      </c>
    </row>
    <row r="254" spans="1:14">
      <c r="A254" t="s">
        <v>59</v>
      </c>
      <c r="B254" t="s">
        <v>800</v>
      </c>
      <c r="C254">
        <v>94</v>
      </c>
      <c r="D254">
        <v>231</v>
      </c>
      <c r="E254">
        <f>爬塔!J37</f>
        <v>132</v>
      </c>
      <c r="F254" s="22">
        <f>爬塔!K37</f>
        <v>1.16994480700504</v>
      </c>
      <c r="G254" s="22">
        <f>爬塔!L37</f>
        <v>0.672863596505294</v>
      </c>
      <c r="H254" s="22">
        <v>13.889039500179</v>
      </c>
      <c r="I254" s="22">
        <f>爬塔!X37</f>
        <v>8.20968320616458</v>
      </c>
      <c r="J254" s="22">
        <f t="shared" si="6"/>
        <v>0.591090781047802</v>
      </c>
      <c r="K254" s="22">
        <v>11.8215040581991</v>
      </c>
      <c r="L254" s="22">
        <f>爬塔!Y37</f>
        <v>16.1335219131779</v>
      </c>
      <c r="M254" s="22">
        <f t="shared" si="7"/>
        <v>1.36476051048581</v>
      </c>
      <c r="N254" t="s">
        <v>6162</v>
      </c>
    </row>
    <row r="255" spans="1:14">
      <c r="A255" t="s">
        <v>59</v>
      </c>
      <c r="B255" t="s">
        <v>802</v>
      </c>
      <c r="C255">
        <v>96</v>
      </c>
      <c r="D255">
        <v>234</v>
      </c>
      <c r="E255">
        <f>爬塔!J38</f>
        <v>136</v>
      </c>
      <c r="F255" s="22">
        <f>爬塔!K38</f>
        <v>1.1761990096556</v>
      </c>
      <c r="G255" s="22">
        <f>爬塔!L38</f>
        <v>0.673956999018393</v>
      </c>
      <c r="H255" s="22">
        <v>13.952118420699</v>
      </c>
      <c r="I255" s="22">
        <f>爬塔!X38</f>
        <v>8.59932848628803</v>
      </c>
      <c r="J255" s="22">
        <f t="shared" si="6"/>
        <v>0.616345720914344</v>
      </c>
      <c r="K255" s="22">
        <v>11.9256235107324</v>
      </c>
      <c r="L255" s="22">
        <f>爬塔!Y38</f>
        <v>15.8686287774144</v>
      </c>
      <c r="M255" s="22">
        <f t="shared" si="7"/>
        <v>1.330633049344</v>
      </c>
      <c r="N255" t="s">
        <v>6162</v>
      </c>
    </row>
    <row r="256" spans="1:14">
      <c r="A256" t="s">
        <v>59</v>
      </c>
      <c r="B256" t="s">
        <v>804</v>
      </c>
      <c r="C256">
        <v>99</v>
      </c>
      <c r="D256">
        <v>238</v>
      </c>
      <c r="E256">
        <f>爬塔!J39</f>
        <v>140</v>
      </c>
      <c r="F256" s="22">
        <f>爬塔!K39</f>
        <v>1.16304350071123</v>
      </c>
      <c r="G256" s="22">
        <f>爬塔!L39</f>
        <v>0.668010949572134</v>
      </c>
      <c r="H256" s="22">
        <v>14.8156524452753</v>
      </c>
      <c r="I256" s="22">
        <f>爬塔!X39</f>
        <v>9.18060034514453</v>
      </c>
      <c r="J256" s="22">
        <f t="shared" si="6"/>
        <v>0.619655487941216</v>
      </c>
      <c r="K256" s="22">
        <v>12.5612925672997</v>
      </c>
      <c r="L256" s="22">
        <f>爬塔!Y39</f>
        <v>16.6324936486813</v>
      </c>
      <c r="M256" s="22">
        <f t="shared" si="7"/>
        <v>1.32410685919218</v>
      </c>
      <c r="N256" t="s">
        <v>6162</v>
      </c>
    </row>
    <row r="257" spans="1:14">
      <c r="A257" t="s">
        <v>59</v>
      </c>
      <c r="B257" t="s">
        <v>806</v>
      </c>
      <c r="C257">
        <v>101</v>
      </c>
      <c r="D257">
        <v>243</v>
      </c>
      <c r="E257">
        <f>爬塔!J40</f>
        <v>144</v>
      </c>
      <c r="F257" s="22">
        <f>爬塔!K40</f>
        <v>1.17542560624017</v>
      </c>
      <c r="G257" s="22">
        <f>爬塔!L40</f>
        <v>0.671359586349877</v>
      </c>
      <c r="H257" s="22">
        <v>14.3015158381316</v>
      </c>
      <c r="I257" s="22">
        <f>爬塔!X40</f>
        <v>9.0871119941826</v>
      </c>
      <c r="J257" s="22">
        <f t="shared" si="6"/>
        <v>0.63539502364875</v>
      </c>
      <c r="K257" s="22">
        <v>12.0779696195182</v>
      </c>
      <c r="L257" s="22">
        <f>爬塔!Y40</f>
        <v>15.7640790061421</v>
      </c>
      <c r="M257" s="22">
        <f t="shared" si="7"/>
        <v>1.30519280166652</v>
      </c>
      <c r="N257" t="s">
        <v>6162</v>
      </c>
    </row>
    <row r="258" spans="1:14">
      <c r="A258" t="s">
        <v>59</v>
      </c>
      <c r="B258" t="s">
        <v>808</v>
      </c>
      <c r="C258">
        <v>104</v>
      </c>
      <c r="D258">
        <v>249</v>
      </c>
      <c r="E258">
        <f>爬塔!J41</f>
        <v>148</v>
      </c>
      <c r="F258" s="22">
        <f>爬塔!K41</f>
        <v>1.17237889170564</v>
      </c>
      <c r="G258" s="22">
        <f>爬塔!L41</f>
        <v>0.667931756315419</v>
      </c>
      <c r="H258" s="22">
        <v>16.1072380387952</v>
      </c>
      <c r="I258" s="22">
        <f>爬塔!X41</f>
        <v>10.0928997353345</v>
      </c>
      <c r="J258" s="22">
        <f t="shared" ref="J258:J321" si="8">I258/H258</f>
        <v>0.626606480330469</v>
      </c>
      <c r="K258" s="22">
        <v>12.747689067503</v>
      </c>
      <c r="L258" s="22">
        <f>爬塔!Y41</f>
        <v>16.7264011250826</v>
      </c>
      <c r="M258" s="22">
        <f t="shared" ref="M258:M321" si="9">L258/K258</f>
        <v>1.31211241790657</v>
      </c>
      <c r="N258" t="s">
        <v>6162</v>
      </c>
    </row>
    <row r="259" spans="1:14">
      <c r="A259" t="s">
        <v>59</v>
      </c>
      <c r="B259" t="s">
        <v>810</v>
      </c>
      <c r="C259">
        <v>106</v>
      </c>
      <c r="D259">
        <v>253</v>
      </c>
      <c r="E259">
        <f>爬塔!J42</f>
        <v>152</v>
      </c>
      <c r="F259" s="22">
        <f>爬塔!K42</f>
        <v>1.16805227807085</v>
      </c>
      <c r="G259" s="22">
        <f>爬塔!L42</f>
        <v>0.669062845144116</v>
      </c>
      <c r="H259" s="22">
        <v>13.4503733257665</v>
      </c>
      <c r="I259" s="22">
        <f>爬塔!X42</f>
        <v>8.66732878094757</v>
      </c>
      <c r="J259" s="22">
        <f t="shared" si="8"/>
        <v>0.644393175640992</v>
      </c>
      <c r="K259" s="22">
        <v>11.9379960074523</v>
      </c>
      <c r="L259" s="22">
        <f>爬塔!Y42</f>
        <v>15.4529568290518</v>
      </c>
      <c r="M259" s="22">
        <f t="shared" si="9"/>
        <v>1.29443474594943</v>
      </c>
      <c r="N259" t="s">
        <v>6162</v>
      </c>
    </row>
    <row r="260" spans="1:14">
      <c r="A260" t="s">
        <v>59</v>
      </c>
      <c r="B260" t="s">
        <v>812</v>
      </c>
      <c r="C260">
        <v>109</v>
      </c>
      <c r="D260">
        <v>258</v>
      </c>
      <c r="E260">
        <f>爬塔!J43</f>
        <v>156</v>
      </c>
      <c r="F260" s="22">
        <f>爬塔!K43</f>
        <v>1.17586973931056</v>
      </c>
      <c r="G260" s="22">
        <f>爬塔!L43</f>
        <v>0.671014300557864</v>
      </c>
      <c r="H260" s="22">
        <v>14.3407579071774</v>
      </c>
      <c r="I260" s="22">
        <f>爬塔!X43</f>
        <v>9.27200788953096</v>
      </c>
      <c r="J260" s="22">
        <f t="shared" si="8"/>
        <v>0.646549362979652</v>
      </c>
      <c r="K260" s="22">
        <v>12.1359920925472</v>
      </c>
      <c r="L260" s="22">
        <f>爬塔!Y43</f>
        <v>15.6477628086722</v>
      </c>
      <c r="M260" s="22">
        <f t="shared" si="9"/>
        <v>1.2893682435968</v>
      </c>
      <c r="N260" t="s">
        <v>6162</v>
      </c>
    </row>
    <row r="261" spans="1:14">
      <c r="A261" t="s">
        <v>59</v>
      </c>
      <c r="B261" t="s">
        <v>814</v>
      </c>
      <c r="C261">
        <v>111</v>
      </c>
      <c r="D261">
        <v>263</v>
      </c>
      <c r="E261">
        <f>爬塔!J44</f>
        <v>160</v>
      </c>
      <c r="F261" s="22">
        <f>爬塔!K44</f>
        <v>1.16347845028068</v>
      </c>
      <c r="G261" s="22">
        <f>爬塔!L44</f>
        <v>0.666707854003219</v>
      </c>
      <c r="H261" s="22">
        <v>15.3614933264356</v>
      </c>
      <c r="I261" s="22">
        <f>爬塔!X44</f>
        <v>9.82404018164523</v>
      </c>
      <c r="J261" s="22">
        <f t="shared" si="8"/>
        <v>0.639523773690611</v>
      </c>
      <c r="K261" s="22">
        <v>13.0353722235415</v>
      </c>
      <c r="L261" s="22">
        <f>爬塔!Y44</f>
        <v>16.9004652509661</v>
      </c>
      <c r="M261" s="22">
        <f t="shared" si="9"/>
        <v>1.29650806752141</v>
      </c>
      <c r="N261" t="s">
        <v>6162</v>
      </c>
    </row>
    <row r="262" spans="1:14">
      <c r="A262" t="s">
        <v>59</v>
      </c>
      <c r="B262" t="s">
        <v>816</v>
      </c>
      <c r="C262">
        <v>114</v>
      </c>
      <c r="D262">
        <v>266</v>
      </c>
      <c r="E262">
        <f>爬塔!J45</f>
        <v>164</v>
      </c>
      <c r="F262" s="22">
        <f>爬塔!K45</f>
        <v>1.1668186396599</v>
      </c>
      <c r="G262" s="22">
        <f>爬塔!L45</f>
        <v>0.668610159368872</v>
      </c>
      <c r="H262" s="22">
        <v>15.9711363466944</v>
      </c>
      <c r="I262" s="22">
        <f>爬塔!X45</f>
        <v>10.4135864424418</v>
      </c>
      <c r="J262" s="22">
        <f t="shared" si="8"/>
        <v>0.652025392332033</v>
      </c>
      <c r="K262" s="22">
        <v>13.3595235536546</v>
      </c>
      <c r="L262" s="22">
        <f>爬塔!Y45</f>
        <v>17.1023928636649</v>
      </c>
      <c r="M262" s="22">
        <f t="shared" si="9"/>
        <v>1.28016487975624</v>
      </c>
      <c r="N262" t="s">
        <v>6162</v>
      </c>
    </row>
    <row r="263" spans="1:14">
      <c r="A263" t="s">
        <v>59</v>
      </c>
      <c r="B263" t="s">
        <v>818</v>
      </c>
      <c r="C263">
        <v>117</v>
      </c>
      <c r="D263">
        <v>272</v>
      </c>
      <c r="E263">
        <f>爬塔!J46</f>
        <v>167</v>
      </c>
      <c r="F263" s="22">
        <f>爬塔!K46</f>
        <v>1.1626296034588</v>
      </c>
      <c r="G263" s="22">
        <f>爬塔!L46</f>
        <v>0.668485213188333</v>
      </c>
      <c r="H263" s="22">
        <v>15.2438909988909</v>
      </c>
      <c r="I263" s="22">
        <f>爬塔!X46</f>
        <v>9.69261373819195</v>
      </c>
      <c r="J263" s="22">
        <f t="shared" si="8"/>
        <v>0.635835938402942</v>
      </c>
      <c r="K263" s="22">
        <v>13.3686877722155</v>
      </c>
      <c r="L263" s="22">
        <f>爬塔!Y46</f>
        <v>17.378620110809</v>
      </c>
      <c r="M263" s="22">
        <f t="shared" si="9"/>
        <v>1.29994958420133</v>
      </c>
      <c r="N263" t="s">
        <v>6162</v>
      </c>
    </row>
    <row r="264" spans="1:14">
      <c r="A264" t="s">
        <v>59</v>
      </c>
      <c r="B264" t="s">
        <v>820</v>
      </c>
      <c r="C264">
        <v>119</v>
      </c>
      <c r="D264">
        <v>275</v>
      </c>
      <c r="E264">
        <f>爬塔!J47</f>
        <v>171</v>
      </c>
      <c r="F264" s="22">
        <f>爬塔!K47</f>
        <v>1.15701985376253</v>
      </c>
      <c r="G264" s="22">
        <f>爬塔!L47</f>
        <v>0.666077166265881</v>
      </c>
      <c r="H264" s="22">
        <v>16.261343632532</v>
      </c>
      <c r="I264" s="22">
        <f>爬塔!X47</f>
        <v>10.5369511077408</v>
      </c>
      <c r="J264" s="22">
        <f t="shared" si="8"/>
        <v>0.64797542846711</v>
      </c>
      <c r="K264" s="22">
        <v>13.4464573401114</v>
      </c>
      <c r="L264" s="22">
        <f>爬塔!Y47</f>
        <v>17.2663945289574</v>
      </c>
      <c r="M264" s="22">
        <f t="shared" si="9"/>
        <v>1.2840850264293</v>
      </c>
      <c r="N264" t="s">
        <v>6162</v>
      </c>
    </row>
    <row r="265" spans="1:14">
      <c r="A265" t="s">
        <v>59</v>
      </c>
      <c r="B265" t="s">
        <v>822</v>
      </c>
      <c r="C265">
        <v>122</v>
      </c>
      <c r="D265">
        <v>279</v>
      </c>
      <c r="E265">
        <f>爬塔!J48</f>
        <v>174</v>
      </c>
      <c r="F265" s="22">
        <f>爬塔!K48</f>
        <v>1.16687871974651</v>
      </c>
      <c r="G265" s="22">
        <f>爬塔!L48</f>
        <v>0.67038170805797</v>
      </c>
      <c r="H265" s="22">
        <v>16.2244126864652</v>
      </c>
      <c r="I265" s="22">
        <f>爬塔!X48</f>
        <v>10.5540776349439</v>
      </c>
      <c r="J265" s="22">
        <f t="shared" si="8"/>
        <v>0.650505989886978</v>
      </c>
      <c r="K265" s="22">
        <v>13.5796287903225</v>
      </c>
      <c r="L265" s="22">
        <f>爬塔!Y48</f>
        <v>17.3947597442703</v>
      </c>
      <c r="M265" s="22">
        <f t="shared" si="9"/>
        <v>1.28094515784309</v>
      </c>
      <c r="N265" t="s">
        <v>6162</v>
      </c>
    </row>
    <row r="266" spans="1:14">
      <c r="A266" t="s">
        <v>59</v>
      </c>
      <c r="B266" t="s">
        <v>824</v>
      </c>
      <c r="C266">
        <v>124</v>
      </c>
      <c r="D266">
        <v>282</v>
      </c>
      <c r="E266">
        <f>爬塔!J49</f>
        <v>178</v>
      </c>
      <c r="F266" s="22">
        <f>爬塔!K49</f>
        <v>1.15735739795593</v>
      </c>
      <c r="G266" s="22">
        <f>爬塔!L49</f>
        <v>0.669688309096367</v>
      </c>
      <c r="H266" s="22">
        <v>14.3998514575293</v>
      </c>
      <c r="I266" s="22">
        <f>爬塔!X49</f>
        <v>9.5893870381361</v>
      </c>
      <c r="J266" s="22">
        <f t="shared" si="8"/>
        <v>0.665936524860613</v>
      </c>
      <c r="K266" s="22">
        <v>13.1153561128979</v>
      </c>
      <c r="L266" s="22">
        <f>爬塔!Y49</f>
        <v>16.6029884465113</v>
      </c>
      <c r="M266" s="22">
        <f t="shared" si="9"/>
        <v>1.26591975876153</v>
      </c>
      <c r="N266" t="s">
        <v>6162</v>
      </c>
    </row>
    <row r="267" spans="1:14">
      <c r="A267" t="s">
        <v>59</v>
      </c>
      <c r="B267" t="s">
        <v>826</v>
      </c>
      <c r="C267">
        <v>127</v>
      </c>
      <c r="D267">
        <v>286</v>
      </c>
      <c r="E267">
        <f>爬塔!J50</f>
        <v>182</v>
      </c>
      <c r="F267" s="22">
        <f>爬塔!K50</f>
        <v>1.15902261534038</v>
      </c>
      <c r="G267" s="22">
        <f>爬塔!L50</f>
        <v>0.670428662462566</v>
      </c>
      <c r="H267" s="22">
        <v>16.199168382703</v>
      </c>
      <c r="I267" s="22">
        <f>爬塔!X50</f>
        <v>10.8111835485266</v>
      </c>
      <c r="J267" s="22">
        <f t="shared" si="8"/>
        <v>0.667391269299387</v>
      </c>
      <c r="K267" s="22">
        <v>14.2491669830924</v>
      </c>
      <c r="L267" s="22">
        <f>爬塔!Y50</f>
        <v>17.9846985439706</v>
      </c>
      <c r="M267" s="22">
        <f t="shared" si="9"/>
        <v>1.26215789072517</v>
      </c>
      <c r="N267" t="s">
        <v>6162</v>
      </c>
    </row>
    <row r="268" spans="1:14">
      <c r="A268" t="s">
        <v>59</v>
      </c>
      <c r="B268" t="s">
        <v>828</v>
      </c>
      <c r="C268">
        <v>130</v>
      </c>
      <c r="D268">
        <v>289</v>
      </c>
      <c r="E268">
        <f>爬塔!J51</f>
        <v>185</v>
      </c>
      <c r="F268" s="22">
        <f>爬塔!K51</f>
        <v>1.15723303110238</v>
      </c>
      <c r="G268" s="22">
        <f>爬塔!L51</f>
        <v>0.672811477945234</v>
      </c>
      <c r="H268" s="22">
        <v>14.3322982805761</v>
      </c>
      <c r="I268" s="22">
        <f>爬塔!X51</f>
        <v>9.62254575985689</v>
      </c>
      <c r="J268" s="22">
        <f t="shared" si="8"/>
        <v>0.67138888484465</v>
      </c>
      <c r="K268" s="22">
        <v>13.333081003615</v>
      </c>
      <c r="L268" s="22">
        <f>爬塔!Y51</f>
        <v>16.7932663130143</v>
      </c>
      <c r="M268" s="22">
        <f t="shared" si="9"/>
        <v>1.25951880952805</v>
      </c>
      <c r="N268" t="s">
        <v>6162</v>
      </c>
    </row>
    <row r="269" spans="1:14">
      <c r="A269" t="s">
        <v>59</v>
      </c>
      <c r="B269" t="s">
        <v>830</v>
      </c>
      <c r="C269">
        <v>132</v>
      </c>
      <c r="D269">
        <v>291</v>
      </c>
      <c r="E269">
        <f>爬塔!J52</f>
        <v>189</v>
      </c>
      <c r="F269" s="22">
        <f>爬塔!K52</f>
        <v>1.15628599730198</v>
      </c>
      <c r="G269" s="22">
        <f>爬塔!L52</f>
        <v>0.672487082221314</v>
      </c>
      <c r="H269" s="22">
        <v>15.1636414148667</v>
      </c>
      <c r="I269" s="22">
        <f>爬塔!X52</f>
        <v>10.5177789955762</v>
      </c>
      <c r="J269" s="22">
        <f t="shared" si="8"/>
        <v>0.69361828783846</v>
      </c>
      <c r="K269" s="22">
        <v>13.9274993332199</v>
      </c>
      <c r="L269" s="22">
        <f>爬塔!Y52</f>
        <v>17.2004096254782</v>
      </c>
      <c r="M269" s="22">
        <f t="shared" si="9"/>
        <v>1.23499626271399</v>
      </c>
      <c r="N269" t="s">
        <v>6162</v>
      </c>
    </row>
    <row r="270" spans="1:14">
      <c r="A270" t="s">
        <v>59</v>
      </c>
      <c r="B270" t="s">
        <v>832</v>
      </c>
      <c r="C270">
        <v>135</v>
      </c>
      <c r="D270">
        <v>295</v>
      </c>
      <c r="E270">
        <f>爬塔!J53</f>
        <v>192</v>
      </c>
      <c r="F270" s="22">
        <f>爬塔!K53</f>
        <v>1.1558279872176</v>
      </c>
      <c r="G270" s="22">
        <f>爬塔!L53</f>
        <v>0.671805468942296</v>
      </c>
      <c r="H270" s="22">
        <v>17.3581911043842</v>
      </c>
      <c r="I270" s="22">
        <f>爬塔!X53</f>
        <v>11.8644445988787</v>
      </c>
      <c r="J270" s="22">
        <f t="shared" si="8"/>
        <v>0.683506969564475</v>
      </c>
      <c r="K270" s="22">
        <v>13.935647224494</v>
      </c>
      <c r="L270" s="22">
        <f>爬塔!Y53</f>
        <v>17.3251421342477</v>
      </c>
      <c r="M270" s="22">
        <f t="shared" si="9"/>
        <v>1.24322479287479</v>
      </c>
      <c r="N270" t="s">
        <v>6162</v>
      </c>
    </row>
    <row r="271" spans="1:14">
      <c r="A271" t="s">
        <v>59</v>
      </c>
      <c r="B271" t="s">
        <v>834</v>
      </c>
      <c r="C271">
        <v>138</v>
      </c>
      <c r="D271">
        <v>299</v>
      </c>
      <c r="E271">
        <f>爬塔!J54</f>
        <v>196</v>
      </c>
      <c r="F271" s="22">
        <f>爬塔!K54</f>
        <v>1.16486059105706</v>
      </c>
      <c r="G271" s="22">
        <f>爬塔!L54</f>
        <v>0.677862042556071</v>
      </c>
      <c r="H271" s="22">
        <v>15.4757073068838</v>
      </c>
      <c r="I271" s="22">
        <f>爬塔!X54</f>
        <v>10.8098637482623</v>
      </c>
      <c r="J271" s="22">
        <f t="shared" si="8"/>
        <v>0.698505311188839</v>
      </c>
      <c r="K271" s="22">
        <v>13.9202655495899</v>
      </c>
      <c r="L271" s="22">
        <f>爬塔!Y54</f>
        <v>17.1204548784085</v>
      </c>
      <c r="M271" s="22">
        <f t="shared" si="9"/>
        <v>1.22989427302362</v>
      </c>
      <c r="N271" t="s">
        <v>6162</v>
      </c>
    </row>
    <row r="272" spans="1:14">
      <c r="A272" t="s">
        <v>59</v>
      </c>
      <c r="B272" t="s">
        <v>836</v>
      </c>
      <c r="C272">
        <v>140</v>
      </c>
      <c r="D272">
        <v>301</v>
      </c>
      <c r="E272">
        <f>爬塔!J55</f>
        <v>198</v>
      </c>
      <c r="F272" s="22">
        <f>爬塔!K55</f>
        <v>1.16221696952162</v>
      </c>
      <c r="G272" s="22">
        <f>爬塔!L55</f>
        <v>0.679422160763523</v>
      </c>
      <c r="H272" s="22">
        <v>13.6856294997113</v>
      </c>
      <c r="I272" s="22">
        <f>爬塔!X55</f>
        <v>9.60170873153309</v>
      </c>
      <c r="J272" s="22">
        <f t="shared" si="8"/>
        <v>0.701590579500609</v>
      </c>
      <c r="K272" s="22">
        <v>12.9622454226162</v>
      </c>
      <c r="L272" s="22">
        <f>爬塔!Y55</f>
        <v>15.9241659100522</v>
      </c>
      <c r="M272" s="22">
        <f t="shared" si="9"/>
        <v>1.22850365741943</v>
      </c>
      <c r="N272" t="s">
        <v>6162</v>
      </c>
    </row>
    <row r="273" spans="1:14">
      <c r="A273" t="s">
        <v>59</v>
      </c>
      <c r="B273" t="s">
        <v>838</v>
      </c>
      <c r="C273">
        <v>143</v>
      </c>
      <c r="D273">
        <v>303</v>
      </c>
      <c r="E273">
        <f>爬塔!J56</f>
        <v>201</v>
      </c>
      <c r="F273" s="22">
        <f>爬塔!K56</f>
        <v>1.15514989318123</v>
      </c>
      <c r="G273" s="22">
        <f>爬塔!L56</f>
        <v>0.678032893523875</v>
      </c>
      <c r="H273" s="22">
        <v>14.4582858875513</v>
      </c>
      <c r="I273" s="22">
        <f>爬塔!X56</f>
        <v>10.1594476611792</v>
      </c>
      <c r="J273" s="22">
        <f t="shared" si="8"/>
        <v>0.702673037467505</v>
      </c>
      <c r="K273" s="22">
        <v>13.5719304941646</v>
      </c>
      <c r="L273" s="22">
        <f>爬塔!Y56</f>
        <v>16.6441428422043</v>
      </c>
      <c r="M273" s="22">
        <f t="shared" si="9"/>
        <v>1.22636516959475</v>
      </c>
      <c r="N273" t="s">
        <v>6162</v>
      </c>
    </row>
    <row r="274" spans="1:14">
      <c r="A274" t="s">
        <v>59</v>
      </c>
      <c r="B274" t="s">
        <v>840</v>
      </c>
      <c r="C274">
        <v>146</v>
      </c>
      <c r="D274">
        <v>306</v>
      </c>
      <c r="E274">
        <f>爬塔!J57</f>
        <v>203</v>
      </c>
      <c r="F274" s="22">
        <f>爬塔!K57</f>
        <v>1.15736206117284</v>
      </c>
      <c r="G274" s="22">
        <f>爬塔!L57</f>
        <v>0.680269080212309</v>
      </c>
      <c r="H274" s="22">
        <v>14.525336741295</v>
      </c>
      <c r="I274" s="22">
        <f>爬塔!X57</f>
        <v>10.0817705744539</v>
      </c>
      <c r="J274" s="22">
        <f t="shared" si="8"/>
        <v>0.694081710738714</v>
      </c>
      <c r="K274" s="22">
        <v>13.592099207231</v>
      </c>
      <c r="L274" s="22">
        <f>爬塔!Y57</f>
        <v>16.7889952169028</v>
      </c>
      <c r="M274" s="22">
        <f t="shared" si="9"/>
        <v>1.23520252176875</v>
      </c>
      <c r="N274" t="s">
        <v>6162</v>
      </c>
    </row>
    <row r="275" spans="1:14">
      <c r="A275" t="s">
        <v>59</v>
      </c>
      <c r="B275" t="s">
        <v>842</v>
      </c>
      <c r="C275">
        <v>148</v>
      </c>
      <c r="D275">
        <v>308</v>
      </c>
      <c r="E275">
        <f>爬塔!J58</f>
        <v>205</v>
      </c>
      <c r="F275" s="22">
        <f>爬塔!K58</f>
        <v>1.15736163280393</v>
      </c>
      <c r="G275" s="22">
        <f>爬塔!L58</f>
        <v>0.681130891349837</v>
      </c>
      <c r="H275" s="22">
        <v>14.5836983352688</v>
      </c>
      <c r="I275" s="22">
        <f>爬塔!X58</f>
        <v>10.1417124681757</v>
      </c>
      <c r="J275" s="22">
        <f t="shared" si="8"/>
        <v>0.695414306784532</v>
      </c>
      <c r="K275" s="22">
        <v>13.5959773531303</v>
      </c>
      <c r="L275" s="22">
        <f>爬塔!Y58</f>
        <v>16.7748211250345</v>
      </c>
      <c r="M275" s="22">
        <f t="shared" si="9"/>
        <v>1.23380766894057</v>
      </c>
      <c r="N275" t="s">
        <v>6162</v>
      </c>
    </row>
    <row r="276" spans="1:14">
      <c r="A276" t="s">
        <v>59</v>
      </c>
      <c r="B276" t="s">
        <v>844</v>
      </c>
      <c r="C276">
        <v>151</v>
      </c>
      <c r="D276">
        <v>310</v>
      </c>
      <c r="E276">
        <f>爬塔!J59</f>
        <v>208</v>
      </c>
      <c r="F276" s="22">
        <f>爬塔!K59</f>
        <v>1.16375642788639</v>
      </c>
      <c r="G276" s="22">
        <f>爬塔!L59</f>
        <v>0.684169263070698</v>
      </c>
      <c r="H276" s="22">
        <v>15.4268769867601</v>
      </c>
      <c r="I276" s="22">
        <f>爬塔!X59</f>
        <v>10.8976594947199</v>
      </c>
      <c r="J276" s="22">
        <f t="shared" si="8"/>
        <v>0.706407363205957</v>
      </c>
      <c r="K276" s="22">
        <v>14.2033297843743</v>
      </c>
      <c r="L276" s="22">
        <f>爬塔!Y59</f>
        <v>17.353477572298</v>
      </c>
      <c r="M276" s="22">
        <f t="shared" si="9"/>
        <v>1.22178938571076</v>
      </c>
      <c r="N276" t="s">
        <v>6162</v>
      </c>
    </row>
    <row r="277" spans="1:14">
      <c r="A277" t="s">
        <v>59</v>
      </c>
      <c r="B277" t="s">
        <v>846</v>
      </c>
      <c r="C277">
        <v>154</v>
      </c>
      <c r="D277">
        <v>312</v>
      </c>
      <c r="E277">
        <f>爬塔!J60</f>
        <v>210</v>
      </c>
      <c r="F277" s="22">
        <f>爬塔!K60</f>
        <v>1.15213985017309</v>
      </c>
      <c r="G277" s="22">
        <f>爬塔!L60</f>
        <v>0.682347851942813</v>
      </c>
      <c r="H277" s="22">
        <v>14.4888083140153</v>
      </c>
      <c r="I277" s="22">
        <f>爬塔!X60</f>
        <v>10.1228091733564</v>
      </c>
      <c r="J277" s="22">
        <f t="shared" si="8"/>
        <v>0.698664027707812</v>
      </c>
      <c r="K277" s="22">
        <v>13.7426929117042</v>
      </c>
      <c r="L277" s="22">
        <f>爬塔!Y60</f>
        <v>16.9089942652189</v>
      </c>
      <c r="M277" s="22">
        <f t="shared" si="9"/>
        <v>1.23039890171875</v>
      </c>
      <c r="N277" t="s">
        <v>6162</v>
      </c>
    </row>
    <row r="278" spans="1:14">
      <c r="A278" t="s">
        <v>59</v>
      </c>
      <c r="B278" t="s">
        <v>848</v>
      </c>
      <c r="C278">
        <v>156</v>
      </c>
      <c r="D278">
        <v>314</v>
      </c>
      <c r="E278">
        <f>爬塔!J61</f>
        <v>212</v>
      </c>
      <c r="F278" s="22">
        <f>爬塔!K61</f>
        <v>1.15340112107571</v>
      </c>
      <c r="G278" s="22">
        <f>爬塔!L61</f>
        <v>0.684535053944765</v>
      </c>
      <c r="H278" s="22">
        <v>13.6784409026656</v>
      </c>
      <c r="I278" s="22">
        <f>爬塔!X61</f>
        <v>9.58621598919764</v>
      </c>
      <c r="J278" s="22">
        <f t="shared" si="8"/>
        <v>0.700826655421636</v>
      </c>
      <c r="K278" s="22">
        <v>13.2279581584156</v>
      </c>
      <c r="L278" s="22">
        <f>爬塔!Y61</f>
        <v>16.2584070280236</v>
      </c>
      <c r="M278" s="22">
        <f t="shared" si="9"/>
        <v>1.22909422855106</v>
      </c>
      <c r="N278" t="s">
        <v>6162</v>
      </c>
    </row>
    <row r="279" spans="1:14">
      <c r="A279" t="s">
        <v>59</v>
      </c>
      <c r="B279" t="s">
        <v>850</v>
      </c>
      <c r="C279">
        <v>159</v>
      </c>
      <c r="D279">
        <v>316</v>
      </c>
      <c r="E279">
        <f>爬塔!J62</f>
        <v>214</v>
      </c>
      <c r="F279" s="22">
        <f>爬塔!K62</f>
        <v>1.16241161436697</v>
      </c>
      <c r="G279" s="22">
        <f>爬塔!L62</f>
        <v>0.689312359503694</v>
      </c>
      <c r="H279" s="22">
        <v>13.6762461539419</v>
      </c>
      <c r="I279" s="22">
        <f>爬塔!X62</f>
        <v>9.60209735733867</v>
      </c>
      <c r="J279" s="22">
        <f t="shared" si="8"/>
        <v>0.702100360673244</v>
      </c>
      <c r="K279" s="22">
        <v>13.267856410365</v>
      </c>
      <c r="L279" s="22">
        <f>爬塔!Y62</f>
        <v>16.2909024168792</v>
      </c>
      <c r="M279" s="22">
        <f t="shared" si="9"/>
        <v>1.22784735627321</v>
      </c>
      <c r="N279" t="s">
        <v>6162</v>
      </c>
    </row>
    <row r="280" spans="1:14">
      <c r="A280" t="s">
        <v>59</v>
      </c>
      <c r="B280" t="s">
        <v>852</v>
      </c>
      <c r="C280">
        <v>162</v>
      </c>
      <c r="D280">
        <v>318</v>
      </c>
      <c r="E280">
        <f>爬塔!J63</f>
        <v>217</v>
      </c>
      <c r="F280" s="22">
        <f>爬塔!K63</f>
        <v>1.15390500897312</v>
      </c>
      <c r="G280" s="22">
        <f>爬塔!L63</f>
        <v>0.687131245661127</v>
      </c>
      <c r="H280" s="22">
        <v>14.6035398439894</v>
      </c>
      <c r="I280" s="22">
        <f>爬塔!X63</f>
        <v>10.2671996660421</v>
      </c>
      <c r="J280" s="22">
        <f t="shared" si="8"/>
        <v>0.703062392798406</v>
      </c>
      <c r="K280" s="22">
        <v>13.7870247567128</v>
      </c>
      <c r="L280" s="22">
        <f>爬塔!Y63</f>
        <v>16.9026350083477</v>
      </c>
      <c r="M280" s="22">
        <f t="shared" si="9"/>
        <v>1.22598133437875</v>
      </c>
      <c r="N280" t="s">
        <v>6162</v>
      </c>
    </row>
    <row r="281" spans="1:14">
      <c r="A281" t="s">
        <v>59</v>
      </c>
      <c r="B281" t="s">
        <v>854</v>
      </c>
      <c r="C281">
        <v>165</v>
      </c>
      <c r="D281">
        <v>321</v>
      </c>
      <c r="E281">
        <f>爬塔!J64</f>
        <v>219</v>
      </c>
      <c r="F281" s="22">
        <f>爬塔!K64</f>
        <v>1.15867282412656</v>
      </c>
      <c r="G281" s="22">
        <f>爬塔!L64</f>
        <v>0.689694524790995</v>
      </c>
      <c r="H281" s="22">
        <v>15.7294721731412</v>
      </c>
      <c r="I281" s="22">
        <f>爬塔!X64</f>
        <v>10.9159716830819</v>
      </c>
      <c r="J281" s="22">
        <f t="shared" si="8"/>
        <v>0.693982071548553</v>
      </c>
      <c r="K281" s="22">
        <v>14.2400991606691</v>
      </c>
      <c r="L281" s="22">
        <f>爬塔!Y64</f>
        <v>17.5787149944252</v>
      </c>
      <c r="M281" s="22">
        <f t="shared" si="9"/>
        <v>1.23445172650042</v>
      </c>
      <c r="N281" t="s">
        <v>6162</v>
      </c>
    </row>
    <row r="282" spans="1:14">
      <c r="A282" t="s">
        <v>59</v>
      </c>
      <c r="B282" t="s">
        <v>856</v>
      </c>
      <c r="C282">
        <v>167</v>
      </c>
      <c r="D282">
        <v>322</v>
      </c>
      <c r="E282">
        <f>爬塔!J65</f>
        <v>221</v>
      </c>
      <c r="F282" s="22">
        <f>爬塔!K65</f>
        <v>1.1609327383741</v>
      </c>
      <c r="G282" s="22">
        <f>爬塔!L65</f>
        <v>0.692628557170834</v>
      </c>
      <c r="H282" s="22">
        <v>13.8571415189577</v>
      </c>
      <c r="I282" s="22">
        <f>爬塔!X65</f>
        <v>9.78842984200509</v>
      </c>
      <c r="J282" s="22">
        <f t="shared" si="8"/>
        <v>0.706381603205374</v>
      </c>
      <c r="K282" s="22">
        <v>13.2550194056116</v>
      </c>
      <c r="L282" s="22">
        <f>爬塔!Y65</f>
        <v>16.2188223358888</v>
      </c>
      <c r="M282" s="22">
        <f t="shared" si="9"/>
        <v>1.22359853573828</v>
      </c>
      <c r="N282" t="s">
        <v>6162</v>
      </c>
    </row>
    <row r="283" spans="1:14">
      <c r="A283" t="s">
        <v>59</v>
      </c>
      <c r="B283" t="s">
        <v>858</v>
      </c>
      <c r="C283">
        <v>170</v>
      </c>
      <c r="D283">
        <v>324</v>
      </c>
      <c r="E283">
        <f>爬塔!J66</f>
        <v>223</v>
      </c>
      <c r="F283" s="22">
        <f>爬塔!K66</f>
        <v>1.15347728205966</v>
      </c>
      <c r="G283" s="22">
        <f>爬塔!L66</f>
        <v>0.691563676322275</v>
      </c>
      <c r="H283" s="22">
        <v>13.9154293438768</v>
      </c>
      <c r="I283" s="22">
        <f>爬塔!X66</f>
        <v>9.71499415571437</v>
      </c>
      <c r="J283" s="22">
        <f t="shared" si="8"/>
        <v>0.698145484098142</v>
      </c>
      <c r="K283" s="22">
        <v>13.2516799940697</v>
      </c>
      <c r="L283" s="22">
        <f>爬塔!Y66</f>
        <v>16.3268147332401</v>
      </c>
      <c r="M283" s="22">
        <f t="shared" si="9"/>
        <v>1.23205621781891</v>
      </c>
      <c r="N283" t="s">
        <v>6162</v>
      </c>
    </row>
    <row r="284" spans="1:14">
      <c r="A284" t="s">
        <v>59</v>
      </c>
      <c r="B284" t="s">
        <v>860</v>
      </c>
      <c r="C284">
        <v>173</v>
      </c>
      <c r="D284">
        <v>326</v>
      </c>
      <c r="E284">
        <f>爬塔!J67</f>
        <v>225</v>
      </c>
      <c r="F284" s="22">
        <f>爬塔!K67</f>
        <v>1.14900462820668</v>
      </c>
      <c r="G284" s="22">
        <f>爬塔!L67</f>
        <v>0.691032777546049</v>
      </c>
      <c r="H284" s="22">
        <v>14.923689671476</v>
      </c>
      <c r="I284" s="22">
        <f>爬塔!X67</f>
        <v>10.2853736519761</v>
      </c>
      <c r="J284" s="22">
        <f t="shared" si="8"/>
        <v>0.689197770685009</v>
      </c>
      <c r="K284" s="22">
        <v>13.7288153330256</v>
      </c>
      <c r="L284" s="22">
        <f>爬塔!Y67</f>
        <v>17.0291167576264</v>
      </c>
      <c r="M284" s="22">
        <f t="shared" si="9"/>
        <v>1.24039229493179</v>
      </c>
      <c r="N284" t="s">
        <v>6162</v>
      </c>
    </row>
    <row r="285" spans="1:14">
      <c r="A285" t="s">
        <v>59</v>
      </c>
      <c r="B285" t="s">
        <v>862</v>
      </c>
      <c r="C285">
        <v>176</v>
      </c>
      <c r="D285">
        <v>328</v>
      </c>
      <c r="E285">
        <f>爬塔!J68</f>
        <v>227</v>
      </c>
      <c r="F285" s="22">
        <f>爬塔!K68</f>
        <v>1.15548735913503</v>
      </c>
      <c r="G285" s="22">
        <f>爬塔!L68</f>
        <v>0.695378181108376</v>
      </c>
      <c r="H285" s="22">
        <v>14.0741741259646</v>
      </c>
      <c r="I285" s="22">
        <f>爬塔!X68</f>
        <v>9.72979110088891</v>
      </c>
      <c r="J285" s="22">
        <f t="shared" si="8"/>
        <v>0.691322347855496</v>
      </c>
      <c r="K285" s="22">
        <v>13.2158384298322</v>
      </c>
      <c r="L285" s="22">
        <f>爬塔!Y68</f>
        <v>16.3773676614582</v>
      </c>
      <c r="M285" s="22">
        <f t="shared" si="9"/>
        <v>1.23922275142903</v>
      </c>
      <c r="N285" t="s">
        <v>6162</v>
      </c>
    </row>
    <row r="286" spans="1:14">
      <c r="A286" t="s">
        <v>59</v>
      </c>
      <c r="B286" t="s">
        <v>864</v>
      </c>
      <c r="C286">
        <v>178</v>
      </c>
      <c r="D286">
        <v>329</v>
      </c>
      <c r="E286">
        <f>爬塔!J69</f>
        <v>229</v>
      </c>
      <c r="F286" s="22">
        <f>爬塔!K69</f>
        <v>1.14865451907588</v>
      </c>
      <c r="G286" s="22">
        <f>爬塔!L69</f>
        <v>0.692854524567452</v>
      </c>
      <c r="H286" s="22">
        <v>15.9753987087138</v>
      </c>
      <c r="I286" s="22">
        <f>爬塔!X69</f>
        <v>11.0366472208682</v>
      </c>
      <c r="J286" s="22">
        <f t="shared" si="8"/>
        <v>0.690852693075401</v>
      </c>
      <c r="K286" s="22">
        <v>14.2415861626372</v>
      </c>
      <c r="L286" s="22">
        <f>爬塔!Y69</f>
        <v>17.6309503993359</v>
      </c>
      <c r="M286" s="22">
        <f t="shared" si="9"/>
        <v>1.2379906421934</v>
      </c>
      <c r="N286" t="s">
        <v>6162</v>
      </c>
    </row>
    <row r="287" spans="1:14">
      <c r="A287" t="s">
        <v>59</v>
      </c>
      <c r="B287" t="s">
        <v>866</v>
      </c>
      <c r="C287">
        <v>181</v>
      </c>
      <c r="D287">
        <v>330</v>
      </c>
      <c r="E287">
        <f>爬塔!J70</f>
        <v>230</v>
      </c>
      <c r="F287" s="22">
        <f>爬塔!K70</f>
        <v>1.15595647386983</v>
      </c>
      <c r="G287" s="22">
        <f>爬塔!L70</f>
        <v>0.697843258119827</v>
      </c>
      <c r="H287" s="22">
        <v>14.0398000828953</v>
      </c>
      <c r="I287" s="22">
        <f>爬塔!X70</f>
        <v>9.73134511139591</v>
      </c>
      <c r="J287" s="22">
        <f t="shared" si="8"/>
        <v>0.693125618166858</v>
      </c>
      <c r="K287" s="22">
        <v>13.272955880196</v>
      </c>
      <c r="L287" s="22">
        <f>爬塔!Y70</f>
        <v>16.423283961016</v>
      </c>
      <c r="M287" s="22">
        <f t="shared" si="9"/>
        <v>1.23734939747072</v>
      </c>
      <c r="N287" t="s">
        <v>6162</v>
      </c>
    </row>
    <row r="288" spans="1:14">
      <c r="A288" t="s">
        <v>59</v>
      </c>
      <c r="B288" t="s">
        <v>868</v>
      </c>
      <c r="C288">
        <v>184</v>
      </c>
      <c r="D288">
        <v>332</v>
      </c>
      <c r="E288">
        <f>爬塔!J71</f>
        <v>232</v>
      </c>
      <c r="F288" s="22">
        <f>爬塔!K71</f>
        <v>1.14949497330677</v>
      </c>
      <c r="G288" s="22">
        <f>爬塔!L71</f>
        <v>0.69706434169526</v>
      </c>
      <c r="H288" s="22">
        <v>14.1581785821592</v>
      </c>
      <c r="I288" s="22">
        <f>爬塔!X71</f>
        <v>9.70265115380386</v>
      </c>
      <c r="J288" s="22">
        <f t="shared" si="8"/>
        <v>0.685303628393996</v>
      </c>
      <c r="K288" s="22">
        <v>13.2280032366914</v>
      </c>
      <c r="L288" s="22">
        <f>爬塔!Y71</f>
        <v>16.4784519199414</v>
      </c>
      <c r="M288" s="22">
        <f t="shared" si="9"/>
        <v>1.24572481765306</v>
      </c>
      <c r="N288" t="s">
        <v>6162</v>
      </c>
    </row>
    <row r="289" spans="1:14">
      <c r="A289" t="s">
        <v>59</v>
      </c>
      <c r="B289" t="s">
        <v>870</v>
      </c>
      <c r="C289">
        <v>187</v>
      </c>
      <c r="D289">
        <v>333</v>
      </c>
      <c r="E289">
        <f>爬塔!J72</f>
        <v>234</v>
      </c>
      <c r="F289" s="22">
        <f>爬塔!K72</f>
        <v>1.14787796748917</v>
      </c>
      <c r="G289" s="22">
        <f>爬塔!L72</f>
        <v>0.697471382218971</v>
      </c>
      <c r="H289" s="22">
        <v>15.0829160636756</v>
      </c>
      <c r="I289" s="22">
        <f>爬塔!X72</f>
        <v>10.3406851596388</v>
      </c>
      <c r="J289" s="22">
        <f t="shared" si="8"/>
        <v>0.68558925316454</v>
      </c>
      <c r="K289" s="22">
        <v>13.7521717543757</v>
      </c>
      <c r="L289" s="22">
        <f>爬塔!Y72</f>
        <v>17.114367234118</v>
      </c>
      <c r="M289" s="22">
        <f t="shared" si="9"/>
        <v>1.24448469229397</v>
      </c>
      <c r="N289" t="s">
        <v>6162</v>
      </c>
    </row>
    <row r="290" spans="1:14">
      <c r="A290" t="s">
        <v>59</v>
      </c>
      <c r="B290" t="s">
        <v>872</v>
      </c>
      <c r="C290">
        <v>190</v>
      </c>
      <c r="D290">
        <v>335</v>
      </c>
      <c r="E290">
        <f>爬塔!J73</f>
        <v>236</v>
      </c>
      <c r="F290" s="22">
        <f>爬塔!K73</f>
        <v>1.14266975016477</v>
      </c>
      <c r="G290" s="22">
        <f>爬塔!L73</f>
        <v>0.697193122902009</v>
      </c>
      <c r="H290" s="22">
        <v>15.2330077917342</v>
      </c>
      <c r="I290" s="22">
        <f>爬塔!X73</f>
        <v>10.3269992839145</v>
      </c>
      <c r="J290" s="22">
        <f t="shared" si="8"/>
        <v>0.677935666094661</v>
      </c>
      <c r="K290" s="22">
        <v>13.6909715824294</v>
      </c>
      <c r="L290" s="22">
        <f>爬塔!Y73</f>
        <v>17.1513043492812</v>
      </c>
      <c r="M290" s="22">
        <f t="shared" si="9"/>
        <v>1.25274559559328</v>
      </c>
      <c r="N290" t="s">
        <v>6162</v>
      </c>
    </row>
    <row r="291" spans="1:14">
      <c r="A291" t="s">
        <v>59</v>
      </c>
      <c r="B291" t="s">
        <v>874</v>
      </c>
      <c r="C291">
        <v>192</v>
      </c>
      <c r="D291">
        <v>337</v>
      </c>
      <c r="E291">
        <f>爬塔!J74</f>
        <v>238</v>
      </c>
      <c r="F291" s="22">
        <f>爬塔!K74</f>
        <v>1.1462474158732</v>
      </c>
      <c r="G291" s="22">
        <f>爬塔!L74</f>
        <v>0.699492820149818</v>
      </c>
      <c r="H291" s="22">
        <v>15.4510336794193</v>
      </c>
      <c r="I291" s="22">
        <f>爬塔!X74</f>
        <v>10.4932777027536</v>
      </c>
      <c r="J291" s="22">
        <f t="shared" si="8"/>
        <v>0.679131113197339</v>
      </c>
      <c r="K291" s="22">
        <v>13.587563110093</v>
      </c>
      <c r="L291" s="22">
        <f>爬塔!Y74</f>
        <v>17.0047061254489</v>
      </c>
      <c r="M291" s="22">
        <f t="shared" si="9"/>
        <v>1.25149049816134</v>
      </c>
      <c r="N291" t="s">
        <v>6162</v>
      </c>
    </row>
    <row r="292" spans="1:14">
      <c r="A292" t="s">
        <v>59</v>
      </c>
      <c r="B292" t="s">
        <v>876</v>
      </c>
      <c r="C292">
        <v>195</v>
      </c>
      <c r="D292">
        <v>337</v>
      </c>
      <c r="E292">
        <f>爬塔!J75</f>
        <v>240</v>
      </c>
      <c r="F292" s="22">
        <f>爬塔!K75</f>
        <v>1.14324732140584</v>
      </c>
      <c r="G292" s="22">
        <f>爬塔!L75</f>
        <v>0.70012828879628</v>
      </c>
      <c r="H292" s="22">
        <v>14.3213683654299</v>
      </c>
      <c r="I292" s="22">
        <f>爬塔!X75</f>
        <v>9.88226688505818</v>
      </c>
      <c r="J292" s="22">
        <f t="shared" si="8"/>
        <v>0.690036498810603</v>
      </c>
      <c r="K292" s="22">
        <v>13.2027845010083</v>
      </c>
      <c r="L292" s="22">
        <f>爬塔!Y75</f>
        <v>16.3844358443186</v>
      </c>
      <c r="M292" s="22">
        <f t="shared" si="9"/>
        <v>1.24098335794751</v>
      </c>
      <c r="N292" t="s">
        <v>6162</v>
      </c>
    </row>
    <row r="293" spans="1:14">
      <c r="A293" t="s">
        <v>59</v>
      </c>
      <c r="B293" t="s">
        <v>878</v>
      </c>
      <c r="C293">
        <v>198</v>
      </c>
      <c r="D293">
        <v>338</v>
      </c>
      <c r="E293">
        <f>爬塔!J76</f>
        <v>241</v>
      </c>
      <c r="F293" s="22">
        <f>爬塔!K76</f>
        <v>1.13993752989515</v>
      </c>
      <c r="G293" s="22">
        <f>爬塔!L76</f>
        <v>0.700309463287124</v>
      </c>
      <c r="H293" s="22">
        <v>14.3310859718605</v>
      </c>
      <c r="I293" s="22">
        <f>爬塔!X76</f>
        <v>9.77124547953413</v>
      </c>
      <c r="J293" s="22">
        <f t="shared" si="8"/>
        <v>0.681821705537198</v>
      </c>
      <c r="K293" s="22">
        <v>13.21288977485</v>
      </c>
      <c r="L293" s="22">
        <f>爬塔!Y76</f>
        <v>16.512374447814</v>
      </c>
      <c r="M293" s="22">
        <f t="shared" si="9"/>
        <v>1.24971711178915</v>
      </c>
      <c r="N293" t="s">
        <v>6162</v>
      </c>
    </row>
    <row r="294" spans="1:14">
      <c r="A294" t="s">
        <v>59</v>
      </c>
      <c r="B294" t="s">
        <v>880</v>
      </c>
      <c r="C294">
        <v>201</v>
      </c>
      <c r="D294">
        <v>340</v>
      </c>
      <c r="E294">
        <f>爬塔!J77</f>
        <v>243</v>
      </c>
      <c r="F294" s="22">
        <f>爬塔!K77</f>
        <v>1.14964544677452</v>
      </c>
      <c r="G294" s="22">
        <f>爬塔!L77</f>
        <v>0.705293928317151</v>
      </c>
      <c r="H294" s="22">
        <v>14.5046151971287</v>
      </c>
      <c r="I294" s="22">
        <f>爬塔!X77</f>
        <v>9.90659199829053</v>
      </c>
      <c r="J294" s="22">
        <f t="shared" si="8"/>
        <v>0.682995850882801</v>
      </c>
      <c r="K294" s="22">
        <v>13.132485305728</v>
      </c>
      <c r="L294" s="22">
        <f>爬塔!Y77</f>
        <v>16.3967328716451</v>
      </c>
      <c r="M294" s="22">
        <f t="shared" si="9"/>
        <v>1.24856281883622</v>
      </c>
      <c r="N294" t="s">
        <v>6162</v>
      </c>
    </row>
    <row r="295" spans="1:14">
      <c r="A295" t="s">
        <v>59</v>
      </c>
      <c r="B295" t="s">
        <v>882</v>
      </c>
      <c r="C295">
        <v>204</v>
      </c>
      <c r="D295">
        <v>341</v>
      </c>
      <c r="E295">
        <f>爬塔!J78</f>
        <v>245</v>
      </c>
      <c r="F295" s="22">
        <f>爬塔!K78</f>
        <v>1.14764130074927</v>
      </c>
      <c r="G295" s="22">
        <f>爬塔!L78</f>
        <v>0.706038369536886</v>
      </c>
      <c r="H295" s="22">
        <v>14.5305478979034</v>
      </c>
      <c r="I295" s="22">
        <f>爬塔!X78</f>
        <v>9.94118080071873</v>
      </c>
      <c r="J295" s="22">
        <f t="shared" si="8"/>
        <v>0.684157326383621</v>
      </c>
      <c r="K295" s="22">
        <v>13.1313420739</v>
      </c>
      <c r="L295" s="22">
        <f>爬塔!Y78</f>
        <v>16.3808941393841</v>
      </c>
      <c r="M295" s="22">
        <f t="shared" si="9"/>
        <v>1.24746534262808</v>
      </c>
      <c r="N295" t="s">
        <v>6162</v>
      </c>
    </row>
    <row r="296" spans="1:14">
      <c r="A296" t="s">
        <v>59</v>
      </c>
      <c r="B296" t="s">
        <v>884</v>
      </c>
      <c r="C296">
        <v>206</v>
      </c>
      <c r="D296">
        <v>342</v>
      </c>
      <c r="E296">
        <f>爬塔!J79</f>
        <v>247</v>
      </c>
      <c r="F296" s="22">
        <f>爬塔!K79</f>
        <v>1.14097617353198</v>
      </c>
      <c r="G296" s="22">
        <f>爬塔!L79</f>
        <v>0.704144894316975</v>
      </c>
      <c r="H296" s="22">
        <v>15.5904728499816</v>
      </c>
      <c r="I296" s="22">
        <f>爬塔!X79</f>
        <v>10.670341457098</v>
      </c>
      <c r="J296" s="22">
        <f t="shared" si="8"/>
        <v>0.684414229111121</v>
      </c>
      <c r="K296" s="22">
        <v>13.5852955776312</v>
      </c>
      <c r="L296" s="22">
        <f>爬塔!Y79</f>
        <v>16.9322868139394</v>
      </c>
      <c r="M296" s="22">
        <f t="shared" si="9"/>
        <v>1.24636867245047</v>
      </c>
      <c r="N296" t="s">
        <v>6162</v>
      </c>
    </row>
    <row r="297" spans="1:14">
      <c r="A297" t="s">
        <v>59</v>
      </c>
      <c r="B297" t="s">
        <v>886</v>
      </c>
      <c r="C297">
        <v>209</v>
      </c>
      <c r="D297">
        <v>343</v>
      </c>
      <c r="E297">
        <f>爬塔!J80</f>
        <v>248</v>
      </c>
      <c r="F297" s="22">
        <f>爬塔!K80</f>
        <v>1.15095555929854</v>
      </c>
      <c r="G297" s="22">
        <f>爬塔!L80</f>
        <v>0.709458960168145</v>
      </c>
      <c r="H297" s="22">
        <v>14.6425727461625</v>
      </c>
      <c r="I297" s="22">
        <f>爬塔!X80</f>
        <v>10.0427099653838</v>
      </c>
      <c r="J297" s="22">
        <f t="shared" si="8"/>
        <v>0.685856928251612</v>
      </c>
      <c r="K297" s="22">
        <v>13.0913498928848</v>
      </c>
      <c r="L297" s="22">
        <f>爬塔!Y80</f>
        <v>16.3092902474322</v>
      </c>
      <c r="M297" s="22">
        <f t="shared" si="9"/>
        <v>1.24580661130265</v>
      </c>
      <c r="N297" t="s">
        <v>6162</v>
      </c>
    </row>
    <row r="298" spans="1:14">
      <c r="A298" t="s">
        <v>59</v>
      </c>
      <c r="B298" t="s">
        <v>888</v>
      </c>
      <c r="C298">
        <v>212</v>
      </c>
      <c r="D298">
        <v>345</v>
      </c>
      <c r="E298">
        <f>爬塔!J81</f>
        <v>250</v>
      </c>
      <c r="F298" s="22">
        <f>爬塔!K81</f>
        <v>1.14598555798442</v>
      </c>
      <c r="G298" s="22">
        <f>爬塔!L81</f>
        <v>0.709106209627691</v>
      </c>
      <c r="H298" s="22">
        <v>14.8451488619067</v>
      </c>
      <c r="I298" s="22">
        <f>爬塔!X81</f>
        <v>10.0715497219829</v>
      </c>
      <c r="J298" s="22">
        <f t="shared" si="8"/>
        <v>0.678440466691911</v>
      </c>
      <c r="K298" s="22">
        <v>12.9949082451808</v>
      </c>
      <c r="L298" s="22">
        <f>爬塔!Y81</f>
        <v>16.2937745686602</v>
      </c>
      <c r="M298" s="22">
        <f t="shared" si="9"/>
        <v>1.2538583775459</v>
      </c>
      <c r="N298" t="s">
        <v>6162</v>
      </c>
    </row>
    <row r="299" spans="1:14">
      <c r="A299" t="s">
        <v>59</v>
      </c>
      <c r="B299" t="s">
        <v>890</v>
      </c>
      <c r="C299">
        <v>215</v>
      </c>
      <c r="D299">
        <v>346</v>
      </c>
      <c r="E299">
        <f>爬塔!J82</f>
        <v>252</v>
      </c>
      <c r="F299" s="22">
        <f>爬塔!K82</f>
        <v>1.1437216795143</v>
      </c>
      <c r="G299" s="22">
        <f>爬塔!L82</f>
        <v>0.709659582620248</v>
      </c>
      <c r="H299" s="22">
        <v>14.896725382814</v>
      </c>
      <c r="I299" s="22">
        <f>爬塔!X82</f>
        <v>10.123631803088</v>
      </c>
      <c r="J299" s="22">
        <f t="shared" si="8"/>
        <v>0.679587731057152</v>
      </c>
      <c r="K299" s="22">
        <v>12.9778383642628</v>
      </c>
      <c r="L299" s="22">
        <f>爬塔!Y82</f>
        <v>16.2576654362461</v>
      </c>
      <c r="M299" s="22">
        <f t="shared" si="9"/>
        <v>1.25272522125218</v>
      </c>
      <c r="N299" t="s">
        <v>6162</v>
      </c>
    </row>
    <row r="300" spans="1:14">
      <c r="A300" t="s">
        <v>59</v>
      </c>
      <c r="B300" t="s">
        <v>892</v>
      </c>
      <c r="C300">
        <v>218</v>
      </c>
      <c r="D300">
        <v>347</v>
      </c>
      <c r="E300">
        <f>爬塔!J83</f>
        <v>253</v>
      </c>
      <c r="F300" s="22">
        <f>爬塔!K83</f>
        <v>1.14195974820678</v>
      </c>
      <c r="G300" s="22">
        <f>爬塔!L83</f>
        <v>0.710411255433773</v>
      </c>
      <c r="H300" s="22">
        <v>14.9547661956361</v>
      </c>
      <c r="I300" s="22">
        <f>爬塔!X83</f>
        <v>10.0456986566508</v>
      </c>
      <c r="J300" s="22">
        <f t="shared" si="8"/>
        <v>0.671738930935758</v>
      </c>
      <c r="K300" s="22">
        <v>12.9571966672145</v>
      </c>
      <c r="L300" s="22">
        <f>爬塔!Y83</f>
        <v>16.3430602570064</v>
      </c>
      <c r="M300" s="22">
        <f t="shared" si="9"/>
        <v>1.26131142999157</v>
      </c>
      <c r="N300" t="s">
        <v>6162</v>
      </c>
    </row>
    <row r="301" spans="1:14">
      <c r="A301" t="s">
        <v>59</v>
      </c>
      <c r="B301" t="s">
        <v>894</v>
      </c>
      <c r="C301">
        <v>221</v>
      </c>
      <c r="D301">
        <v>349</v>
      </c>
      <c r="E301">
        <f>爬塔!J84</f>
        <v>255</v>
      </c>
      <c r="F301" s="22">
        <f>爬塔!K84</f>
        <v>1.13937586492706</v>
      </c>
      <c r="G301" s="22">
        <f>爬塔!L84</f>
        <v>0.71033240309006</v>
      </c>
      <c r="H301" s="22">
        <v>17.2365237737221</v>
      </c>
      <c r="I301" s="22">
        <f>爬塔!X84</f>
        <v>11.4264120796314</v>
      </c>
      <c r="J301" s="22">
        <f t="shared" si="8"/>
        <v>0.662918592497839</v>
      </c>
      <c r="K301" s="22">
        <v>13.8390862540158</v>
      </c>
      <c r="L301" s="22">
        <f>爬塔!Y84</f>
        <v>17.5664835505845</v>
      </c>
      <c r="M301" s="22">
        <f t="shared" si="9"/>
        <v>1.26933839620279</v>
      </c>
      <c r="N301" t="s">
        <v>6162</v>
      </c>
    </row>
    <row r="302" spans="1:14">
      <c r="A302" t="s">
        <v>59</v>
      </c>
      <c r="B302" t="s">
        <v>896</v>
      </c>
      <c r="C302">
        <v>224</v>
      </c>
      <c r="D302">
        <v>350</v>
      </c>
      <c r="E302">
        <f>爬塔!J85</f>
        <v>256</v>
      </c>
      <c r="F302" s="22">
        <f>爬塔!K85</f>
        <v>1.13516903460059</v>
      </c>
      <c r="G302" s="22">
        <f>爬塔!L85</f>
        <v>0.71068884462461</v>
      </c>
      <c r="H302" s="22">
        <v>15.248252155429</v>
      </c>
      <c r="I302" s="22">
        <f>爬塔!X85</f>
        <v>10.0190384675833</v>
      </c>
      <c r="J302" s="22">
        <f t="shared" si="8"/>
        <v>0.65706143664578</v>
      </c>
      <c r="K302" s="22">
        <v>12.8233257025316</v>
      </c>
      <c r="L302" s="22">
        <f>爬塔!Y85</f>
        <v>16.3871513179355</v>
      </c>
      <c r="M302" s="22">
        <f t="shared" si="9"/>
        <v>1.27791742158591</v>
      </c>
      <c r="N302" t="s">
        <v>6162</v>
      </c>
    </row>
    <row r="303" spans="1:14">
      <c r="A303" t="s">
        <v>59</v>
      </c>
      <c r="B303" t="s">
        <v>898</v>
      </c>
      <c r="C303">
        <v>226</v>
      </c>
      <c r="D303">
        <v>351</v>
      </c>
      <c r="E303">
        <f>爬塔!J86</f>
        <v>258</v>
      </c>
      <c r="F303" s="22">
        <f>爬塔!K86</f>
        <v>1.14237690480097</v>
      </c>
      <c r="G303" s="22">
        <f>爬塔!L86</f>
        <v>0.714261041697692</v>
      </c>
      <c r="H303" s="22">
        <v>15.3518532288982</v>
      </c>
      <c r="I303" s="22">
        <f>爬塔!X86</f>
        <v>10.2298564390103</v>
      </c>
      <c r="J303" s="22">
        <f t="shared" si="8"/>
        <v>0.666359708269862</v>
      </c>
      <c r="K303" s="22">
        <v>12.7760115620436</v>
      </c>
      <c r="L303" s="22">
        <f>爬塔!Y86</f>
        <v>16.1942174389692</v>
      </c>
      <c r="M303" s="22">
        <f t="shared" si="9"/>
        <v>1.26754874636157</v>
      </c>
      <c r="N303" t="s">
        <v>6162</v>
      </c>
    </row>
    <row r="304" spans="1:14">
      <c r="A304" t="s">
        <v>59</v>
      </c>
      <c r="B304" t="s">
        <v>900</v>
      </c>
      <c r="C304">
        <v>229</v>
      </c>
      <c r="D304">
        <v>352</v>
      </c>
      <c r="E304">
        <f>爬塔!J87</f>
        <v>259</v>
      </c>
      <c r="F304" s="22">
        <f>爬塔!K87</f>
        <v>1.14045558732606</v>
      </c>
      <c r="G304" s="22">
        <f>爬塔!L87</f>
        <v>0.71487507616831</v>
      </c>
      <c r="H304" s="22">
        <v>15.4305238517259</v>
      </c>
      <c r="I304" s="22">
        <f>爬塔!X87</f>
        <v>10.1660370428796</v>
      </c>
      <c r="J304" s="22">
        <f t="shared" si="8"/>
        <v>0.658826436520656</v>
      </c>
      <c r="K304" s="22">
        <v>12.7441100768402</v>
      </c>
      <c r="L304" s="22">
        <f>爬塔!Y87</f>
        <v>16.2637966145646</v>
      </c>
      <c r="M304" s="22">
        <f t="shared" si="9"/>
        <v>1.27618142942132</v>
      </c>
      <c r="N304" t="s">
        <v>6162</v>
      </c>
    </row>
    <row r="305" spans="1:14">
      <c r="A305" t="s">
        <v>59</v>
      </c>
      <c r="B305" t="s">
        <v>902</v>
      </c>
      <c r="C305">
        <v>232</v>
      </c>
      <c r="D305">
        <v>353</v>
      </c>
      <c r="E305">
        <f>爬塔!J88</f>
        <v>260</v>
      </c>
      <c r="F305" s="22">
        <f>爬塔!K88</f>
        <v>1.13893438601641</v>
      </c>
      <c r="G305" s="22">
        <f>爬塔!L88</f>
        <v>0.715653212565403</v>
      </c>
      <c r="H305" s="22">
        <v>15.5143608478952</v>
      </c>
      <c r="I305" s="22">
        <f>爬塔!X88</f>
        <v>10.1061083407288</v>
      </c>
      <c r="J305" s="22">
        <f t="shared" si="8"/>
        <v>0.651403460304319</v>
      </c>
      <c r="K305" s="22">
        <v>12.70936122918</v>
      </c>
      <c r="L305" s="22">
        <f>爬塔!Y88</f>
        <v>16.3280583519833</v>
      </c>
      <c r="M305" s="22">
        <f t="shared" si="9"/>
        <v>1.28472690779258</v>
      </c>
      <c r="N305" t="s">
        <v>6162</v>
      </c>
    </row>
    <row r="306" spans="1:14">
      <c r="A306" t="s">
        <v>59</v>
      </c>
      <c r="B306" t="s">
        <v>904</v>
      </c>
      <c r="C306">
        <v>235</v>
      </c>
      <c r="D306">
        <v>354</v>
      </c>
      <c r="E306">
        <f>爬塔!J89</f>
        <v>262</v>
      </c>
      <c r="F306" s="22">
        <f>爬塔!K89</f>
        <v>1.13820387945508</v>
      </c>
      <c r="G306" s="22">
        <f>爬塔!L89</f>
        <v>0.716472850179096</v>
      </c>
      <c r="H306" s="22">
        <v>16.6638130849247</v>
      </c>
      <c r="I306" s="22">
        <f>爬塔!X89</f>
        <v>10.8590745539877</v>
      </c>
      <c r="J306" s="22">
        <f t="shared" si="8"/>
        <v>0.651656046467035</v>
      </c>
      <c r="K306" s="22">
        <v>13.1413816609685</v>
      </c>
      <c r="L306" s="22">
        <f>爬塔!Y89</f>
        <v>16.8674350630957</v>
      </c>
      <c r="M306" s="22">
        <f t="shared" si="9"/>
        <v>1.28353589434161</v>
      </c>
      <c r="N306" t="s">
        <v>6162</v>
      </c>
    </row>
    <row r="307" spans="1:14">
      <c r="A307" t="s">
        <v>59</v>
      </c>
      <c r="B307" t="s">
        <v>906</v>
      </c>
      <c r="C307">
        <v>238</v>
      </c>
      <c r="D307">
        <v>355</v>
      </c>
      <c r="E307">
        <f>爬塔!J90</f>
        <v>263</v>
      </c>
      <c r="F307" s="22">
        <f>爬塔!K90</f>
        <v>1.13539899541223</v>
      </c>
      <c r="G307" s="22">
        <f>爬塔!L90</f>
        <v>0.71695098708435</v>
      </c>
      <c r="H307" s="22">
        <v>15.696256205023</v>
      </c>
      <c r="I307" s="22">
        <f>爬塔!X90</f>
        <v>10.1286706008907</v>
      </c>
      <c r="J307" s="22">
        <f t="shared" si="8"/>
        <v>0.645292130084459</v>
      </c>
      <c r="K307" s="22">
        <v>12.63242163941</v>
      </c>
      <c r="L307" s="22">
        <f>爬塔!Y90</f>
        <v>16.322480082425</v>
      </c>
      <c r="M307" s="22">
        <f t="shared" si="9"/>
        <v>1.29211013915994</v>
      </c>
      <c r="N307" t="s">
        <v>6162</v>
      </c>
    </row>
    <row r="308" spans="1:14">
      <c r="A308" t="s">
        <v>59</v>
      </c>
      <c r="B308" t="s">
        <v>908</v>
      </c>
      <c r="C308">
        <v>241</v>
      </c>
      <c r="D308">
        <v>356</v>
      </c>
      <c r="E308">
        <f>爬塔!J91</f>
        <v>264</v>
      </c>
      <c r="F308" s="22">
        <f>爬塔!K91</f>
        <v>1.13360094353639</v>
      </c>
      <c r="G308" s="22">
        <f>爬塔!L91</f>
        <v>0.717577777705241</v>
      </c>
      <c r="H308" s="22">
        <v>15.7940183137118</v>
      </c>
      <c r="I308" s="22">
        <f>爬塔!X91</f>
        <v>10.0788601718692</v>
      </c>
      <c r="J308" s="22">
        <f t="shared" si="8"/>
        <v>0.638144136069482</v>
      </c>
      <c r="K308" s="22">
        <v>12.5905278622781</v>
      </c>
      <c r="L308" s="22">
        <f>爬塔!Y91</f>
        <v>16.3760302690652</v>
      </c>
      <c r="M308" s="22">
        <f t="shared" si="9"/>
        <v>1.30066272424754</v>
      </c>
      <c r="N308" t="s">
        <v>6162</v>
      </c>
    </row>
    <row r="309" spans="1:14">
      <c r="A309" t="s">
        <v>59</v>
      </c>
      <c r="B309" t="s">
        <v>910</v>
      </c>
      <c r="C309">
        <v>244</v>
      </c>
      <c r="D309">
        <v>357</v>
      </c>
      <c r="E309">
        <f>爬塔!J92</f>
        <v>265</v>
      </c>
      <c r="F309" s="22">
        <f>爬塔!K92</f>
        <v>1.13213506165938</v>
      </c>
      <c r="G309" s="22">
        <f>爬塔!L92</f>
        <v>0.71829746259604</v>
      </c>
      <c r="H309" s="22">
        <v>15.8959461779857</v>
      </c>
      <c r="I309" s="22">
        <f>爬塔!X92</f>
        <v>10.0322741024051</v>
      </c>
      <c r="J309" s="22">
        <f t="shared" si="8"/>
        <v>0.63112154445382</v>
      </c>
      <c r="K309" s="22">
        <v>12.5467156873839</v>
      </c>
      <c r="L309" s="22">
        <f>爬塔!Y92</f>
        <v>16.4268522324806</v>
      </c>
      <c r="M309" s="22">
        <f t="shared" si="9"/>
        <v>1.30925515822426</v>
      </c>
      <c r="N309" t="s">
        <v>6162</v>
      </c>
    </row>
    <row r="310" spans="1:14">
      <c r="A310" t="s">
        <v>59</v>
      </c>
      <c r="B310" t="s">
        <v>912</v>
      </c>
      <c r="C310">
        <v>247</v>
      </c>
      <c r="D310">
        <v>358</v>
      </c>
      <c r="E310">
        <f>爬塔!J93</f>
        <v>267</v>
      </c>
      <c r="F310" s="22">
        <f>爬塔!K93</f>
        <v>1.13094203277441</v>
      </c>
      <c r="G310" s="22">
        <f>爬塔!L93</f>
        <v>0.71917640662023</v>
      </c>
      <c r="H310" s="22">
        <v>16.0019001359812</v>
      </c>
      <c r="I310" s="22">
        <f>爬塔!X93</f>
        <v>10.1180743916036</v>
      </c>
      <c r="J310" s="22">
        <f t="shared" si="8"/>
        <v>0.632304557935122</v>
      </c>
      <c r="K310" s="22">
        <v>12.5010801325424</v>
      </c>
      <c r="L310" s="22">
        <f>爬塔!Y93</f>
        <v>16.3511829392918</v>
      </c>
      <c r="M310" s="22">
        <f t="shared" si="9"/>
        <v>1.30798161166306</v>
      </c>
      <c r="N310" t="s">
        <v>6162</v>
      </c>
    </row>
    <row r="311" spans="1:14">
      <c r="A311" t="s">
        <v>59</v>
      </c>
      <c r="B311" t="s">
        <v>914</v>
      </c>
      <c r="C311">
        <v>250</v>
      </c>
      <c r="D311">
        <v>360</v>
      </c>
      <c r="E311">
        <f>爬塔!J94</f>
        <v>268</v>
      </c>
      <c r="F311" s="22">
        <f>爬塔!K94</f>
        <v>1.14213632106616</v>
      </c>
      <c r="G311" s="22">
        <f>爬塔!L94</f>
        <v>0.724654744929893</v>
      </c>
      <c r="H311" s="22">
        <v>17.3904970127524</v>
      </c>
      <c r="I311" s="22">
        <f>爬塔!X94</f>
        <v>10.8594371050346</v>
      </c>
      <c r="J311" s="22">
        <f t="shared" si="8"/>
        <v>0.624446621454888</v>
      </c>
      <c r="K311" s="22">
        <v>12.8329979107253</v>
      </c>
      <c r="L311" s="22">
        <f>爬塔!Y94</f>
        <v>16.895295753522</v>
      </c>
      <c r="M311" s="22">
        <f t="shared" si="9"/>
        <v>1.31655096268672</v>
      </c>
      <c r="N311" t="s">
        <v>6162</v>
      </c>
    </row>
    <row r="312" spans="1:14">
      <c r="A312" t="s">
        <v>59</v>
      </c>
      <c r="B312" t="s">
        <v>916</v>
      </c>
      <c r="C312">
        <v>253</v>
      </c>
      <c r="D312">
        <v>361</v>
      </c>
      <c r="E312">
        <f>爬塔!J95</f>
        <v>269</v>
      </c>
      <c r="F312" s="22">
        <f>爬塔!K95</f>
        <v>1.14001916461421</v>
      </c>
      <c r="G312" s="22">
        <f>爬塔!L95</f>
        <v>0.725287655304084</v>
      </c>
      <c r="H312" s="22">
        <v>16.394899955779</v>
      </c>
      <c r="I312" s="22">
        <f>爬塔!X95</f>
        <v>10.1421679799433</v>
      </c>
      <c r="J312" s="22">
        <f t="shared" si="8"/>
        <v>0.618617253371426</v>
      </c>
      <c r="K312" s="22">
        <v>12.3260228765528</v>
      </c>
      <c r="L312" s="22">
        <f>爬塔!Y95</f>
        <v>16.3343241138849</v>
      </c>
      <c r="M312" s="22">
        <f t="shared" si="9"/>
        <v>1.32519015074659</v>
      </c>
      <c r="N312" t="s">
        <v>6162</v>
      </c>
    </row>
    <row r="313" spans="1:14">
      <c r="A313" t="s">
        <v>59</v>
      </c>
      <c r="B313" t="s">
        <v>918</v>
      </c>
      <c r="C313">
        <v>255</v>
      </c>
      <c r="D313">
        <v>361</v>
      </c>
      <c r="E313">
        <f>爬塔!J96</f>
        <v>270</v>
      </c>
      <c r="F313" s="22">
        <f>爬塔!K96</f>
        <v>1.13567320674374</v>
      </c>
      <c r="G313" s="22">
        <f>爬塔!L96</f>
        <v>0.724379195372715</v>
      </c>
      <c r="H313" s="22">
        <v>16.3599227854928</v>
      </c>
      <c r="I313" s="22">
        <f>爬塔!X96</f>
        <v>10.1302375334849</v>
      </c>
      <c r="J313" s="22">
        <f t="shared" si="8"/>
        <v>0.619210595692292</v>
      </c>
      <c r="K313" s="22">
        <v>12.3450809676718</v>
      </c>
      <c r="L313" s="22">
        <f>爬塔!Y96</f>
        <v>16.3511096147507</v>
      </c>
      <c r="M313" s="22">
        <f t="shared" si="9"/>
        <v>1.32450403991432</v>
      </c>
      <c r="N313" t="s">
        <v>6162</v>
      </c>
    </row>
    <row r="314" spans="1:14">
      <c r="A314" t="s">
        <v>59</v>
      </c>
      <c r="B314" t="s">
        <v>920</v>
      </c>
      <c r="C314">
        <v>258</v>
      </c>
      <c r="D314">
        <v>363</v>
      </c>
      <c r="E314">
        <f>爬塔!J97</f>
        <v>272</v>
      </c>
      <c r="F314" s="22">
        <f>爬塔!K97</f>
        <v>1.13279943448746</v>
      </c>
      <c r="G314" s="22">
        <f>爬塔!L97</f>
        <v>0.724781133547875</v>
      </c>
      <c r="H314" s="22">
        <v>16.6513582107128</v>
      </c>
      <c r="I314" s="22">
        <f>爬塔!X97</f>
        <v>10.2094542522233</v>
      </c>
      <c r="J314" s="22">
        <f t="shared" si="8"/>
        <v>0.613130419935052</v>
      </c>
      <c r="K314" s="22">
        <v>12.2156913497481</v>
      </c>
      <c r="L314" s="22">
        <f>爬塔!Y97</f>
        <v>16.2764231801045</v>
      </c>
      <c r="M314" s="22">
        <f t="shared" si="9"/>
        <v>1.33241932151799</v>
      </c>
      <c r="N314" t="s">
        <v>6162</v>
      </c>
    </row>
    <row r="315" spans="1:14">
      <c r="A315" t="s">
        <v>59</v>
      </c>
      <c r="B315" t="s">
        <v>922</v>
      </c>
      <c r="C315">
        <v>261</v>
      </c>
      <c r="D315">
        <v>364</v>
      </c>
      <c r="E315">
        <f>爬塔!J98</f>
        <v>273</v>
      </c>
      <c r="F315" s="22">
        <f>爬塔!K98</f>
        <v>1.13182226884233</v>
      </c>
      <c r="G315" s="22">
        <f>爬塔!L98</f>
        <v>0.725696694868182</v>
      </c>
      <c r="H315" s="22">
        <v>16.7758367460593</v>
      </c>
      <c r="I315" s="22">
        <f>爬塔!X98</f>
        <v>10.1757908694178</v>
      </c>
      <c r="J315" s="22">
        <f t="shared" si="8"/>
        <v>0.60657426651509</v>
      </c>
      <c r="K315" s="22">
        <v>12.1634491566443</v>
      </c>
      <c r="L315" s="22">
        <f>爬塔!Y98</f>
        <v>16.3112648137538</v>
      </c>
      <c r="M315" s="22">
        <f t="shared" si="9"/>
        <v>1.34100653553879</v>
      </c>
      <c r="N315" t="s">
        <v>6162</v>
      </c>
    </row>
    <row r="316" spans="1:14">
      <c r="A316" t="s">
        <v>59</v>
      </c>
      <c r="B316" t="s">
        <v>924</v>
      </c>
      <c r="C316">
        <v>264</v>
      </c>
      <c r="D316">
        <v>365</v>
      </c>
      <c r="E316">
        <f>爬塔!J99</f>
        <v>274</v>
      </c>
      <c r="F316" s="22">
        <f>爬塔!K99</f>
        <v>1.13108015591293</v>
      </c>
      <c r="G316" s="22">
        <f>爬塔!L99</f>
        <v>0.726679309784578</v>
      </c>
      <c r="H316" s="22">
        <v>16.9039371980181</v>
      </c>
      <c r="I316" s="22">
        <f>爬塔!X99</f>
        <v>10.144406748237</v>
      </c>
      <c r="J316" s="22">
        <f t="shared" si="8"/>
        <v>0.600120943979035</v>
      </c>
      <c r="K316" s="22">
        <v>12.1104008030566</v>
      </c>
      <c r="L316" s="22">
        <f>爬塔!Y99</f>
        <v>16.344767135806</v>
      </c>
      <c r="M316" s="22">
        <f t="shared" si="9"/>
        <v>1.34964708448631</v>
      </c>
      <c r="N316" t="s">
        <v>6162</v>
      </c>
    </row>
    <row r="317" spans="1:14">
      <c r="A317" t="s">
        <v>59</v>
      </c>
      <c r="B317" t="s">
        <v>926</v>
      </c>
      <c r="C317">
        <v>267</v>
      </c>
      <c r="D317">
        <v>366</v>
      </c>
      <c r="E317">
        <f>爬塔!J100</f>
        <v>275</v>
      </c>
      <c r="F317" s="22">
        <f>爬塔!K100</f>
        <v>1.12992115373711</v>
      </c>
      <c r="G317" s="22">
        <f>爬塔!L100</f>
        <v>0.727469632812953</v>
      </c>
      <c r="H317" s="22">
        <v>17.0353070858243</v>
      </c>
      <c r="I317" s="22">
        <f>爬塔!X100</f>
        <v>10.115158031245</v>
      </c>
      <c r="J317" s="22">
        <f t="shared" si="8"/>
        <v>0.593776089875255</v>
      </c>
      <c r="K317" s="22">
        <v>12.0559462647561</v>
      </c>
      <c r="L317" s="22">
        <f>爬塔!Y100</f>
        <v>16.3757737431693</v>
      </c>
      <c r="M317" s="22">
        <f t="shared" si="9"/>
        <v>1.35831509062392</v>
      </c>
      <c r="N317" t="s">
        <v>6162</v>
      </c>
    </row>
    <row r="318" spans="1:14">
      <c r="A318" t="s">
        <v>59</v>
      </c>
      <c r="B318" t="s">
        <v>928</v>
      </c>
      <c r="C318">
        <v>270</v>
      </c>
      <c r="D318">
        <v>367</v>
      </c>
      <c r="E318">
        <f>爬塔!J101</f>
        <v>276</v>
      </c>
      <c r="F318" s="22">
        <f>爬塔!K101</f>
        <v>1.12883809996263</v>
      </c>
      <c r="G318" s="22">
        <f>爬塔!L101</f>
        <v>0.728293310358997</v>
      </c>
      <c r="H318" s="22">
        <v>17.1699288016811</v>
      </c>
      <c r="I318" s="22">
        <f>爬塔!X101</f>
        <v>10.0879200618806</v>
      </c>
      <c r="J318" s="22">
        <f t="shared" si="8"/>
        <v>0.587534181323624</v>
      </c>
      <c r="K318" s="22">
        <v>12.0007271520746</v>
      </c>
      <c r="L318" s="22">
        <f>爬塔!Y101</f>
        <v>16.4039883728109</v>
      </c>
      <c r="M318" s="22">
        <f t="shared" si="9"/>
        <v>1.36691620140493</v>
      </c>
      <c r="N318" t="s">
        <v>6162</v>
      </c>
    </row>
    <row r="319" spans="1:14">
      <c r="A319" t="s">
        <v>59</v>
      </c>
      <c r="B319" t="s">
        <v>930</v>
      </c>
      <c r="C319">
        <v>273</v>
      </c>
      <c r="D319">
        <v>368</v>
      </c>
      <c r="E319">
        <f>爬塔!J102</f>
        <v>278</v>
      </c>
      <c r="F319" s="22">
        <f>爬塔!K102</f>
        <v>1.12795418016849</v>
      </c>
      <c r="G319" s="22">
        <f>爬塔!L102</f>
        <v>0.729223983469108</v>
      </c>
      <c r="H319" s="22">
        <v>17.3078543297165</v>
      </c>
      <c r="I319" s="22">
        <f>爬塔!X102</f>
        <v>10.1898231512443</v>
      </c>
      <c r="J319" s="22">
        <f t="shared" si="8"/>
        <v>0.5887398262735</v>
      </c>
      <c r="K319" s="22">
        <v>11.9443442067692</v>
      </c>
      <c r="L319" s="22">
        <f>爬塔!Y102</f>
        <v>16.3096575798843</v>
      </c>
      <c r="M319" s="22">
        <f t="shared" si="9"/>
        <v>1.36547116338469</v>
      </c>
      <c r="N319" t="s">
        <v>6162</v>
      </c>
    </row>
    <row r="320" spans="1:14">
      <c r="A320" t="s">
        <v>59</v>
      </c>
      <c r="B320" t="s">
        <v>932</v>
      </c>
      <c r="C320">
        <v>276</v>
      </c>
      <c r="D320">
        <v>370</v>
      </c>
      <c r="E320">
        <f>爬塔!J103</f>
        <v>279</v>
      </c>
      <c r="F320" s="22">
        <f>爬塔!K103</f>
        <v>1.12582067235919</v>
      </c>
      <c r="G320" s="22">
        <f>爬塔!L103</f>
        <v>0.729834891319568</v>
      </c>
      <c r="H320" s="22">
        <v>17.6278907396156</v>
      </c>
      <c r="I320" s="22">
        <f>爬塔!X103</f>
        <v>10.1528097107269</v>
      </c>
      <c r="J320" s="22">
        <f t="shared" si="8"/>
        <v>0.575951477161713</v>
      </c>
      <c r="K320" s="22">
        <v>11.8122933421313</v>
      </c>
      <c r="L320" s="22">
        <f>爬塔!Y103</f>
        <v>16.3424134013775</v>
      </c>
      <c r="M320" s="22">
        <f t="shared" si="9"/>
        <v>1.38350893666757</v>
      </c>
      <c r="N320" t="s">
        <v>6162</v>
      </c>
    </row>
    <row r="321" spans="1:14">
      <c r="A321" t="s">
        <v>59</v>
      </c>
      <c r="B321" t="s">
        <v>934</v>
      </c>
      <c r="C321">
        <v>279</v>
      </c>
      <c r="D321">
        <v>370</v>
      </c>
      <c r="E321">
        <f>爬塔!J104</f>
        <v>280</v>
      </c>
      <c r="F321" s="22">
        <f>爬塔!K104</f>
        <v>1.12671592412141</v>
      </c>
      <c r="G321" s="22">
        <f>爬塔!L104</f>
        <v>0.731229508674054</v>
      </c>
      <c r="H321" s="22">
        <v>17.5923625077898</v>
      </c>
      <c r="I321" s="22">
        <f>爬塔!X104</f>
        <v>10.1430142197331</v>
      </c>
      <c r="J321" s="22">
        <f t="shared" si="8"/>
        <v>0.576557822477897</v>
      </c>
      <c r="K321" s="22">
        <v>11.8297257736823</v>
      </c>
      <c r="L321" s="22">
        <f>爬塔!Y104</f>
        <v>16.3577145901043</v>
      </c>
      <c r="M321" s="22">
        <f t="shared" si="9"/>
        <v>1.38276363316008</v>
      </c>
      <c r="N321" t="s">
        <v>6162</v>
      </c>
    </row>
    <row r="322" spans="1:14">
      <c r="A322" t="s">
        <v>5549</v>
      </c>
      <c r="B322" t="s">
        <v>573</v>
      </c>
      <c r="C322">
        <v>16</v>
      </c>
      <c r="D322">
        <v>22</v>
      </c>
      <c r="E322">
        <v>20</v>
      </c>
      <c r="F322" s="22">
        <f>舱室材料!K5</f>
        <v>1.08830187415834</v>
      </c>
      <c r="G322" s="22">
        <f>舱室材料!L5</f>
        <v>0.874592828608589</v>
      </c>
      <c r="H322" s="22">
        <v>0.274567673786944</v>
      </c>
      <c r="I322" s="22">
        <f>舱室材料!X5</f>
        <v>0.274567673786944</v>
      </c>
      <c r="J322" s="22">
        <f t="shared" ref="J322:J385" si="10">I322/H322</f>
        <v>1</v>
      </c>
      <c r="K322" s="22">
        <v>51.6446316631681</v>
      </c>
      <c r="L322" s="22">
        <f>舱室材料!Y5</f>
        <v>51.6446316631681</v>
      </c>
      <c r="M322" s="22">
        <f t="shared" ref="M322:M385" si="11">L322/K322</f>
        <v>0.999999999999999</v>
      </c>
      <c r="N322" t="s">
        <v>6162</v>
      </c>
    </row>
    <row r="323" spans="1:14">
      <c r="A323" t="s">
        <v>5549</v>
      </c>
      <c r="B323" t="s">
        <v>576</v>
      </c>
      <c r="C323">
        <v>20</v>
      </c>
      <c r="D323">
        <v>26</v>
      </c>
      <c r="E323">
        <v>24</v>
      </c>
      <c r="F323" s="22">
        <f>舱室材料!K6</f>
        <v>1.07226447081797</v>
      </c>
      <c r="G323" s="22">
        <f>舱室材料!L6</f>
        <v>0.877882152006833</v>
      </c>
      <c r="H323" s="22">
        <v>0.242559115520248</v>
      </c>
      <c r="I323" s="22">
        <f>舱室材料!X6</f>
        <v>0.242559115520247</v>
      </c>
      <c r="J323" s="22">
        <f t="shared" si="10"/>
        <v>0.999999999999996</v>
      </c>
      <c r="K323" s="22">
        <v>57.0614018696354</v>
      </c>
      <c r="L323" s="22">
        <f>舱室材料!Y6</f>
        <v>57.0614018696353</v>
      </c>
      <c r="M323" s="22">
        <f t="shared" si="11"/>
        <v>0.999999999999999</v>
      </c>
      <c r="N323" t="s">
        <v>6162</v>
      </c>
    </row>
    <row r="324" spans="1:14">
      <c r="A324" t="s">
        <v>5549</v>
      </c>
      <c r="B324" t="s">
        <v>579</v>
      </c>
      <c r="C324">
        <v>33</v>
      </c>
      <c r="D324">
        <v>39</v>
      </c>
      <c r="E324">
        <v>31</v>
      </c>
      <c r="F324" s="22">
        <f>舱室材料!K7</f>
        <v>1.0413925891834</v>
      </c>
      <c r="G324" s="22">
        <f>舱室材料!L7</f>
        <v>0.885474371240769</v>
      </c>
      <c r="H324" s="22">
        <v>0.150228246578205</v>
      </c>
      <c r="I324" s="22">
        <f>舱室材料!X7</f>
        <v>0.150228246578205</v>
      </c>
      <c r="J324" s="22">
        <f t="shared" si="10"/>
        <v>1</v>
      </c>
      <c r="K324" s="22">
        <v>85.3396123163832</v>
      </c>
      <c r="L324" s="22">
        <f>舱室材料!Y7</f>
        <v>85.3396123163831</v>
      </c>
      <c r="M324" s="22">
        <f t="shared" si="11"/>
        <v>0.999999999999999</v>
      </c>
      <c r="N324" t="s">
        <v>6162</v>
      </c>
    </row>
    <row r="325" spans="1:14">
      <c r="A325" t="s">
        <v>5549</v>
      </c>
      <c r="B325" t="s">
        <v>582</v>
      </c>
      <c r="C325">
        <v>48</v>
      </c>
      <c r="D325">
        <v>49</v>
      </c>
      <c r="E325">
        <v>34</v>
      </c>
      <c r="F325" s="22">
        <f>舱室材料!K8</f>
        <v>1.03103111729802</v>
      </c>
      <c r="G325" s="22">
        <f>舱室材料!L8</f>
        <v>0.885754757003408</v>
      </c>
      <c r="H325" s="22">
        <v>0.0804460801256086</v>
      </c>
      <c r="I325" s="22">
        <f>舱室材料!X8</f>
        <v>0.0804460801256087</v>
      </c>
      <c r="J325" s="22">
        <f t="shared" si="10"/>
        <v>1</v>
      </c>
      <c r="K325" s="22">
        <v>141.396511460388</v>
      </c>
      <c r="L325" s="22">
        <f>舱室材料!Y8</f>
        <v>141.396511460388</v>
      </c>
      <c r="M325" s="22">
        <f t="shared" si="11"/>
        <v>1</v>
      </c>
      <c r="N325" t="s">
        <v>6162</v>
      </c>
    </row>
    <row r="326" spans="1:14">
      <c r="A326" t="s">
        <v>5549</v>
      </c>
      <c r="B326" t="s">
        <v>585</v>
      </c>
      <c r="C326">
        <v>64</v>
      </c>
      <c r="D326">
        <v>61</v>
      </c>
      <c r="E326">
        <v>42</v>
      </c>
      <c r="F326" s="22">
        <f>舱室材料!K9</f>
        <v>1.05578471016559</v>
      </c>
      <c r="G326" s="22">
        <f>舱室材料!L9</f>
        <v>0.933132403197277</v>
      </c>
      <c r="H326" s="22">
        <v>0.0630600139995946</v>
      </c>
      <c r="I326" s="22">
        <f>舱室材料!X9</f>
        <v>0.0630600139995946</v>
      </c>
      <c r="J326" s="22">
        <f t="shared" si="10"/>
        <v>1</v>
      </c>
      <c r="K326" s="22">
        <v>171.463770977079</v>
      </c>
      <c r="L326" s="22">
        <f>舱室材料!Y9</f>
        <v>171.463770977079</v>
      </c>
      <c r="M326" s="22">
        <f t="shared" si="11"/>
        <v>1</v>
      </c>
      <c r="N326" t="s">
        <v>6162</v>
      </c>
    </row>
    <row r="327" spans="1:14">
      <c r="A327" t="s">
        <v>5561</v>
      </c>
      <c r="B327" t="s">
        <v>5562</v>
      </c>
      <c r="C327">
        <v>14</v>
      </c>
      <c r="D327">
        <v>27</v>
      </c>
      <c r="E327">
        <v>24</v>
      </c>
      <c r="F327" s="22">
        <f>无限之旅!K5</f>
        <v>1.45043273765705</v>
      </c>
      <c r="G327" s="22">
        <f>无限之旅!L5</f>
        <v>0.747222222222222</v>
      </c>
      <c r="H327" s="22">
        <v>43.4038307304983</v>
      </c>
      <c r="I327" s="22">
        <f>无限之旅!X5</f>
        <v>43.4038307304984</v>
      </c>
      <c r="J327" s="22">
        <f t="shared" si="10"/>
        <v>1</v>
      </c>
      <c r="K327" s="22">
        <v>35.5887438385536</v>
      </c>
      <c r="L327" s="22">
        <f>无限之旅!Y5</f>
        <v>35.5887438385536</v>
      </c>
      <c r="M327" s="22">
        <f t="shared" si="11"/>
        <v>1</v>
      </c>
      <c r="N327" t="s">
        <v>6163</v>
      </c>
    </row>
    <row r="328" spans="1:14">
      <c r="A328" t="s">
        <v>5561</v>
      </c>
      <c r="B328" t="s">
        <v>5565</v>
      </c>
      <c r="C328">
        <v>19</v>
      </c>
      <c r="D328">
        <v>36</v>
      </c>
      <c r="E328">
        <v>34</v>
      </c>
      <c r="F328" s="22">
        <f>无限之旅!K6</f>
        <v>1.37986979298943</v>
      </c>
      <c r="G328" s="22">
        <f>无限之旅!L6</f>
        <v>0.727430073664268</v>
      </c>
      <c r="H328" s="22">
        <v>43.1279336382745</v>
      </c>
      <c r="I328" s="22">
        <f>无限之旅!X6</f>
        <v>43.1279336382744</v>
      </c>
      <c r="J328" s="22">
        <f t="shared" si="10"/>
        <v>0.999999999999998</v>
      </c>
      <c r="K328" s="22">
        <v>34.9297115916743</v>
      </c>
      <c r="L328" s="22">
        <f>无限之旅!Y6</f>
        <v>34.9297115916743</v>
      </c>
      <c r="M328" s="22">
        <f t="shared" si="11"/>
        <v>1</v>
      </c>
      <c r="N328" t="s">
        <v>6163</v>
      </c>
    </row>
    <row r="329" spans="1:14">
      <c r="A329" t="s">
        <v>5561</v>
      </c>
      <c r="B329" t="s">
        <v>5567</v>
      </c>
      <c r="C329">
        <v>22</v>
      </c>
      <c r="D329">
        <v>44</v>
      </c>
      <c r="E329">
        <v>42</v>
      </c>
      <c r="F329" s="22">
        <f>无限之旅!K7</f>
        <v>1.38790977174534</v>
      </c>
      <c r="G329" s="22">
        <f>无限之旅!L7</f>
        <v>0.744627032931019</v>
      </c>
      <c r="H329" s="22">
        <v>44.1986388753075</v>
      </c>
      <c r="I329" s="22">
        <f>无限之旅!X7</f>
        <v>44.1986388753074</v>
      </c>
      <c r="J329" s="22">
        <f t="shared" si="10"/>
        <v>0.999999999999998</v>
      </c>
      <c r="K329" s="22">
        <v>34.4339583432663</v>
      </c>
      <c r="L329" s="22">
        <f>无限之旅!Y7</f>
        <v>34.4339583432664</v>
      </c>
      <c r="M329" s="22">
        <f t="shared" si="11"/>
        <v>1</v>
      </c>
      <c r="N329" t="s">
        <v>6163</v>
      </c>
    </row>
    <row r="330" spans="1:14">
      <c r="A330" t="s">
        <v>5561</v>
      </c>
      <c r="B330" t="s">
        <v>5569</v>
      </c>
      <c r="C330">
        <v>26</v>
      </c>
      <c r="D330">
        <v>53</v>
      </c>
      <c r="E330">
        <v>50</v>
      </c>
      <c r="F330" s="22">
        <f>无限之旅!K8</f>
        <v>1.37739606400309</v>
      </c>
      <c r="G330" s="22">
        <f>无限之旅!L8</f>
        <v>0.756271714476539</v>
      </c>
      <c r="H330" s="22">
        <v>43.5802862054349</v>
      </c>
      <c r="I330" s="22">
        <f>无限之旅!X8</f>
        <v>43.5802862054348</v>
      </c>
      <c r="J330" s="22">
        <f t="shared" si="10"/>
        <v>0.999999999999998</v>
      </c>
      <c r="K330" s="22">
        <v>35.4725655790454</v>
      </c>
      <c r="L330" s="22">
        <f>无限之旅!Y8</f>
        <v>35.4725655790454</v>
      </c>
      <c r="M330" s="22">
        <f t="shared" si="11"/>
        <v>1</v>
      </c>
      <c r="N330" t="s">
        <v>6163</v>
      </c>
    </row>
    <row r="331" spans="1:14">
      <c r="A331" t="s">
        <v>5561</v>
      </c>
      <c r="B331" t="s">
        <v>5571</v>
      </c>
      <c r="C331">
        <v>30</v>
      </c>
      <c r="D331">
        <v>61</v>
      </c>
      <c r="E331">
        <v>56</v>
      </c>
      <c r="F331" s="22">
        <f>无限之旅!K9</f>
        <v>1.35832579771103</v>
      </c>
      <c r="G331" s="22">
        <f>无限之旅!L9</f>
        <v>0.760074518148734</v>
      </c>
      <c r="H331" s="22">
        <v>43.2847088847785</v>
      </c>
      <c r="I331" s="22">
        <f>无限之旅!X9</f>
        <v>43.2847088847785</v>
      </c>
      <c r="J331" s="22">
        <f t="shared" si="10"/>
        <v>0.999999999999999</v>
      </c>
      <c r="K331" s="22">
        <v>36.344970279099</v>
      </c>
      <c r="L331" s="22">
        <f>无限之旅!Y9</f>
        <v>36.344970279099</v>
      </c>
      <c r="M331" s="22">
        <f t="shared" si="11"/>
        <v>1</v>
      </c>
      <c r="N331" t="s">
        <v>6163</v>
      </c>
    </row>
    <row r="332" spans="1:14">
      <c r="A332" t="s">
        <v>5561</v>
      </c>
      <c r="B332" t="s">
        <v>5573</v>
      </c>
      <c r="C332">
        <v>32</v>
      </c>
      <c r="D332">
        <v>69</v>
      </c>
      <c r="E332">
        <v>61</v>
      </c>
      <c r="F332" s="22">
        <f>无限之旅!K10</f>
        <v>1.33953833824423</v>
      </c>
      <c r="G332" s="22">
        <f>无限之旅!L10</f>
        <v>0.755965886258776</v>
      </c>
      <c r="H332" s="22">
        <v>44.9604065553879</v>
      </c>
      <c r="I332" s="22">
        <f>无限之旅!X10</f>
        <v>44.9604065553879</v>
      </c>
      <c r="J332" s="22">
        <f t="shared" si="10"/>
        <v>1</v>
      </c>
      <c r="K332" s="22">
        <v>35.923384472507</v>
      </c>
      <c r="L332" s="22">
        <f>无限之旅!Y10</f>
        <v>35.9233844725069</v>
      </c>
      <c r="M332" s="22">
        <f t="shared" si="11"/>
        <v>0.999999999999997</v>
      </c>
      <c r="N332" t="s">
        <v>6163</v>
      </c>
    </row>
    <row r="333" spans="1:14">
      <c r="A333" t="s">
        <v>5561</v>
      </c>
      <c r="B333" t="s">
        <v>5575</v>
      </c>
      <c r="C333">
        <v>35</v>
      </c>
      <c r="D333">
        <v>77</v>
      </c>
      <c r="E333">
        <v>65</v>
      </c>
      <c r="F333" s="22">
        <f>无限之旅!K11</f>
        <v>1.32940347728763</v>
      </c>
      <c r="G333" s="22">
        <f>无限之旅!L11</f>
        <v>0.749430834255217</v>
      </c>
      <c r="H333" s="22">
        <v>43.2633789670251</v>
      </c>
      <c r="I333" s="22">
        <f>无限之旅!X11</f>
        <v>43.2633789670252</v>
      </c>
      <c r="J333" s="22">
        <f t="shared" si="10"/>
        <v>1</v>
      </c>
      <c r="K333" s="22">
        <v>37.9216901245401</v>
      </c>
      <c r="L333" s="22">
        <f>无限之旅!Y11</f>
        <v>37.9216901245401</v>
      </c>
      <c r="M333" s="22">
        <f t="shared" si="11"/>
        <v>1</v>
      </c>
      <c r="N333" t="s">
        <v>6163</v>
      </c>
    </row>
    <row r="334" spans="1:14">
      <c r="A334" t="s">
        <v>5561</v>
      </c>
      <c r="B334" t="s">
        <v>5577</v>
      </c>
      <c r="C334">
        <v>38</v>
      </c>
      <c r="D334">
        <v>85</v>
      </c>
      <c r="E334">
        <v>69</v>
      </c>
      <c r="F334" s="22">
        <f>无限之旅!K12</f>
        <v>1.34891342719017</v>
      </c>
      <c r="G334" s="22">
        <f>无限之旅!L12</f>
        <v>0.756007819424512</v>
      </c>
      <c r="H334" s="22">
        <v>42.6868010640796</v>
      </c>
      <c r="I334" s="22">
        <f>无限之旅!X12</f>
        <v>42.6868010640795</v>
      </c>
      <c r="J334" s="22">
        <f t="shared" si="10"/>
        <v>0.999999999999998</v>
      </c>
      <c r="K334" s="22">
        <v>39.2993293990713</v>
      </c>
      <c r="L334" s="22">
        <f>无限之旅!Y12</f>
        <v>39.2993293990712</v>
      </c>
      <c r="M334" s="22">
        <f t="shared" si="11"/>
        <v>0.999999999999996</v>
      </c>
      <c r="N334" t="s">
        <v>6163</v>
      </c>
    </row>
    <row r="335" spans="1:14">
      <c r="A335" t="s">
        <v>5561</v>
      </c>
      <c r="B335" t="s">
        <v>5579</v>
      </c>
      <c r="C335">
        <v>40</v>
      </c>
      <c r="D335">
        <v>92</v>
      </c>
      <c r="E335">
        <v>74</v>
      </c>
      <c r="F335" s="22">
        <f>无限之旅!K13</f>
        <v>1.33916187270092</v>
      </c>
      <c r="G335" s="22">
        <f>无限之旅!L13</f>
        <v>0.756915162915834</v>
      </c>
      <c r="H335" s="22">
        <v>44.5796049607967</v>
      </c>
      <c r="I335" s="22">
        <f>无限之旅!X13</f>
        <v>44.5796049607966</v>
      </c>
      <c r="J335" s="22">
        <f t="shared" si="10"/>
        <v>0.999999999999999</v>
      </c>
      <c r="K335" s="22">
        <v>38.7922778883814</v>
      </c>
      <c r="L335" s="22">
        <f>无限之旅!Y13</f>
        <v>38.7922778883814</v>
      </c>
      <c r="M335" s="22">
        <f t="shared" si="11"/>
        <v>1</v>
      </c>
      <c r="N335" t="s">
        <v>6163</v>
      </c>
    </row>
    <row r="336" spans="1:14">
      <c r="A336" t="s">
        <v>5561</v>
      </c>
      <c r="B336" t="s">
        <v>5581</v>
      </c>
      <c r="C336">
        <v>44</v>
      </c>
      <c r="D336">
        <v>100</v>
      </c>
      <c r="E336">
        <v>80</v>
      </c>
      <c r="F336" s="22">
        <f>无限之旅!K14</f>
        <v>1.33878856603578</v>
      </c>
      <c r="G336" s="22">
        <f>无限之旅!L14</f>
        <v>0.765588252851647</v>
      </c>
      <c r="H336" s="22">
        <v>42.507068602468</v>
      </c>
      <c r="I336" s="22">
        <f>无限之旅!X14</f>
        <v>42.5070686024678</v>
      </c>
      <c r="J336" s="22">
        <f t="shared" si="10"/>
        <v>0.999999999999996</v>
      </c>
      <c r="K336" s="22">
        <v>41.3444765403529</v>
      </c>
      <c r="L336" s="22">
        <f>无限之旅!Y14</f>
        <v>41.3444765403529</v>
      </c>
      <c r="M336" s="22">
        <f t="shared" si="11"/>
        <v>1</v>
      </c>
      <c r="N336" t="s">
        <v>6163</v>
      </c>
    </row>
    <row r="337" spans="1:14">
      <c r="A337" t="s">
        <v>5561</v>
      </c>
      <c r="B337" t="s">
        <v>5583</v>
      </c>
      <c r="C337">
        <v>46</v>
      </c>
      <c r="D337">
        <v>107</v>
      </c>
      <c r="E337">
        <v>86</v>
      </c>
      <c r="F337" s="22">
        <f>无限之旅!K15</f>
        <v>1.33313056062279</v>
      </c>
      <c r="G337" s="22">
        <f>无限之旅!L15</f>
        <v>0.774885069043221</v>
      </c>
      <c r="H337" s="22">
        <v>44.9338572078284</v>
      </c>
      <c r="I337" s="22">
        <f>无限之旅!X15</f>
        <v>44.9338572078285</v>
      </c>
      <c r="J337" s="22">
        <f t="shared" si="10"/>
        <v>1</v>
      </c>
      <c r="K337" s="22">
        <v>40.401466660538</v>
      </c>
      <c r="L337" s="22">
        <f>无限之旅!Y15</f>
        <v>40.4014666605379</v>
      </c>
      <c r="M337" s="22">
        <f t="shared" si="11"/>
        <v>0.999999999999997</v>
      </c>
      <c r="N337" t="s">
        <v>6163</v>
      </c>
    </row>
    <row r="338" spans="1:14">
      <c r="A338" t="s">
        <v>5561</v>
      </c>
      <c r="B338" t="s">
        <v>5585</v>
      </c>
      <c r="C338">
        <v>50</v>
      </c>
      <c r="D338">
        <v>115</v>
      </c>
      <c r="E338">
        <v>93</v>
      </c>
      <c r="F338" s="22">
        <f>无限之旅!K16</f>
        <v>1.32612520772742</v>
      </c>
      <c r="G338" s="22">
        <f>无限之旅!L16</f>
        <v>0.786868015257034</v>
      </c>
      <c r="H338" s="22">
        <v>44.157441420515</v>
      </c>
      <c r="I338" s="22">
        <f>无限之旅!X16</f>
        <v>44.1574414205148</v>
      </c>
      <c r="J338" s="22">
        <f t="shared" si="10"/>
        <v>0.999999999999995</v>
      </c>
      <c r="K338" s="22">
        <v>41.9670385586489</v>
      </c>
      <c r="L338" s="22">
        <f>无限之旅!Y16</f>
        <v>41.9670385586489</v>
      </c>
      <c r="M338" s="22">
        <f t="shared" si="11"/>
        <v>1</v>
      </c>
      <c r="N338" t="s">
        <v>6163</v>
      </c>
    </row>
    <row r="339" spans="1:14">
      <c r="A339" t="s">
        <v>5561</v>
      </c>
      <c r="B339" t="s">
        <v>5587</v>
      </c>
      <c r="C339">
        <v>54</v>
      </c>
      <c r="D339">
        <v>122</v>
      </c>
      <c r="E339">
        <v>100</v>
      </c>
      <c r="F339" s="22">
        <f>无限之旅!K17</f>
        <v>1.30702473860661</v>
      </c>
      <c r="G339" s="22">
        <f>无限之旅!L17</f>
        <v>0.795829383809821</v>
      </c>
      <c r="H339" s="22">
        <v>43.161546435621</v>
      </c>
      <c r="I339" s="22">
        <f>无限之旅!X17</f>
        <v>43.1615464356208</v>
      </c>
      <c r="J339" s="22">
        <f t="shared" si="10"/>
        <v>0.999999999999996</v>
      </c>
      <c r="K339" s="22">
        <v>43.5995610010644</v>
      </c>
      <c r="L339" s="22">
        <f>无限之旅!Y17</f>
        <v>43.5995610010644</v>
      </c>
      <c r="M339" s="22">
        <f t="shared" si="11"/>
        <v>0.999999999999999</v>
      </c>
      <c r="N339" t="s">
        <v>6163</v>
      </c>
    </row>
    <row r="340" spans="1:14">
      <c r="A340" t="s">
        <v>5561</v>
      </c>
      <c r="B340" t="s">
        <v>5589</v>
      </c>
      <c r="C340">
        <v>57</v>
      </c>
      <c r="D340">
        <v>129</v>
      </c>
      <c r="E340">
        <v>106</v>
      </c>
      <c r="F340" s="22">
        <f>无限之旅!K18</f>
        <v>1.29528071264125</v>
      </c>
      <c r="G340" s="22">
        <f>无限之旅!L18</f>
        <v>0.803215622275877</v>
      </c>
      <c r="H340" s="22">
        <v>44.4137551611223</v>
      </c>
      <c r="I340" s="22">
        <f>无限之旅!X18</f>
        <v>44.4137551611224</v>
      </c>
      <c r="J340" s="22">
        <f t="shared" si="10"/>
        <v>1</v>
      </c>
      <c r="K340" s="22">
        <v>43.4560545879151</v>
      </c>
      <c r="L340" s="22">
        <f>无限之旅!Y18</f>
        <v>43.4560545879151</v>
      </c>
      <c r="M340" s="22">
        <f t="shared" si="11"/>
        <v>1</v>
      </c>
      <c r="N340" t="s">
        <v>6163</v>
      </c>
    </row>
    <row r="341" spans="1:14">
      <c r="A341" t="s">
        <v>5561</v>
      </c>
      <c r="B341" t="s">
        <v>5591</v>
      </c>
      <c r="C341">
        <v>61</v>
      </c>
      <c r="D341">
        <v>136</v>
      </c>
      <c r="E341">
        <v>112</v>
      </c>
      <c r="F341" s="22">
        <f>无限之旅!K19</f>
        <v>1.28503787652259</v>
      </c>
      <c r="G341" s="22">
        <f>无限之旅!L19</f>
        <v>0.811599222460109</v>
      </c>
      <c r="H341" s="22">
        <v>44.3736042345114</v>
      </c>
      <c r="I341" s="22">
        <f>无限之旅!X19</f>
        <v>44.3736042345112</v>
      </c>
      <c r="J341" s="22">
        <f t="shared" si="10"/>
        <v>0.999999999999995</v>
      </c>
      <c r="K341" s="22">
        <v>44.3023384204409</v>
      </c>
      <c r="L341" s="22">
        <f>无限之旅!Y19</f>
        <v>44.302338420441</v>
      </c>
      <c r="M341" s="22">
        <f t="shared" si="11"/>
        <v>1</v>
      </c>
      <c r="N341" t="s">
        <v>6163</v>
      </c>
    </row>
    <row r="342" spans="1:14">
      <c r="A342" t="s">
        <v>5561</v>
      </c>
      <c r="B342" t="s">
        <v>5593</v>
      </c>
      <c r="C342">
        <v>65</v>
      </c>
      <c r="D342">
        <v>143</v>
      </c>
      <c r="E342">
        <v>118</v>
      </c>
      <c r="F342" s="22">
        <f>无限之旅!K20</f>
        <v>1.28132668357328</v>
      </c>
      <c r="G342" s="22">
        <f>无限之旅!L20</f>
        <v>0.82234194406975</v>
      </c>
      <c r="H342" s="22">
        <v>44.3016847289828</v>
      </c>
      <c r="I342" s="22">
        <f>无限之旅!X20</f>
        <v>44.301684728983</v>
      </c>
      <c r="J342" s="22">
        <f t="shared" si="10"/>
        <v>1</v>
      </c>
      <c r="K342" s="22">
        <v>45.369293666718</v>
      </c>
      <c r="L342" s="22">
        <f>无限之旅!Y20</f>
        <v>45.3692936667181</v>
      </c>
      <c r="M342" s="22">
        <f t="shared" si="11"/>
        <v>1</v>
      </c>
      <c r="N342" t="s">
        <v>6163</v>
      </c>
    </row>
    <row r="343" spans="1:14">
      <c r="A343" t="s">
        <v>5561</v>
      </c>
      <c r="B343" t="s">
        <v>5595</v>
      </c>
      <c r="C343">
        <v>68</v>
      </c>
      <c r="D343">
        <v>150</v>
      </c>
      <c r="E343">
        <v>124</v>
      </c>
      <c r="F343" s="22">
        <f>无限之旅!K21</f>
        <v>1.27495714762014</v>
      </c>
      <c r="G343" s="22">
        <f>无限之旅!L21</f>
        <v>0.830446307445566</v>
      </c>
      <c r="H343" s="22">
        <v>45.0185383396059</v>
      </c>
      <c r="I343" s="22">
        <f>无限之旅!X21</f>
        <v>45.0185383396058</v>
      </c>
      <c r="J343" s="22">
        <f t="shared" si="10"/>
        <v>0.999999999999998</v>
      </c>
      <c r="K343" s="22">
        <v>46.1584738263293</v>
      </c>
      <c r="L343" s="22">
        <f>无限之旅!Y21</f>
        <v>46.1584738263293</v>
      </c>
      <c r="M343" s="22">
        <f t="shared" si="11"/>
        <v>0.999999999999999</v>
      </c>
      <c r="N343" t="s">
        <v>6163</v>
      </c>
    </row>
    <row r="344" spans="1:14">
      <c r="A344" t="s">
        <v>5561</v>
      </c>
      <c r="B344" t="s">
        <v>5597</v>
      </c>
      <c r="C344">
        <v>72</v>
      </c>
      <c r="D344">
        <v>156</v>
      </c>
      <c r="E344">
        <v>128</v>
      </c>
      <c r="F344" s="22">
        <f>无限之旅!K22</f>
        <v>1.28846543594302</v>
      </c>
      <c r="G344" s="22">
        <f>无限之旅!L22</f>
        <v>0.84183074111575</v>
      </c>
      <c r="H344" s="22">
        <v>43.7275502613812</v>
      </c>
      <c r="I344" s="22">
        <f>无限之旅!X22</f>
        <v>43.7275502613812</v>
      </c>
      <c r="J344" s="22">
        <f t="shared" si="10"/>
        <v>1</v>
      </c>
      <c r="K344" s="22">
        <v>48.5966902041902</v>
      </c>
      <c r="L344" s="22">
        <f>无限之旅!Y22</f>
        <v>48.5966902041902</v>
      </c>
      <c r="M344" s="22">
        <f t="shared" si="11"/>
        <v>1</v>
      </c>
      <c r="N344" t="s">
        <v>6163</v>
      </c>
    </row>
    <row r="345" spans="1:14">
      <c r="A345" t="s">
        <v>5561</v>
      </c>
      <c r="B345" t="s">
        <v>5599</v>
      </c>
      <c r="C345">
        <v>76</v>
      </c>
      <c r="D345">
        <v>163</v>
      </c>
      <c r="E345">
        <v>134</v>
      </c>
      <c r="F345" s="22">
        <f>无限之旅!K23</f>
        <v>1.27168321033411</v>
      </c>
      <c r="G345" s="22">
        <f>无限之旅!L23</f>
        <v>0.844317407687947</v>
      </c>
      <c r="H345" s="22">
        <v>43.8003250341078</v>
      </c>
      <c r="I345" s="22">
        <f>无限之旅!X23</f>
        <v>43.800325034108</v>
      </c>
      <c r="J345" s="22">
        <f t="shared" si="10"/>
        <v>1</v>
      </c>
      <c r="K345" s="22">
        <v>49.9363667986694</v>
      </c>
      <c r="L345" s="22">
        <f>无限之旅!Y23</f>
        <v>49.9363667986694</v>
      </c>
      <c r="M345" s="22">
        <f t="shared" si="11"/>
        <v>1</v>
      </c>
      <c r="N345" t="s">
        <v>6163</v>
      </c>
    </row>
    <row r="346" spans="1:14">
      <c r="A346" t="s">
        <v>5561</v>
      </c>
      <c r="B346" t="s">
        <v>5601</v>
      </c>
      <c r="C346">
        <v>80</v>
      </c>
      <c r="D346">
        <v>170</v>
      </c>
      <c r="E346">
        <v>140</v>
      </c>
      <c r="F346" s="22">
        <f>无限之旅!K24</f>
        <v>1.26710027476186</v>
      </c>
      <c r="G346" s="22">
        <f>无限之旅!L24</f>
        <v>0.853468057756971</v>
      </c>
      <c r="H346" s="22">
        <v>44.3098338060085</v>
      </c>
      <c r="I346" s="22">
        <f>无限之旅!X24</f>
        <v>44.3098338060084</v>
      </c>
      <c r="J346" s="22">
        <f t="shared" si="10"/>
        <v>0.999999999999997</v>
      </c>
      <c r="K346" s="22">
        <v>50.8136166324231</v>
      </c>
      <c r="L346" s="22">
        <f>无限之旅!Y24</f>
        <v>50.8136166324231</v>
      </c>
      <c r="M346" s="22">
        <f t="shared" si="11"/>
        <v>1</v>
      </c>
      <c r="N346" t="s">
        <v>6163</v>
      </c>
    </row>
    <row r="347" spans="1:14">
      <c r="A347" t="s">
        <v>5561</v>
      </c>
      <c r="B347" t="s">
        <v>5603</v>
      </c>
      <c r="C347">
        <v>84</v>
      </c>
      <c r="D347">
        <v>176</v>
      </c>
      <c r="E347">
        <v>145</v>
      </c>
      <c r="F347" s="22">
        <f>无限之旅!K25</f>
        <v>1.27562565058875</v>
      </c>
      <c r="G347" s="22">
        <f>无限之旅!L25</f>
        <v>0.867922351772688</v>
      </c>
      <c r="H347" s="22">
        <v>44.4354502488853</v>
      </c>
      <c r="I347" s="22">
        <f>无限之旅!X25</f>
        <v>44.4354502488852</v>
      </c>
      <c r="J347" s="22">
        <f t="shared" si="10"/>
        <v>0.999999999999998</v>
      </c>
      <c r="K347" s="22">
        <v>51.8474317370939</v>
      </c>
      <c r="L347" s="22">
        <f>无限之旅!Y25</f>
        <v>51.8474317370939</v>
      </c>
      <c r="M347" s="22">
        <f t="shared" si="11"/>
        <v>0.999999999999999</v>
      </c>
      <c r="N347" t="s">
        <v>6163</v>
      </c>
    </row>
    <row r="348" spans="1:14">
      <c r="A348" t="s">
        <v>5561</v>
      </c>
      <c r="B348" t="s">
        <v>5605</v>
      </c>
      <c r="C348">
        <v>89</v>
      </c>
      <c r="D348">
        <v>183</v>
      </c>
      <c r="E348">
        <v>151</v>
      </c>
      <c r="F348" s="22">
        <f>无限之旅!K26</f>
        <v>1.25787034943335</v>
      </c>
      <c r="G348" s="22">
        <f>无限之旅!L26</f>
        <v>0.869024495102459</v>
      </c>
      <c r="H348" s="22">
        <v>44.7012882520538</v>
      </c>
      <c r="I348" s="22">
        <f>无限之旅!X26</f>
        <v>44.7012882520539</v>
      </c>
      <c r="J348" s="22">
        <f t="shared" si="10"/>
        <v>1</v>
      </c>
      <c r="K348" s="22">
        <v>52.9098249720267</v>
      </c>
      <c r="L348" s="22">
        <f>无限之旅!Y26</f>
        <v>52.9098249720267</v>
      </c>
      <c r="M348" s="22">
        <f t="shared" si="11"/>
        <v>0.999999999999999</v>
      </c>
      <c r="N348" t="s">
        <v>6163</v>
      </c>
    </row>
    <row r="349" spans="1:14">
      <c r="A349" t="s">
        <v>5561</v>
      </c>
      <c r="B349" t="s">
        <v>5607</v>
      </c>
      <c r="C349">
        <v>94</v>
      </c>
      <c r="D349">
        <v>189</v>
      </c>
      <c r="E349">
        <v>156</v>
      </c>
      <c r="F349" s="22">
        <f>无限之旅!K27</f>
        <v>1.25285607195503</v>
      </c>
      <c r="G349" s="22">
        <f>无限之旅!L27</f>
        <v>0.875232907557164</v>
      </c>
      <c r="H349" s="22">
        <v>44.7052091074597</v>
      </c>
      <c r="I349" s="22">
        <f>无限之旅!X27</f>
        <v>44.7052091074597</v>
      </c>
      <c r="J349" s="22">
        <f t="shared" si="10"/>
        <v>1</v>
      </c>
      <c r="K349" s="22">
        <v>54.0246308967476</v>
      </c>
      <c r="L349" s="22">
        <f>无限之旅!Y27</f>
        <v>54.0246308967476</v>
      </c>
      <c r="M349" s="22">
        <f t="shared" si="11"/>
        <v>0.999999999999999</v>
      </c>
      <c r="N349" t="s">
        <v>6163</v>
      </c>
    </row>
    <row r="350" spans="1:14">
      <c r="A350" t="s">
        <v>5561</v>
      </c>
      <c r="B350" t="s">
        <v>5609</v>
      </c>
      <c r="C350">
        <v>99</v>
      </c>
      <c r="D350">
        <v>195</v>
      </c>
      <c r="E350">
        <v>161</v>
      </c>
      <c r="F350" s="22">
        <f>无限之旅!K28</f>
        <v>1.25909902523087</v>
      </c>
      <c r="G350" s="22">
        <f>无限之旅!L28</f>
        <v>0.887869756265927</v>
      </c>
      <c r="H350" s="22">
        <v>45.1278291426989</v>
      </c>
      <c r="I350" s="22">
        <f>无限之旅!X28</f>
        <v>45.1278291426989</v>
      </c>
      <c r="J350" s="22">
        <f t="shared" si="10"/>
        <v>1</v>
      </c>
      <c r="K350" s="22">
        <v>54.6945988001419</v>
      </c>
      <c r="L350" s="22">
        <f>无限之旅!Y28</f>
        <v>54.6945988001419</v>
      </c>
      <c r="M350" s="22">
        <f t="shared" si="11"/>
        <v>1</v>
      </c>
      <c r="N350" t="s">
        <v>6163</v>
      </c>
    </row>
    <row r="351" spans="1:14">
      <c r="A351" t="s">
        <v>5561</v>
      </c>
      <c r="B351" t="s">
        <v>5611</v>
      </c>
      <c r="C351">
        <v>103</v>
      </c>
      <c r="D351">
        <v>201</v>
      </c>
      <c r="E351">
        <v>166</v>
      </c>
      <c r="F351" s="22">
        <f>无限之旅!K29</f>
        <v>1.25763740939061</v>
      </c>
      <c r="G351" s="22">
        <f>无限之旅!L29</f>
        <v>0.897400494740218</v>
      </c>
      <c r="H351" s="22">
        <v>44.962730345138</v>
      </c>
      <c r="I351" s="22">
        <f>无限之旅!X29</f>
        <v>44.9627303451379</v>
      </c>
      <c r="J351" s="22">
        <f t="shared" si="10"/>
        <v>0.999999999999997</v>
      </c>
      <c r="K351" s="22">
        <v>55.4675528870582</v>
      </c>
      <c r="L351" s="22">
        <f>无限之旅!Y29</f>
        <v>55.4675528870582</v>
      </c>
      <c r="M351" s="22">
        <f t="shared" si="11"/>
        <v>0.999999999999999</v>
      </c>
      <c r="N351" t="s">
        <v>6163</v>
      </c>
    </row>
    <row r="352" spans="1:14">
      <c r="A352" t="s">
        <v>5561</v>
      </c>
      <c r="B352" t="s">
        <v>5613</v>
      </c>
      <c r="C352">
        <v>106</v>
      </c>
      <c r="D352">
        <v>207</v>
      </c>
      <c r="E352">
        <v>172</v>
      </c>
      <c r="F352" s="22">
        <f>无限之旅!K30</f>
        <v>1.24201047838249</v>
      </c>
      <c r="G352" s="22">
        <f>无限之旅!L30</f>
        <v>0.902282805829334</v>
      </c>
      <c r="H352" s="22">
        <v>45.7373338228556</v>
      </c>
      <c r="I352" s="22">
        <f>无限之旅!X30</f>
        <v>45.7373338228556</v>
      </c>
      <c r="J352" s="22">
        <f t="shared" si="10"/>
        <v>0.999999999999999</v>
      </c>
      <c r="K352" s="22">
        <v>55.2849335408931</v>
      </c>
      <c r="L352" s="22">
        <f>无限之旅!Y30</f>
        <v>55.2849335408931</v>
      </c>
      <c r="M352" s="22">
        <f t="shared" si="11"/>
        <v>1</v>
      </c>
      <c r="N352" t="s">
        <v>6163</v>
      </c>
    </row>
    <row r="353" spans="1:14">
      <c r="A353" t="s">
        <v>5561</v>
      </c>
      <c r="B353" t="s">
        <v>5615</v>
      </c>
      <c r="C353">
        <v>109</v>
      </c>
      <c r="D353">
        <v>212</v>
      </c>
      <c r="E353">
        <v>177</v>
      </c>
      <c r="F353" s="22">
        <f>无限之旅!K31</f>
        <v>1.23482033553715</v>
      </c>
      <c r="G353" s="22">
        <f>无限之旅!L31</f>
        <v>0.909414919855651</v>
      </c>
      <c r="H353" s="22">
        <v>46.0081789476578</v>
      </c>
      <c r="I353" s="22">
        <f>无限之旅!X31</f>
        <v>46.0081789476579</v>
      </c>
      <c r="J353" s="22">
        <f t="shared" si="10"/>
        <v>1</v>
      </c>
      <c r="K353" s="22">
        <v>55.4586023800057</v>
      </c>
      <c r="L353" s="22">
        <f>无限之旅!Y31</f>
        <v>55.4586023800057</v>
      </c>
      <c r="M353" s="22">
        <f t="shared" si="11"/>
        <v>1</v>
      </c>
      <c r="N353" t="s">
        <v>6163</v>
      </c>
    </row>
    <row r="354" spans="1:14">
      <c r="A354" t="s">
        <v>5561</v>
      </c>
      <c r="B354" t="s">
        <v>5617</v>
      </c>
      <c r="C354">
        <v>113</v>
      </c>
      <c r="D354">
        <v>218</v>
      </c>
      <c r="E354">
        <v>183</v>
      </c>
      <c r="F354" s="22">
        <f>无限之旅!K32</f>
        <v>1.2345730308718</v>
      </c>
      <c r="G354" s="22">
        <f>无限之旅!L32</f>
        <v>0.922470042255667</v>
      </c>
      <c r="H354" s="22">
        <v>46.1974290985025</v>
      </c>
      <c r="I354" s="22">
        <f>无限之旅!X32</f>
        <v>46.1974290985025</v>
      </c>
      <c r="J354" s="22">
        <f t="shared" si="10"/>
        <v>1</v>
      </c>
      <c r="K354" s="22">
        <v>55.7725388020625</v>
      </c>
      <c r="L354" s="22">
        <f>无限之旅!Y32</f>
        <v>55.7725388020625</v>
      </c>
      <c r="M354" s="22">
        <f t="shared" si="11"/>
        <v>1</v>
      </c>
      <c r="N354" t="s">
        <v>6163</v>
      </c>
    </row>
    <row r="355" spans="1:14">
      <c r="A355" t="s">
        <v>5561</v>
      </c>
      <c r="B355" t="s">
        <v>5619</v>
      </c>
      <c r="C355">
        <v>118</v>
      </c>
      <c r="D355">
        <v>224</v>
      </c>
      <c r="E355">
        <v>189</v>
      </c>
      <c r="F355" s="22">
        <f>无限之旅!K33</f>
        <v>1.22958097069844</v>
      </c>
      <c r="G355" s="22">
        <f>无限之旅!L33</f>
        <v>0.932885469976352</v>
      </c>
      <c r="H355" s="22">
        <v>45.838294511273</v>
      </c>
      <c r="I355" s="22">
        <f>无限之旅!X33</f>
        <v>45.8382945112729</v>
      </c>
      <c r="J355" s="22">
        <f t="shared" si="10"/>
        <v>0.999999999999998</v>
      </c>
      <c r="K355" s="22">
        <v>56.5562951184238</v>
      </c>
      <c r="L355" s="22">
        <f>无限之旅!Y33</f>
        <v>56.5562951184238</v>
      </c>
      <c r="M355" s="22">
        <f t="shared" si="11"/>
        <v>1</v>
      </c>
      <c r="N355" t="s">
        <v>6163</v>
      </c>
    </row>
    <row r="356" spans="1:14">
      <c r="A356" t="s">
        <v>5561</v>
      </c>
      <c r="B356" t="s">
        <v>5621</v>
      </c>
      <c r="C356">
        <v>122</v>
      </c>
      <c r="D356">
        <v>229</v>
      </c>
      <c r="E356">
        <v>194</v>
      </c>
      <c r="F356" s="22">
        <f>无限之旅!K34</f>
        <v>1.2271388903289</v>
      </c>
      <c r="G356" s="22">
        <f>无限之旅!L34</f>
        <v>0.94201127391457</v>
      </c>
      <c r="H356" s="22">
        <v>46.0002975546321</v>
      </c>
      <c r="I356" s="22">
        <f>无限之旅!X34</f>
        <v>46.0002975546321</v>
      </c>
      <c r="J356" s="22">
        <f t="shared" si="10"/>
        <v>0.999999999999999</v>
      </c>
      <c r="K356" s="22">
        <v>56.7909879427633</v>
      </c>
      <c r="L356" s="22">
        <f>无限之旅!Y34</f>
        <v>56.7909879427634</v>
      </c>
      <c r="M356" s="22">
        <f t="shared" si="11"/>
        <v>1</v>
      </c>
      <c r="N356" t="s">
        <v>6163</v>
      </c>
    </row>
    <row r="357" spans="1:14">
      <c r="A357" t="s">
        <v>5561</v>
      </c>
      <c r="B357" t="s">
        <v>5623</v>
      </c>
      <c r="C357">
        <v>127</v>
      </c>
      <c r="D357">
        <v>235</v>
      </c>
      <c r="E357">
        <v>201</v>
      </c>
      <c r="F357" s="22">
        <f>无限之旅!K35</f>
        <v>1.21411805403748</v>
      </c>
      <c r="G357" s="22">
        <f>无限之旅!L35</f>
        <v>0.949847504969272</v>
      </c>
      <c r="H357" s="22">
        <v>46.3764539902756</v>
      </c>
      <c r="I357" s="22">
        <f>无限之旅!X35</f>
        <v>46.3764539902757</v>
      </c>
      <c r="J357" s="22">
        <f t="shared" si="10"/>
        <v>1</v>
      </c>
      <c r="K357" s="22">
        <v>56.9002120327917</v>
      </c>
      <c r="L357" s="22">
        <f>无限之旅!Y35</f>
        <v>56.9002120327917</v>
      </c>
      <c r="M357" s="22">
        <f t="shared" si="11"/>
        <v>1</v>
      </c>
      <c r="N357" t="s">
        <v>6163</v>
      </c>
    </row>
    <row r="358" spans="1:14">
      <c r="A358" t="s">
        <v>5561</v>
      </c>
      <c r="B358" t="s">
        <v>5625</v>
      </c>
      <c r="C358">
        <v>132</v>
      </c>
      <c r="D358">
        <v>240</v>
      </c>
      <c r="E358">
        <v>206</v>
      </c>
      <c r="F358" s="22">
        <f>无限之旅!K36</f>
        <v>1.22155297342148</v>
      </c>
      <c r="G358" s="22">
        <f>无限之旅!L36</f>
        <v>0.964212757521158</v>
      </c>
      <c r="H358" s="22">
        <v>46.4331692198807</v>
      </c>
      <c r="I358" s="22">
        <f>无限之旅!X36</f>
        <v>46.4331692198806</v>
      </c>
      <c r="J358" s="22">
        <f t="shared" si="10"/>
        <v>0.999999999999998</v>
      </c>
      <c r="K358" s="22">
        <v>57.209137886108</v>
      </c>
      <c r="L358" s="22">
        <f>无限之旅!Y36</f>
        <v>57.2091378861081</v>
      </c>
      <c r="M358" s="22">
        <f t="shared" si="11"/>
        <v>1</v>
      </c>
      <c r="N358" t="s">
        <v>6163</v>
      </c>
    </row>
    <row r="359" spans="1:14">
      <c r="A359" t="s">
        <v>5561</v>
      </c>
      <c r="B359" t="s">
        <v>5627</v>
      </c>
      <c r="C359">
        <v>138</v>
      </c>
      <c r="D359">
        <v>246</v>
      </c>
      <c r="E359">
        <v>213</v>
      </c>
      <c r="F359" s="22">
        <f>无限之旅!K37</f>
        <v>1.21083870687515</v>
      </c>
      <c r="G359" s="22">
        <f>无限之旅!L37</f>
        <v>0.972502979545353</v>
      </c>
      <c r="H359" s="22">
        <v>46.9031617464853</v>
      </c>
      <c r="I359" s="22">
        <f>无限之旅!X37</f>
        <v>46.9031617464855</v>
      </c>
      <c r="J359" s="22">
        <f t="shared" si="10"/>
        <v>1</v>
      </c>
      <c r="K359" s="22">
        <v>57.2193826815649</v>
      </c>
      <c r="L359" s="22">
        <f>无限之旅!Y37</f>
        <v>57.219382681565</v>
      </c>
      <c r="M359" s="22">
        <f t="shared" si="11"/>
        <v>1</v>
      </c>
      <c r="N359" t="s">
        <v>6163</v>
      </c>
    </row>
    <row r="360" spans="1:14">
      <c r="A360" t="s">
        <v>5561</v>
      </c>
      <c r="B360" t="s">
        <v>5629</v>
      </c>
      <c r="C360">
        <v>143</v>
      </c>
      <c r="D360">
        <v>251</v>
      </c>
      <c r="E360">
        <v>219</v>
      </c>
      <c r="F360" s="22">
        <f>无限之旅!K38</f>
        <v>1.20685951757156</v>
      </c>
      <c r="G360" s="22">
        <f>无限之旅!L38</f>
        <v>0.9822378190764</v>
      </c>
      <c r="H360" s="22">
        <v>47.5912124240242</v>
      </c>
      <c r="I360" s="22">
        <f>无限之旅!X38</f>
        <v>47.5912124240241</v>
      </c>
      <c r="J360" s="22">
        <f t="shared" si="10"/>
        <v>0.999999999999997</v>
      </c>
      <c r="K360" s="22">
        <v>56.9697481759943</v>
      </c>
      <c r="L360" s="22">
        <f>无限之旅!Y38</f>
        <v>56.9697481759944</v>
      </c>
      <c r="M360" s="22">
        <f t="shared" si="11"/>
        <v>1</v>
      </c>
      <c r="N360" t="s">
        <v>6163</v>
      </c>
    </row>
    <row r="361" spans="1:14">
      <c r="A361" t="s">
        <v>5561</v>
      </c>
      <c r="B361" t="s">
        <v>5631</v>
      </c>
      <c r="C361">
        <v>150</v>
      </c>
      <c r="D361">
        <v>256</v>
      </c>
      <c r="E361">
        <v>225</v>
      </c>
      <c r="F361" s="22">
        <f>无限之旅!K39</f>
        <v>1.20670199193958</v>
      </c>
      <c r="G361" s="22">
        <f>无限之旅!L39</f>
        <v>0.994298263344287</v>
      </c>
      <c r="H361" s="22">
        <v>47.6517799013849</v>
      </c>
      <c r="I361" s="22">
        <f>无限之旅!X39</f>
        <v>47.6517799013846</v>
      </c>
      <c r="J361" s="22">
        <f t="shared" si="10"/>
        <v>0.999999999999994</v>
      </c>
      <c r="K361" s="22">
        <v>57.2556946471774</v>
      </c>
      <c r="L361" s="22">
        <f>无限之旅!Y39</f>
        <v>57.2556946471772</v>
      </c>
      <c r="M361" s="22">
        <f t="shared" si="11"/>
        <v>0.999999999999997</v>
      </c>
      <c r="N361" t="s">
        <v>6163</v>
      </c>
    </row>
    <row r="362" spans="1:14">
      <c r="A362" t="s">
        <v>5561</v>
      </c>
      <c r="B362" t="s">
        <v>5633</v>
      </c>
      <c r="C362">
        <v>158</v>
      </c>
      <c r="D362">
        <v>262</v>
      </c>
      <c r="E362">
        <v>233</v>
      </c>
      <c r="F362" s="22">
        <f>无限之旅!K40</f>
        <v>1.19917057353098</v>
      </c>
      <c r="G362" s="22">
        <f>无限之旅!L40</f>
        <v>1.00576900972421</v>
      </c>
      <c r="H362" s="22">
        <v>48.408309212921</v>
      </c>
      <c r="I362" s="22">
        <f>无限之旅!X40</f>
        <v>48.4083092129209</v>
      </c>
      <c r="J362" s="22">
        <f t="shared" si="10"/>
        <v>0.999999999999997</v>
      </c>
      <c r="K362" s="22">
        <v>57.0162186228824</v>
      </c>
      <c r="L362" s="22">
        <f>无限之旅!Y40</f>
        <v>57.0162186228823</v>
      </c>
      <c r="M362" s="22">
        <f t="shared" si="11"/>
        <v>0.999999999999998</v>
      </c>
      <c r="N362" t="s">
        <v>6163</v>
      </c>
    </row>
    <row r="363" spans="1:14">
      <c r="A363" t="s">
        <v>5561</v>
      </c>
      <c r="B363" t="s">
        <v>5635</v>
      </c>
      <c r="C363">
        <v>166</v>
      </c>
      <c r="D363">
        <v>267</v>
      </c>
      <c r="E363">
        <v>240</v>
      </c>
      <c r="F363" s="22">
        <f>无限之旅!K41</f>
        <v>1.19152070582702</v>
      </c>
      <c r="G363" s="22">
        <f>无限之旅!L41</f>
        <v>1.01500814653303</v>
      </c>
      <c r="H363" s="22">
        <v>48.974829408284</v>
      </c>
      <c r="I363" s="22">
        <f>无限之旅!X41</f>
        <v>48.9748294082838</v>
      </c>
      <c r="J363" s="22">
        <f t="shared" si="10"/>
        <v>0.999999999999997</v>
      </c>
      <c r="K363" s="22">
        <v>56.8749553574937</v>
      </c>
      <c r="L363" s="22">
        <f>无限之旅!Y41</f>
        <v>56.8749553574936</v>
      </c>
      <c r="M363" s="22">
        <f t="shared" si="11"/>
        <v>0.999999999999998</v>
      </c>
      <c r="N363" t="s">
        <v>6163</v>
      </c>
    </row>
    <row r="364" spans="1:14">
      <c r="A364" t="s">
        <v>5561</v>
      </c>
      <c r="B364" t="s">
        <v>5637</v>
      </c>
      <c r="C364">
        <v>174</v>
      </c>
      <c r="D364">
        <v>272</v>
      </c>
      <c r="E364">
        <v>247</v>
      </c>
      <c r="F364" s="22">
        <f>无限之旅!K42</f>
        <v>1.19087453444371</v>
      </c>
      <c r="G364" s="22">
        <f>无限之旅!L42</f>
        <v>1.02786946843273</v>
      </c>
      <c r="H364" s="22">
        <v>49.9350960730773</v>
      </c>
      <c r="I364" s="22">
        <f>无限之旅!X42</f>
        <v>49.935096073077</v>
      </c>
      <c r="J364" s="22">
        <f t="shared" si="10"/>
        <v>0.999999999999994</v>
      </c>
      <c r="K364" s="22">
        <v>56.4219957648227</v>
      </c>
      <c r="L364" s="22">
        <f>无限之旅!Y42</f>
        <v>56.4219957648229</v>
      </c>
      <c r="M364" s="22">
        <f t="shared" si="11"/>
        <v>1</v>
      </c>
      <c r="N364" t="s">
        <v>6163</v>
      </c>
    </row>
    <row r="365" spans="1:14">
      <c r="A365" t="s">
        <v>5561</v>
      </c>
      <c r="B365" t="s">
        <v>5639</v>
      </c>
      <c r="C365">
        <v>184</v>
      </c>
      <c r="D365">
        <v>277</v>
      </c>
      <c r="E365">
        <v>255</v>
      </c>
      <c r="F365" s="22">
        <f>无限之旅!K43</f>
        <v>1.18052772041216</v>
      </c>
      <c r="G365" s="22">
        <f>无限之旅!L43</f>
        <v>1.03694679307601</v>
      </c>
      <c r="H365" s="22">
        <v>50.7898114075097</v>
      </c>
      <c r="I365" s="22">
        <f>无限之旅!X43</f>
        <v>50.7898114075099</v>
      </c>
      <c r="J365" s="22">
        <f t="shared" si="10"/>
        <v>1</v>
      </c>
      <c r="K365" s="22">
        <v>56.0695110068802</v>
      </c>
      <c r="L365" s="22">
        <f>无限之旅!Y43</f>
        <v>56.0695110068801</v>
      </c>
      <c r="M365" s="22">
        <f t="shared" si="11"/>
        <v>0.999999999999998</v>
      </c>
      <c r="N365" t="s">
        <v>6163</v>
      </c>
    </row>
    <row r="366" spans="1:14">
      <c r="A366" t="s">
        <v>5561</v>
      </c>
      <c r="B366" t="s">
        <v>5641</v>
      </c>
      <c r="C366">
        <v>195</v>
      </c>
      <c r="D366">
        <v>282</v>
      </c>
      <c r="E366">
        <v>263</v>
      </c>
      <c r="F366" s="22">
        <f>无限之旅!K44</f>
        <v>1.17977947077243</v>
      </c>
      <c r="G366" s="22">
        <f>无限之旅!L44</f>
        <v>1.05141327672049</v>
      </c>
      <c r="H366" s="22">
        <v>51.9069697669197</v>
      </c>
      <c r="I366" s="22">
        <f>无限之旅!X44</f>
        <v>51.9069697669197</v>
      </c>
      <c r="J366" s="22">
        <f t="shared" si="10"/>
        <v>0.999999999999999</v>
      </c>
      <c r="K366" s="22">
        <v>55.5321933607485</v>
      </c>
      <c r="L366" s="22">
        <f>无限之旅!Y44</f>
        <v>55.5321933607484</v>
      </c>
      <c r="M366" s="22">
        <f t="shared" si="11"/>
        <v>0.999999999999999</v>
      </c>
      <c r="N366" t="s">
        <v>6163</v>
      </c>
    </row>
    <row r="367" spans="1:14">
      <c r="A367" t="s">
        <v>5561</v>
      </c>
      <c r="B367" t="s">
        <v>5643</v>
      </c>
      <c r="C367">
        <v>207</v>
      </c>
      <c r="D367">
        <v>287</v>
      </c>
      <c r="E367">
        <v>272</v>
      </c>
      <c r="F367" s="22">
        <f>无限之旅!K45</f>
        <v>1.17087353158689</v>
      </c>
      <c r="G367" s="22">
        <f>无限之旅!L45</f>
        <v>1.06253618928863</v>
      </c>
      <c r="H367" s="22">
        <v>53.3263976611952</v>
      </c>
      <c r="I367" s="22">
        <f>无限之旅!X45</f>
        <v>53.326397661195</v>
      </c>
      <c r="J367" s="22">
        <f t="shared" si="10"/>
        <v>0.999999999999995</v>
      </c>
      <c r="K367" s="22">
        <v>54.7996281256193</v>
      </c>
      <c r="L367" s="22">
        <f>无限之旅!Y45</f>
        <v>54.7996281256195</v>
      </c>
      <c r="M367" s="22">
        <f t="shared" si="11"/>
        <v>1</v>
      </c>
      <c r="N367" t="s">
        <v>6163</v>
      </c>
    </row>
    <row r="368" spans="1:14">
      <c r="A368" t="s">
        <v>5561</v>
      </c>
      <c r="B368" t="s">
        <v>5645</v>
      </c>
      <c r="C368">
        <v>217</v>
      </c>
      <c r="D368">
        <v>291</v>
      </c>
      <c r="E368">
        <v>279</v>
      </c>
      <c r="F368" s="22">
        <f>无限之旅!K46</f>
        <v>1.16984801290734</v>
      </c>
      <c r="G368" s="22">
        <f>无限之旅!L46</f>
        <v>1.07434468612044</v>
      </c>
      <c r="H368" s="22">
        <v>54.7331508398622</v>
      </c>
      <c r="I368" s="22">
        <f>无限之旅!X46</f>
        <v>54.733150839862</v>
      </c>
      <c r="J368" s="22">
        <f t="shared" si="10"/>
        <v>0.999999999999996</v>
      </c>
      <c r="K368" s="22">
        <v>54.0517826451766</v>
      </c>
      <c r="L368" s="22">
        <f>无限之旅!Y46</f>
        <v>54.0517826451763</v>
      </c>
      <c r="M368" s="22">
        <f t="shared" si="11"/>
        <v>0.999999999999994</v>
      </c>
      <c r="N368" t="s">
        <v>6163</v>
      </c>
    </row>
    <row r="369" spans="1:14">
      <c r="A369" t="s">
        <v>5561</v>
      </c>
      <c r="B369" t="s">
        <v>5647</v>
      </c>
      <c r="C369">
        <v>230</v>
      </c>
      <c r="D369">
        <v>296</v>
      </c>
      <c r="E369">
        <v>288</v>
      </c>
      <c r="F369" s="22">
        <f>无限之旅!K47</f>
        <v>1.16879568682059</v>
      </c>
      <c r="G369" s="22">
        <f>无限之旅!L47</f>
        <v>1.08930850727018</v>
      </c>
      <c r="H369" s="22">
        <v>56.8153661280439</v>
      </c>
      <c r="I369" s="22">
        <f>无限之旅!X47</f>
        <v>56.8153661280439</v>
      </c>
      <c r="J369" s="22">
        <f t="shared" si="10"/>
        <v>0.999999999999999</v>
      </c>
      <c r="K369" s="22">
        <v>52.9522320984801</v>
      </c>
      <c r="L369" s="22">
        <f>无限之旅!Y47</f>
        <v>52.95223209848</v>
      </c>
      <c r="M369" s="22">
        <f t="shared" si="11"/>
        <v>0.999999999999998</v>
      </c>
      <c r="N369" t="s">
        <v>6163</v>
      </c>
    </row>
    <row r="370" spans="1:14">
      <c r="A370" t="s">
        <v>5561</v>
      </c>
      <c r="B370" t="s">
        <v>5649</v>
      </c>
      <c r="C370">
        <v>245</v>
      </c>
      <c r="D370">
        <v>301</v>
      </c>
      <c r="E370">
        <v>298</v>
      </c>
      <c r="F370" s="22">
        <f>无限之旅!K48</f>
        <v>1.16463698946368</v>
      </c>
      <c r="G370" s="22">
        <f>无限之旅!L48</f>
        <v>1.10396712263151</v>
      </c>
      <c r="H370" s="22">
        <v>59.1331107340819</v>
      </c>
      <c r="I370" s="22">
        <f>无限之旅!X48</f>
        <v>59.1331107340816</v>
      </c>
      <c r="J370" s="22">
        <f t="shared" si="10"/>
        <v>0.999999999999996</v>
      </c>
      <c r="K370" s="22">
        <v>51.7817875257766</v>
      </c>
      <c r="L370" s="22">
        <f>无限之旅!Y48</f>
        <v>51.7817875257766</v>
      </c>
      <c r="M370" s="22">
        <f t="shared" si="11"/>
        <v>0.999999999999999</v>
      </c>
      <c r="N370" t="s">
        <v>6163</v>
      </c>
    </row>
    <row r="371" spans="1:14">
      <c r="A371" t="s">
        <v>5561</v>
      </c>
      <c r="B371" t="s">
        <v>5651</v>
      </c>
      <c r="C371">
        <v>256</v>
      </c>
      <c r="D371">
        <v>305</v>
      </c>
      <c r="E371">
        <v>306</v>
      </c>
      <c r="F371" s="22">
        <f>无限之旅!K49</f>
        <v>1.15790038161442</v>
      </c>
      <c r="G371" s="22">
        <f>无限之旅!L49</f>
        <v>1.11280561087082</v>
      </c>
      <c r="H371" s="22">
        <v>61.34735381149</v>
      </c>
      <c r="I371" s="22">
        <f>无限之旅!X49</f>
        <v>61.3473538114897</v>
      </c>
      <c r="J371" s="22">
        <f t="shared" si="10"/>
        <v>0.999999999999995</v>
      </c>
      <c r="K371" s="22">
        <v>50.6908061299706</v>
      </c>
      <c r="L371" s="22">
        <f>无限之旅!Y49</f>
        <v>50.6908061299706</v>
      </c>
      <c r="M371" s="22">
        <f t="shared" si="11"/>
        <v>1</v>
      </c>
      <c r="N371" t="s">
        <v>6163</v>
      </c>
    </row>
    <row r="372" spans="1:14">
      <c r="A372" t="s">
        <v>5561</v>
      </c>
      <c r="B372" t="s">
        <v>5653</v>
      </c>
      <c r="C372">
        <v>270</v>
      </c>
      <c r="D372">
        <v>310</v>
      </c>
      <c r="E372">
        <v>316</v>
      </c>
      <c r="F372" s="22">
        <f>无限之旅!K50</f>
        <v>1.15231802654783</v>
      </c>
      <c r="G372" s="22">
        <f>无限之旅!L50</f>
        <v>1.12513085631003</v>
      </c>
      <c r="H372" s="22">
        <v>64.4056633538983</v>
      </c>
      <c r="I372" s="22">
        <f>无限之旅!X50</f>
        <v>64.4056633538984</v>
      </c>
      <c r="J372" s="22">
        <f t="shared" si="10"/>
        <v>1</v>
      </c>
      <c r="K372" s="22">
        <v>49.2655642558386</v>
      </c>
      <c r="L372" s="22">
        <f>无限之旅!Y50</f>
        <v>49.2655642558383</v>
      </c>
      <c r="M372" s="22">
        <f t="shared" si="11"/>
        <v>0.999999999999994</v>
      </c>
      <c r="N372" t="s">
        <v>6163</v>
      </c>
    </row>
    <row r="373" spans="1:14">
      <c r="A373" t="s">
        <v>5561</v>
      </c>
      <c r="B373" t="s">
        <v>5655</v>
      </c>
      <c r="C373">
        <v>278</v>
      </c>
      <c r="D373">
        <v>314</v>
      </c>
      <c r="E373">
        <v>323</v>
      </c>
      <c r="F373" s="22">
        <f>无限之旅!K51</f>
        <v>1.14815104457938</v>
      </c>
      <c r="G373" s="22">
        <f>无限之旅!L51</f>
        <v>1.13251372328814</v>
      </c>
      <c r="H373" s="22">
        <v>67.2230574858507</v>
      </c>
      <c r="I373" s="22">
        <f>无限之旅!X51</f>
        <v>67.2230574858507</v>
      </c>
      <c r="J373" s="22">
        <f t="shared" si="10"/>
        <v>1</v>
      </c>
      <c r="K373" s="22">
        <v>48.01886445485</v>
      </c>
      <c r="L373" s="22">
        <f>无限之旅!Y51</f>
        <v>48.0188644548502</v>
      </c>
      <c r="M373" s="22">
        <f t="shared" si="11"/>
        <v>1</v>
      </c>
      <c r="N373" t="s">
        <v>6163</v>
      </c>
    </row>
    <row r="374" spans="1:14">
      <c r="A374" t="s">
        <v>5561</v>
      </c>
      <c r="B374" t="s">
        <v>5657</v>
      </c>
      <c r="C374">
        <v>278</v>
      </c>
      <c r="D374">
        <v>319</v>
      </c>
      <c r="E374">
        <v>328</v>
      </c>
      <c r="F374" s="22">
        <f>无限之旅!K52</f>
        <v>1.14859125349865</v>
      </c>
      <c r="G374" s="22">
        <f>无限之旅!L52</f>
        <v>1.13719917106741</v>
      </c>
      <c r="H374" s="22">
        <v>71.3945782039728</v>
      </c>
      <c r="I374" s="22">
        <f>无限之旅!X52</f>
        <v>71.3945782039728</v>
      </c>
      <c r="J374" s="22">
        <f t="shared" si="10"/>
        <v>1</v>
      </c>
      <c r="K374" s="22">
        <v>46.2774182211332</v>
      </c>
      <c r="L374" s="22">
        <f>无限之旅!Y52</f>
        <v>46.2774182211332</v>
      </c>
      <c r="M374" s="22">
        <f t="shared" si="11"/>
        <v>1</v>
      </c>
      <c r="N374" t="s">
        <v>6163</v>
      </c>
    </row>
    <row r="375" spans="1:14">
      <c r="A375" t="s">
        <v>5561</v>
      </c>
      <c r="B375" t="s">
        <v>5659</v>
      </c>
      <c r="C375">
        <v>278</v>
      </c>
      <c r="D375">
        <v>323</v>
      </c>
      <c r="E375">
        <v>332</v>
      </c>
      <c r="F375" s="22">
        <f>无限之旅!K53</f>
        <v>1.14892937750966</v>
      </c>
      <c r="G375" s="22">
        <f>无限之旅!L53</f>
        <v>1.1408460345058</v>
      </c>
      <c r="H375" s="22">
        <v>74.8895195458088</v>
      </c>
      <c r="I375" s="22">
        <f>无限之旅!X53</f>
        <v>74.8895195458088</v>
      </c>
      <c r="J375" s="22">
        <f t="shared" si="10"/>
        <v>1</v>
      </c>
      <c r="K375" s="22">
        <v>44.9424186126896</v>
      </c>
      <c r="L375" s="22">
        <f>无限之旅!Y53</f>
        <v>44.9424186126897</v>
      </c>
      <c r="M375" s="22">
        <f t="shared" si="11"/>
        <v>1</v>
      </c>
      <c r="N375" t="s">
        <v>6163</v>
      </c>
    </row>
    <row r="376" spans="1:14">
      <c r="A376" t="s">
        <v>5561</v>
      </c>
      <c r="B376" t="s">
        <v>5661</v>
      </c>
      <c r="C376">
        <v>278</v>
      </c>
      <c r="D376">
        <v>327</v>
      </c>
      <c r="E376">
        <v>336</v>
      </c>
      <c r="F376" s="22">
        <f>无限之旅!K54</f>
        <v>1.14926632436461</v>
      </c>
      <c r="G376" s="22">
        <f>无限之旅!L54</f>
        <v>1.14439867356177</v>
      </c>
      <c r="H376" s="22">
        <v>78.5292669580907</v>
      </c>
      <c r="I376" s="22">
        <f>无限之旅!X54</f>
        <v>78.529266958091</v>
      </c>
      <c r="J376" s="22">
        <f t="shared" si="10"/>
        <v>1</v>
      </c>
      <c r="K376" s="22">
        <v>43.6553101362709</v>
      </c>
      <c r="L376" s="22">
        <f>无限之旅!Y54</f>
        <v>43.655310136271</v>
      </c>
      <c r="M376" s="22">
        <f t="shared" si="11"/>
        <v>1</v>
      </c>
      <c r="N376" t="s">
        <v>6163</v>
      </c>
    </row>
    <row r="377" spans="1:14">
      <c r="A377" t="s">
        <v>5561</v>
      </c>
      <c r="B377" t="s">
        <v>5663</v>
      </c>
      <c r="C377">
        <v>278</v>
      </c>
      <c r="D377">
        <v>332</v>
      </c>
      <c r="E377">
        <v>342</v>
      </c>
      <c r="F377" s="22">
        <f>无限之旅!K55</f>
        <v>1.13637087029345</v>
      </c>
      <c r="G377" s="22">
        <f>无限之旅!L55</f>
        <v>1.14135639306328</v>
      </c>
      <c r="H377" s="22">
        <v>83.2905299302231</v>
      </c>
      <c r="I377" s="22">
        <f>无限之旅!X55</f>
        <v>83.2905299302234</v>
      </c>
      <c r="J377" s="22">
        <f t="shared" si="10"/>
        <v>1</v>
      </c>
      <c r="K377" s="22">
        <v>42.1124440180825</v>
      </c>
      <c r="L377" s="22">
        <f>无限之旅!Y55</f>
        <v>42.1124440180825</v>
      </c>
      <c r="M377" s="22">
        <f t="shared" si="11"/>
        <v>0.999999999999999</v>
      </c>
      <c r="N377" t="s">
        <v>6163</v>
      </c>
    </row>
    <row r="378" spans="1:14">
      <c r="A378" t="s">
        <v>5561</v>
      </c>
      <c r="B378" t="s">
        <v>5665</v>
      </c>
      <c r="C378">
        <v>278</v>
      </c>
      <c r="D378">
        <v>336</v>
      </c>
      <c r="E378">
        <v>346</v>
      </c>
      <c r="F378" s="22">
        <f>无限之旅!K56</f>
        <v>1.13673568122657</v>
      </c>
      <c r="G378" s="22">
        <f>无限之旅!L56</f>
        <v>1.14471395156196</v>
      </c>
      <c r="H378" s="22">
        <v>87.2739084441828</v>
      </c>
      <c r="I378" s="22">
        <f>无限之旅!X56</f>
        <v>87.273908444183</v>
      </c>
      <c r="J378" s="22">
        <f t="shared" si="10"/>
        <v>1</v>
      </c>
      <c r="K378" s="22">
        <v>40.9271917103223</v>
      </c>
      <c r="L378" s="22">
        <f>无限之旅!Y56</f>
        <v>40.9271917103224</v>
      </c>
      <c r="M378" s="22">
        <f t="shared" si="11"/>
        <v>1</v>
      </c>
      <c r="N378" t="s">
        <v>6163</v>
      </c>
    </row>
    <row r="379" spans="1:14">
      <c r="A379" t="s">
        <v>5561</v>
      </c>
      <c r="B379" t="s">
        <v>5667</v>
      </c>
      <c r="C379">
        <v>278</v>
      </c>
      <c r="D379">
        <v>340</v>
      </c>
      <c r="E379">
        <v>350</v>
      </c>
      <c r="F379" s="22">
        <f>无限之旅!K57</f>
        <v>1.13710152318637</v>
      </c>
      <c r="G379" s="22">
        <f>无限之旅!L57</f>
        <v>1.14798526654775</v>
      </c>
      <c r="H379" s="22">
        <v>91.4192482355679</v>
      </c>
      <c r="I379" s="22">
        <f>无限之旅!X57</f>
        <v>91.4192482355682</v>
      </c>
      <c r="J379" s="22">
        <f t="shared" si="10"/>
        <v>1</v>
      </c>
      <c r="K379" s="22">
        <v>39.7844305124672</v>
      </c>
      <c r="L379" s="22">
        <f>无限之旅!Y57</f>
        <v>39.7844305124672</v>
      </c>
      <c r="M379" s="22">
        <f t="shared" si="11"/>
        <v>1</v>
      </c>
      <c r="N379" t="s">
        <v>6163</v>
      </c>
    </row>
    <row r="380" spans="1:14">
      <c r="A380" t="s">
        <v>5561</v>
      </c>
      <c r="B380" t="s">
        <v>5669</v>
      </c>
      <c r="C380">
        <v>278</v>
      </c>
      <c r="D380">
        <v>344</v>
      </c>
      <c r="E380">
        <v>354</v>
      </c>
      <c r="F380" s="22">
        <f>无限之旅!K58</f>
        <v>1.13748697511078</v>
      </c>
      <c r="G380" s="22">
        <f>无限之旅!L58</f>
        <v>1.1511523271976</v>
      </c>
      <c r="H380" s="22">
        <v>95.7337104680081</v>
      </c>
      <c r="I380" s="22">
        <f>无限之旅!X58</f>
        <v>95.7337104680085</v>
      </c>
      <c r="J380" s="22">
        <f t="shared" si="10"/>
        <v>1</v>
      </c>
      <c r="K380" s="22">
        <v>38.6820715460243</v>
      </c>
      <c r="L380" s="22">
        <f>无限之旅!Y58</f>
        <v>38.6820715460243</v>
      </c>
      <c r="M380" s="22">
        <f t="shared" si="11"/>
        <v>0.999999999999999</v>
      </c>
      <c r="N380" t="s">
        <v>6163</v>
      </c>
    </row>
    <row r="381" spans="1:14">
      <c r="A381" t="s">
        <v>5561</v>
      </c>
      <c r="B381" t="s">
        <v>5671</v>
      </c>
      <c r="C381">
        <v>278</v>
      </c>
      <c r="D381">
        <v>348</v>
      </c>
      <c r="E381">
        <v>358</v>
      </c>
      <c r="F381" s="22">
        <f>无限之旅!K59</f>
        <v>1.13783556333648</v>
      </c>
      <c r="G381" s="22">
        <f>无限之旅!L59</f>
        <v>1.15424727351154</v>
      </c>
      <c r="H381" s="22">
        <v>100.219862896681</v>
      </c>
      <c r="I381" s="22">
        <f>无限之旅!X59</f>
        <v>100.219862896681</v>
      </c>
      <c r="J381" s="22">
        <f t="shared" si="10"/>
        <v>1</v>
      </c>
      <c r="K381" s="22">
        <v>37.6176971237333</v>
      </c>
      <c r="L381" s="22">
        <f>无限之旅!Y59</f>
        <v>37.6176971237333</v>
      </c>
      <c r="M381" s="22">
        <f t="shared" si="11"/>
        <v>1</v>
      </c>
      <c r="N381" t="s">
        <v>6163</v>
      </c>
    </row>
    <row r="382" spans="1:14">
      <c r="A382" t="s">
        <v>5561</v>
      </c>
      <c r="B382" t="s">
        <v>5673</v>
      </c>
      <c r="C382">
        <v>278</v>
      </c>
      <c r="D382">
        <v>352</v>
      </c>
      <c r="E382">
        <v>362</v>
      </c>
      <c r="F382" s="22">
        <f>无限之旅!K60</f>
        <v>1.13816744512566</v>
      </c>
      <c r="G382" s="22">
        <f>无限之旅!L60</f>
        <v>1.15723774311513</v>
      </c>
      <c r="H382" s="22">
        <v>104.885188677311</v>
      </c>
      <c r="I382" s="22">
        <f>无限之旅!X60</f>
        <v>104.88518867731</v>
      </c>
      <c r="J382" s="22">
        <f t="shared" si="10"/>
        <v>0.999999999999995</v>
      </c>
      <c r="K382" s="22">
        <v>36.5900279738151</v>
      </c>
      <c r="L382" s="22">
        <f>无限之旅!Y60</f>
        <v>36.5900279738152</v>
      </c>
      <c r="M382" s="22">
        <f t="shared" si="11"/>
        <v>1</v>
      </c>
      <c r="N382" t="s">
        <v>6163</v>
      </c>
    </row>
    <row r="383" spans="1:14">
      <c r="A383" t="s">
        <v>5561</v>
      </c>
      <c r="B383" t="s">
        <v>5675</v>
      </c>
      <c r="C383">
        <v>278</v>
      </c>
      <c r="D383">
        <v>356</v>
      </c>
      <c r="E383">
        <v>366</v>
      </c>
      <c r="F383" s="22">
        <f>无限之旅!K61</f>
        <v>1.13850064066516</v>
      </c>
      <c r="G383" s="22">
        <f>无限之旅!L61</f>
        <v>1.16015917650443</v>
      </c>
      <c r="H383" s="22">
        <v>109.735810738208</v>
      </c>
      <c r="I383" s="22">
        <f>无限之旅!X61</f>
        <v>109.735810738208</v>
      </c>
      <c r="J383" s="22">
        <f t="shared" si="10"/>
        <v>0.999999999999998</v>
      </c>
      <c r="K383" s="22">
        <v>35.5978006372836</v>
      </c>
      <c r="L383" s="22">
        <f>无限之旅!Y61</f>
        <v>35.5978006372836</v>
      </c>
      <c r="M383" s="22">
        <f t="shared" si="11"/>
        <v>1</v>
      </c>
      <c r="N383" t="s">
        <v>6163</v>
      </c>
    </row>
    <row r="384" spans="1:14">
      <c r="A384" t="s">
        <v>5561</v>
      </c>
      <c r="B384" t="s">
        <v>5677</v>
      </c>
      <c r="C384">
        <v>278</v>
      </c>
      <c r="D384">
        <v>360</v>
      </c>
      <c r="E384">
        <v>370</v>
      </c>
      <c r="F384" s="22">
        <f>无限之旅!K62</f>
        <v>1.13882001059118</v>
      </c>
      <c r="G384" s="22">
        <f>无限之旅!L62</f>
        <v>1.16297859563512</v>
      </c>
      <c r="H384" s="22">
        <v>114.779924992467</v>
      </c>
      <c r="I384" s="22">
        <f>无限之旅!X62</f>
        <v>114.779924992467</v>
      </c>
      <c r="J384" s="22">
        <f t="shared" si="10"/>
        <v>1</v>
      </c>
      <c r="K384" s="22">
        <v>34.6393679661119</v>
      </c>
      <c r="L384" s="22">
        <f>无限之旅!Y62</f>
        <v>34.639367966112</v>
      </c>
      <c r="M384" s="22">
        <f t="shared" si="11"/>
        <v>1</v>
      </c>
      <c r="N384" t="s">
        <v>6163</v>
      </c>
    </row>
    <row r="385" spans="1:14">
      <c r="A385" t="s">
        <v>5561</v>
      </c>
      <c r="B385" t="s">
        <v>5679</v>
      </c>
      <c r="C385">
        <v>278</v>
      </c>
      <c r="D385">
        <v>364</v>
      </c>
      <c r="E385">
        <v>374</v>
      </c>
      <c r="F385" s="22">
        <f>无限之旅!K63</f>
        <v>1.13913941288448</v>
      </c>
      <c r="G385" s="22">
        <f>无限之旅!L63</f>
        <v>1.16571241387348</v>
      </c>
      <c r="H385" s="22">
        <v>120.020243333565</v>
      </c>
      <c r="I385" s="22">
        <f>无限之旅!X63</f>
        <v>120.020243333565</v>
      </c>
      <c r="J385" s="22">
        <f t="shared" si="10"/>
        <v>1</v>
      </c>
      <c r="K385" s="22">
        <v>33.7131921723814</v>
      </c>
      <c r="L385" s="22">
        <f>无限之旅!Y63</f>
        <v>33.7131921723815</v>
      </c>
      <c r="M385" s="22">
        <f t="shared" si="11"/>
        <v>1</v>
      </c>
      <c r="N385" t="s">
        <v>6163</v>
      </c>
    </row>
    <row r="386" spans="1:14">
      <c r="A386" t="s">
        <v>5561</v>
      </c>
      <c r="B386" t="s">
        <v>5681</v>
      </c>
      <c r="C386">
        <v>278</v>
      </c>
      <c r="D386">
        <v>368</v>
      </c>
      <c r="E386">
        <v>378</v>
      </c>
      <c r="F386" s="22">
        <f>无限之旅!K64</f>
        <v>1.13942673898147</v>
      </c>
      <c r="G386" s="22">
        <f>无限之旅!L64</f>
        <v>1.1683606093927</v>
      </c>
      <c r="H386" s="22">
        <v>125.465305184338</v>
      </c>
      <c r="I386" s="22">
        <f>无限之旅!X64</f>
        <v>125.465305184338</v>
      </c>
      <c r="J386" s="22">
        <f t="shared" ref="J386:J449" si="12">I386/H386</f>
        <v>1</v>
      </c>
      <c r="K386" s="22">
        <v>32.8178351273639</v>
      </c>
      <c r="L386" s="22">
        <f>无限之旅!Y64</f>
        <v>32.8178351273639</v>
      </c>
      <c r="M386" s="22">
        <f t="shared" ref="M386:M449" si="13">L386/K386</f>
        <v>1</v>
      </c>
      <c r="N386" t="s">
        <v>6163</v>
      </c>
    </row>
    <row r="387" spans="1:14">
      <c r="A387" t="s">
        <v>5561</v>
      </c>
      <c r="B387" t="s">
        <v>5683</v>
      </c>
      <c r="C387">
        <v>278</v>
      </c>
      <c r="D387">
        <v>372</v>
      </c>
      <c r="E387">
        <v>383</v>
      </c>
      <c r="F387" s="22">
        <f>无限之旅!K65</f>
        <v>1.12735172031573</v>
      </c>
      <c r="G387" s="22">
        <f>无限之旅!L65</f>
        <v>1.16377832714393</v>
      </c>
      <c r="H387" s="22">
        <v>131.121910940032</v>
      </c>
      <c r="I387" s="22">
        <f>无限之旅!X65</f>
        <v>131.121910940032</v>
      </c>
      <c r="J387" s="22">
        <f t="shared" si="12"/>
        <v>0.999999999999999</v>
      </c>
      <c r="K387" s="22">
        <v>31.9522935066394</v>
      </c>
      <c r="L387" s="22">
        <f>无限之旅!Y65</f>
        <v>31.9522935066395</v>
      </c>
      <c r="M387" s="22">
        <f t="shared" si="13"/>
        <v>1</v>
      </c>
      <c r="N387" t="s">
        <v>6163</v>
      </c>
    </row>
    <row r="388" spans="1:14">
      <c r="A388" t="s">
        <v>5561</v>
      </c>
      <c r="B388" t="s">
        <v>5685</v>
      </c>
      <c r="C388">
        <v>278</v>
      </c>
      <c r="D388">
        <v>376</v>
      </c>
      <c r="E388">
        <v>387</v>
      </c>
      <c r="F388" s="22">
        <f>无限之旅!K66</f>
        <v>1.12767769208495</v>
      </c>
      <c r="G388" s="22">
        <f>无限之旅!L66</f>
        <v>1.1662879862015</v>
      </c>
      <c r="H388" s="22">
        <v>136.994923091773</v>
      </c>
      <c r="I388" s="22">
        <f>无限之旅!X66</f>
        <v>136.994923091773</v>
      </c>
      <c r="J388" s="22">
        <f t="shared" si="12"/>
        <v>1</v>
      </c>
      <c r="K388" s="22">
        <v>31.1152500226236</v>
      </c>
      <c r="L388" s="22">
        <f>无限之旅!Y66</f>
        <v>31.1152500226237</v>
      </c>
      <c r="M388" s="22">
        <f t="shared" si="13"/>
        <v>1</v>
      </c>
      <c r="N388" t="s">
        <v>6163</v>
      </c>
    </row>
    <row r="389" spans="1:14">
      <c r="A389" t="s">
        <v>5561</v>
      </c>
      <c r="B389" t="s">
        <v>5687</v>
      </c>
      <c r="C389">
        <v>278</v>
      </c>
      <c r="D389">
        <v>379</v>
      </c>
      <c r="E389">
        <v>390</v>
      </c>
      <c r="F389" s="22">
        <f>无限之旅!K67</f>
        <v>1.12795747680883</v>
      </c>
      <c r="G389" s="22">
        <f>无限之旅!L67</f>
        <v>1.16808967458214</v>
      </c>
      <c r="H389" s="22">
        <v>141.550797105099</v>
      </c>
      <c r="I389" s="22">
        <f>无限之旅!X67</f>
        <v>141.550797105099</v>
      </c>
      <c r="J389" s="22">
        <f t="shared" si="12"/>
        <v>1</v>
      </c>
      <c r="K389" s="22">
        <v>30.5056610419155</v>
      </c>
      <c r="L389" s="22">
        <f>无限之旅!Y67</f>
        <v>30.5056610419154</v>
      </c>
      <c r="M389" s="22">
        <f t="shared" si="13"/>
        <v>0.999999999999998</v>
      </c>
      <c r="N389" t="s">
        <v>6163</v>
      </c>
    </row>
    <row r="390" spans="1:14">
      <c r="A390" t="s">
        <v>5561</v>
      </c>
      <c r="B390" t="s">
        <v>5689</v>
      </c>
      <c r="C390">
        <v>278</v>
      </c>
      <c r="D390">
        <v>383</v>
      </c>
      <c r="E390">
        <v>394</v>
      </c>
      <c r="F390" s="22">
        <f>无限之旅!K68</f>
        <v>1.12828724671302</v>
      </c>
      <c r="G390" s="22">
        <f>无限之旅!L68</f>
        <v>1.17044022325508</v>
      </c>
      <c r="H390" s="22">
        <v>147.825442195279</v>
      </c>
      <c r="I390" s="22">
        <f>无限之旅!X68</f>
        <v>147.825442195278</v>
      </c>
      <c r="J390" s="22">
        <f t="shared" si="12"/>
        <v>0.999999999999993</v>
      </c>
      <c r="K390" s="22">
        <v>29.7158951640115</v>
      </c>
      <c r="L390" s="22">
        <f>无限之旅!Y68</f>
        <v>29.7158951640116</v>
      </c>
      <c r="M390" s="22">
        <f t="shared" si="13"/>
        <v>1</v>
      </c>
      <c r="N390" t="s">
        <v>6163</v>
      </c>
    </row>
    <row r="391" spans="1:14">
      <c r="A391" t="s">
        <v>5561</v>
      </c>
      <c r="B391" t="s">
        <v>5691</v>
      </c>
      <c r="C391">
        <v>278</v>
      </c>
      <c r="D391">
        <v>387</v>
      </c>
      <c r="E391">
        <v>398</v>
      </c>
      <c r="F391" s="22">
        <f>无限之旅!K69</f>
        <v>1.12860392541256</v>
      </c>
      <c r="G391" s="22">
        <f>无限之旅!L69</f>
        <v>1.17271068310817</v>
      </c>
      <c r="H391" s="22">
        <v>154.339087578392</v>
      </c>
      <c r="I391" s="22">
        <f>无限之旅!X69</f>
        <v>154.339087578391</v>
      </c>
      <c r="J391" s="22">
        <f t="shared" si="12"/>
        <v>0.999999999999995</v>
      </c>
      <c r="K391" s="22">
        <v>28.9513044426365</v>
      </c>
      <c r="L391" s="22">
        <f>无限之旅!Y69</f>
        <v>28.9513044426367</v>
      </c>
      <c r="M391" s="22">
        <f t="shared" si="13"/>
        <v>1.00000000000001</v>
      </c>
      <c r="N391" t="s">
        <v>6163</v>
      </c>
    </row>
    <row r="392" spans="1:14">
      <c r="A392" t="s">
        <v>5561</v>
      </c>
      <c r="B392" t="s">
        <v>5693</v>
      </c>
      <c r="C392">
        <v>278</v>
      </c>
      <c r="D392">
        <v>390</v>
      </c>
      <c r="E392">
        <v>401</v>
      </c>
      <c r="F392" s="22">
        <f>无限之旅!K70</f>
        <v>1.12883798708128</v>
      </c>
      <c r="G392" s="22">
        <f>无限之旅!L70</f>
        <v>1.17436894219228</v>
      </c>
      <c r="H392" s="22">
        <v>159.385293221673</v>
      </c>
      <c r="I392" s="22">
        <f>无限之旅!X70</f>
        <v>159.385293221673</v>
      </c>
      <c r="J392" s="22">
        <f t="shared" si="12"/>
        <v>1</v>
      </c>
      <c r="K392" s="22">
        <v>28.3940268522922</v>
      </c>
      <c r="L392" s="22">
        <f>无限之旅!Y70</f>
        <v>28.3940268522924</v>
      </c>
      <c r="M392" s="22">
        <f t="shared" si="13"/>
        <v>1.00000000000001</v>
      </c>
      <c r="N392" t="s">
        <v>6163</v>
      </c>
    </row>
    <row r="393" spans="1:14">
      <c r="A393" t="s">
        <v>5561</v>
      </c>
      <c r="B393" t="s">
        <v>5695</v>
      </c>
      <c r="C393">
        <v>278</v>
      </c>
      <c r="D393">
        <v>394</v>
      </c>
      <c r="E393">
        <v>405</v>
      </c>
      <c r="F393" s="22">
        <f>无限之旅!K71</f>
        <v>1.12914154904076</v>
      </c>
      <c r="G393" s="22">
        <f>无限之旅!L71</f>
        <v>1.17648742565716</v>
      </c>
      <c r="H393" s="22">
        <v>166.33530373071</v>
      </c>
      <c r="I393" s="22">
        <f>无限之旅!X71</f>
        <v>166.33530373071</v>
      </c>
      <c r="J393" s="22">
        <f t="shared" si="12"/>
        <v>1</v>
      </c>
      <c r="K393" s="22">
        <v>27.6719183292703</v>
      </c>
      <c r="L393" s="22">
        <f>无限之旅!Y71</f>
        <v>27.6719183292704</v>
      </c>
      <c r="M393" s="22">
        <f t="shared" si="13"/>
        <v>1</v>
      </c>
      <c r="N393" t="s">
        <v>6163</v>
      </c>
    </row>
    <row r="394" spans="1:14">
      <c r="A394" t="s">
        <v>5561</v>
      </c>
      <c r="B394" t="s">
        <v>5697</v>
      </c>
      <c r="C394">
        <v>278</v>
      </c>
      <c r="D394">
        <v>397</v>
      </c>
      <c r="E394">
        <v>408</v>
      </c>
      <c r="F394" s="22">
        <f>无限之旅!K72</f>
        <v>1.12936333502891</v>
      </c>
      <c r="G394" s="22">
        <f>无限之旅!L72</f>
        <v>1.1780317968529</v>
      </c>
      <c r="H394" s="22">
        <v>171.718656812052</v>
      </c>
      <c r="I394" s="22">
        <f>无限之旅!X72</f>
        <v>171.718656812052</v>
      </c>
      <c r="J394" s="22">
        <f t="shared" si="12"/>
        <v>0.999999999999999</v>
      </c>
      <c r="K394" s="22">
        <v>27.1452389194436</v>
      </c>
      <c r="L394" s="22">
        <f>无限之旅!Y72</f>
        <v>27.1452389194436</v>
      </c>
      <c r="M394" s="22">
        <f t="shared" si="13"/>
        <v>1</v>
      </c>
      <c r="N394" t="s">
        <v>6163</v>
      </c>
    </row>
    <row r="395" spans="1:14">
      <c r="A395" t="s">
        <v>5561</v>
      </c>
      <c r="B395" t="s">
        <v>5699</v>
      </c>
      <c r="C395">
        <v>278</v>
      </c>
      <c r="D395">
        <v>401</v>
      </c>
      <c r="E395">
        <v>412</v>
      </c>
      <c r="F395" s="22">
        <f>无限之旅!K73</f>
        <v>1.12965610554697</v>
      </c>
      <c r="G395" s="22">
        <f>无限之旅!L73</f>
        <v>1.18002485922812</v>
      </c>
      <c r="H395" s="22">
        <v>179.13017829536</v>
      </c>
      <c r="I395" s="22">
        <f>无限之旅!X73</f>
        <v>179.13017829536</v>
      </c>
      <c r="J395" s="22">
        <f t="shared" si="12"/>
        <v>0.999999999999998</v>
      </c>
      <c r="K395" s="22">
        <v>26.4623261340945</v>
      </c>
      <c r="L395" s="22">
        <f>无限之旅!Y73</f>
        <v>26.4623261340946</v>
      </c>
      <c r="M395" s="22">
        <f t="shared" si="13"/>
        <v>1.00000000000001</v>
      </c>
      <c r="N395" t="s">
        <v>6163</v>
      </c>
    </row>
    <row r="396" spans="1:14">
      <c r="A396" t="s">
        <v>5561</v>
      </c>
      <c r="B396" t="s">
        <v>5701</v>
      </c>
      <c r="C396">
        <v>278</v>
      </c>
      <c r="D396">
        <v>404</v>
      </c>
      <c r="E396">
        <v>415</v>
      </c>
      <c r="F396" s="22">
        <f>无限之旅!K74</f>
        <v>1.12988141538256</v>
      </c>
      <c r="G396" s="22">
        <f>无限之旅!L74</f>
        <v>1.18147050448292</v>
      </c>
      <c r="H396" s="22">
        <v>184.869998928256</v>
      </c>
      <c r="I396" s="22">
        <f>无限之旅!X74</f>
        <v>184.869998928256</v>
      </c>
      <c r="J396" s="22">
        <f t="shared" si="12"/>
        <v>1</v>
      </c>
      <c r="K396" s="22">
        <v>25.9641545941417</v>
      </c>
      <c r="L396" s="22">
        <f>无限之旅!Y74</f>
        <v>25.9641545941418</v>
      </c>
      <c r="M396" s="22">
        <f t="shared" si="13"/>
        <v>1</v>
      </c>
      <c r="N396" t="s">
        <v>6163</v>
      </c>
    </row>
    <row r="397" spans="1:14">
      <c r="A397" t="s">
        <v>5561</v>
      </c>
      <c r="B397" t="s">
        <v>5703</v>
      </c>
      <c r="C397">
        <v>278</v>
      </c>
      <c r="D397">
        <v>407</v>
      </c>
      <c r="E397">
        <v>418</v>
      </c>
      <c r="F397" s="22">
        <f>无限之旅!K75</f>
        <v>1.13009341680632</v>
      </c>
      <c r="G397" s="22">
        <f>无限之旅!L75</f>
        <v>1.18287780933369</v>
      </c>
      <c r="H397" s="22">
        <v>190.769598699849</v>
      </c>
      <c r="I397" s="22">
        <f>无限之旅!X75</f>
        <v>190.769598699848</v>
      </c>
      <c r="J397" s="22">
        <f t="shared" si="12"/>
        <v>0.999999999999995</v>
      </c>
      <c r="K397" s="22">
        <v>25.4773963119606</v>
      </c>
      <c r="L397" s="22">
        <f>无限之旅!Y75</f>
        <v>25.4773963119607</v>
      </c>
      <c r="M397" s="22">
        <f t="shared" si="13"/>
        <v>1</v>
      </c>
      <c r="N397" t="s">
        <v>6163</v>
      </c>
    </row>
    <row r="398" spans="1:14">
      <c r="A398" t="s">
        <v>5561</v>
      </c>
      <c r="B398" t="s">
        <v>5705</v>
      </c>
      <c r="C398">
        <v>278</v>
      </c>
      <c r="D398">
        <v>411</v>
      </c>
      <c r="E398">
        <v>422</v>
      </c>
      <c r="F398" s="22">
        <f>无限之旅!K76</f>
        <v>1.13037843791371</v>
      </c>
      <c r="G398" s="22">
        <f>无限之旅!L76</f>
        <v>1.18466657994138</v>
      </c>
      <c r="H398" s="22">
        <v>198.888638312418</v>
      </c>
      <c r="I398" s="22">
        <f>无限之旅!X76</f>
        <v>198.888638312419</v>
      </c>
      <c r="J398" s="22">
        <f t="shared" si="12"/>
        <v>1</v>
      </c>
      <c r="K398" s="22">
        <v>24.8463772082588</v>
      </c>
      <c r="L398" s="22">
        <f>无限之旅!Y76</f>
        <v>24.8463772082589</v>
      </c>
      <c r="M398" s="22">
        <f t="shared" si="13"/>
        <v>1</v>
      </c>
      <c r="N398" t="s">
        <v>6163</v>
      </c>
    </row>
    <row r="399" spans="1:14">
      <c r="A399" t="s">
        <v>5561</v>
      </c>
      <c r="B399" t="s">
        <v>5707</v>
      </c>
      <c r="C399">
        <v>278</v>
      </c>
      <c r="D399">
        <v>414</v>
      </c>
      <c r="E399">
        <v>425</v>
      </c>
      <c r="F399" s="22">
        <f>无限之旅!K77</f>
        <v>1.13056348873847</v>
      </c>
      <c r="G399" s="22">
        <f>无限之旅!L77</f>
        <v>1.1859682968672</v>
      </c>
      <c r="H399" s="22">
        <v>205.171075960127</v>
      </c>
      <c r="I399" s="22">
        <f>无限之旅!X77</f>
        <v>205.171075960128</v>
      </c>
      <c r="J399" s="22">
        <f t="shared" si="12"/>
        <v>1.00000000000001</v>
      </c>
      <c r="K399" s="22">
        <v>24.3856394139594</v>
      </c>
      <c r="L399" s="22">
        <f>无限之旅!Y77</f>
        <v>24.3856394139594</v>
      </c>
      <c r="M399" s="22">
        <f t="shared" si="13"/>
        <v>1</v>
      </c>
      <c r="N399" t="s">
        <v>6163</v>
      </c>
    </row>
    <row r="400" spans="1:14">
      <c r="A400" t="s">
        <v>5561</v>
      </c>
      <c r="B400" t="s">
        <v>5709</v>
      </c>
      <c r="C400">
        <v>278</v>
      </c>
      <c r="D400">
        <v>417</v>
      </c>
      <c r="E400">
        <v>428</v>
      </c>
      <c r="F400" s="22">
        <f>无限之旅!K78</f>
        <v>1.13076537714447</v>
      </c>
      <c r="G400" s="22">
        <f>无限之旅!L78</f>
        <v>1.18723530021177</v>
      </c>
      <c r="H400" s="22">
        <v>211.626122550884</v>
      </c>
      <c r="I400" s="22">
        <f>无限之旅!X78</f>
        <v>211.626122550884</v>
      </c>
      <c r="J400" s="22">
        <f t="shared" si="12"/>
        <v>1</v>
      </c>
      <c r="K400" s="22">
        <v>23.9355022663513</v>
      </c>
      <c r="L400" s="22">
        <f>无限之旅!Y78</f>
        <v>23.9355022663514</v>
      </c>
      <c r="M400" s="22">
        <f t="shared" si="13"/>
        <v>1</v>
      </c>
      <c r="N400" t="s">
        <v>6163</v>
      </c>
    </row>
    <row r="401" spans="1:14">
      <c r="A401" t="s">
        <v>5561</v>
      </c>
      <c r="B401" t="s">
        <v>5711</v>
      </c>
      <c r="C401">
        <v>278</v>
      </c>
      <c r="D401">
        <v>421</v>
      </c>
      <c r="E401">
        <v>433</v>
      </c>
      <c r="F401" s="22">
        <f>无限之旅!K79</f>
        <v>1.11955250865554</v>
      </c>
      <c r="G401" s="22">
        <f>无限之旅!L79</f>
        <v>1.18194397276598</v>
      </c>
      <c r="H401" s="22">
        <v>220.50722290242</v>
      </c>
      <c r="I401" s="22">
        <f>无限之旅!X79</f>
        <v>220.50722290242</v>
      </c>
      <c r="J401" s="22">
        <f t="shared" si="12"/>
        <v>1</v>
      </c>
      <c r="K401" s="22">
        <v>23.3512412525677</v>
      </c>
      <c r="L401" s="22">
        <f>无限之旅!Y79</f>
        <v>23.3512412525678</v>
      </c>
      <c r="M401" s="22">
        <f t="shared" si="13"/>
        <v>1</v>
      </c>
      <c r="N401" t="s">
        <v>6163</v>
      </c>
    </row>
    <row r="402" spans="1:14">
      <c r="A402" t="s">
        <v>5561</v>
      </c>
      <c r="B402" t="s">
        <v>5713</v>
      </c>
      <c r="C402">
        <v>278</v>
      </c>
      <c r="D402">
        <v>424</v>
      </c>
      <c r="E402">
        <v>436</v>
      </c>
      <c r="F402" s="22">
        <f>无限之旅!K80</f>
        <v>1.11978234233823</v>
      </c>
      <c r="G402" s="22">
        <f>无限之旅!L80</f>
        <v>1.18311309448798</v>
      </c>
      <c r="H402" s="22">
        <v>227.379138047711</v>
      </c>
      <c r="I402" s="22">
        <f>无限之旅!X80</f>
        <v>227.37913804771</v>
      </c>
      <c r="J402" s="22">
        <f t="shared" si="12"/>
        <v>0.999999999999994</v>
      </c>
      <c r="K402" s="22">
        <v>22.9246999888751</v>
      </c>
      <c r="L402" s="22">
        <f>无限之旅!Y80</f>
        <v>22.9246999888751</v>
      </c>
      <c r="M402" s="22">
        <f t="shared" si="13"/>
        <v>1</v>
      </c>
      <c r="N402" t="s">
        <v>6163</v>
      </c>
    </row>
    <row r="403" spans="1:14">
      <c r="A403" t="s">
        <v>5561</v>
      </c>
      <c r="B403" t="s">
        <v>5715</v>
      </c>
      <c r="C403">
        <v>278</v>
      </c>
      <c r="D403">
        <v>427</v>
      </c>
      <c r="E403">
        <v>439</v>
      </c>
      <c r="F403" s="22">
        <f>无限之旅!K81</f>
        <v>1.12001419313272</v>
      </c>
      <c r="G403" s="22">
        <f>无限之旅!L81</f>
        <v>1.18424017176307</v>
      </c>
      <c r="H403" s="22">
        <v>234.437699775448</v>
      </c>
      <c r="I403" s="22">
        <f>无限之旅!X81</f>
        <v>234.437699775449</v>
      </c>
      <c r="J403" s="22">
        <f t="shared" si="12"/>
        <v>1</v>
      </c>
      <c r="K403" s="22">
        <v>22.5078303922549</v>
      </c>
      <c r="L403" s="22">
        <f>无限之旅!Y81</f>
        <v>22.5078303922549</v>
      </c>
      <c r="M403" s="22">
        <f t="shared" si="13"/>
        <v>0.999999999999998</v>
      </c>
      <c r="N403" t="s">
        <v>6163</v>
      </c>
    </row>
    <row r="404" spans="1:14">
      <c r="A404" t="s">
        <v>5561</v>
      </c>
      <c r="B404" t="s">
        <v>5717</v>
      </c>
      <c r="C404">
        <v>278</v>
      </c>
      <c r="D404">
        <v>430</v>
      </c>
      <c r="E404">
        <v>442</v>
      </c>
      <c r="F404" s="22">
        <f>无限之旅!K82</f>
        <v>1.12023251984879</v>
      </c>
      <c r="G404" s="22">
        <f>无限之旅!L82</f>
        <v>1.18533366181084</v>
      </c>
      <c r="H404" s="22">
        <v>241.683904963896</v>
      </c>
      <c r="I404" s="22">
        <f>无限之旅!X82</f>
        <v>241.683904963896</v>
      </c>
      <c r="J404" s="22">
        <f t="shared" si="12"/>
        <v>1</v>
      </c>
      <c r="K404" s="22">
        <v>22.1000925875739</v>
      </c>
      <c r="L404" s="22">
        <f>无限之旅!Y82</f>
        <v>22.100092587574</v>
      </c>
      <c r="M404" s="22">
        <f t="shared" si="13"/>
        <v>1</v>
      </c>
      <c r="N404" t="s">
        <v>6163</v>
      </c>
    </row>
    <row r="405" spans="1:14">
      <c r="A405" t="s">
        <v>5561</v>
      </c>
      <c r="B405" t="s">
        <v>5719</v>
      </c>
      <c r="C405">
        <v>278</v>
      </c>
      <c r="D405">
        <v>433</v>
      </c>
      <c r="E405">
        <v>445</v>
      </c>
      <c r="F405" s="22">
        <f>无限之旅!K83</f>
        <v>1.12045299541737</v>
      </c>
      <c r="G405" s="22">
        <f>无限之旅!L83</f>
        <v>1.18638741703093</v>
      </c>
      <c r="H405" s="22">
        <v>249.12549856601</v>
      </c>
      <c r="I405" s="22">
        <f>无限之旅!X83</f>
        <v>249.12549856601</v>
      </c>
      <c r="J405" s="22">
        <f t="shared" si="12"/>
        <v>1</v>
      </c>
      <c r="K405" s="22">
        <v>21.7016293460331</v>
      </c>
      <c r="L405" s="22">
        <f>无限之旅!Y83</f>
        <v>21.701629346033</v>
      </c>
      <c r="M405" s="22">
        <f t="shared" si="13"/>
        <v>0.999999999999996</v>
      </c>
      <c r="N405" t="s">
        <v>6163</v>
      </c>
    </row>
    <row r="406" spans="1:14">
      <c r="A406" t="s">
        <v>5561</v>
      </c>
      <c r="B406" t="s">
        <v>5721</v>
      </c>
      <c r="C406">
        <v>278</v>
      </c>
      <c r="D406">
        <v>436</v>
      </c>
      <c r="E406">
        <v>448</v>
      </c>
      <c r="F406" s="22">
        <f>无限之旅!K84</f>
        <v>1.12067505540405</v>
      </c>
      <c r="G406" s="22">
        <f>无限之旅!L84</f>
        <v>1.18739943801421</v>
      </c>
      <c r="H406" s="22">
        <v>256.766984306347</v>
      </c>
      <c r="I406" s="22">
        <f>无限之旅!X84</f>
        <v>256.766984306347</v>
      </c>
      <c r="J406" s="22">
        <f t="shared" si="12"/>
        <v>1</v>
      </c>
      <c r="K406" s="22">
        <v>21.3119252146631</v>
      </c>
      <c r="L406" s="22">
        <f>无限之旅!Y84</f>
        <v>21.3119252146632</v>
      </c>
      <c r="M406" s="22">
        <f t="shared" si="13"/>
        <v>1.00000000000001</v>
      </c>
      <c r="N406" t="s">
        <v>6163</v>
      </c>
    </row>
    <row r="407" spans="1:14">
      <c r="A407" t="s">
        <v>5561</v>
      </c>
      <c r="B407" t="s">
        <v>5723</v>
      </c>
      <c r="C407">
        <v>278</v>
      </c>
      <c r="D407">
        <v>439</v>
      </c>
      <c r="E407">
        <v>451</v>
      </c>
      <c r="F407" s="22">
        <f>无限之旅!K85</f>
        <v>1.12088418435316</v>
      </c>
      <c r="G407" s="22">
        <f>无限之旅!L85</f>
        <v>1.18836268974217</v>
      </c>
      <c r="H407" s="22">
        <v>264.60947380342</v>
      </c>
      <c r="I407" s="22">
        <f>无限之旅!X85</f>
        <v>264.609473803421</v>
      </c>
      <c r="J407" s="22">
        <f t="shared" si="12"/>
        <v>1</v>
      </c>
      <c r="K407" s="22">
        <v>20.9309527311619</v>
      </c>
      <c r="L407" s="22">
        <f>无限之旅!Y85</f>
        <v>20.9309527311619</v>
      </c>
      <c r="M407" s="22">
        <f t="shared" si="13"/>
        <v>1</v>
      </c>
      <c r="N407" t="s">
        <v>6163</v>
      </c>
    </row>
    <row r="408" spans="1:14">
      <c r="A408" t="s">
        <v>5561</v>
      </c>
      <c r="B408" t="s">
        <v>5725</v>
      </c>
      <c r="C408">
        <v>278</v>
      </c>
      <c r="D408">
        <v>442</v>
      </c>
      <c r="E408">
        <v>454</v>
      </c>
      <c r="F408" s="22">
        <f>无限之旅!K86</f>
        <v>1.12109541872429</v>
      </c>
      <c r="G408" s="22">
        <f>无限之旅!L86</f>
        <v>1.18929538047961</v>
      </c>
      <c r="H408" s="22">
        <v>272.661151366749</v>
      </c>
      <c r="I408" s="22">
        <f>无限之旅!X86</f>
        <v>272.661151366749</v>
      </c>
      <c r="J408" s="22">
        <f t="shared" si="12"/>
        <v>1</v>
      </c>
      <c r="K408" s="22">
        <v>20.558236337799</v>
      </c>
      <c r="L408" s="22">
        <f>无限之旅!Y86</f>
        <v>20.5582363377991</v>
      </c>
      <c r="M408" s="22">
        <f t="shared" si="13"/>
        <v>1</v>
      </c>
      <c r="N408" t="s">
        <v>6163</v>
      </c>
    </row>
    <row r="409" spans="1:14">
      <c r="A409" t="s">
        <v>5561</v>
      </c>
      <c r="B409" t="s">
        <v>5727</v>
      </c>
      <c r="C409">
        <v>278</v>
      </c>
      <c r="D409">
        <v>445</v>
      </c>
      <c r="E409">
        <v>457</v>
      </c>
      <c r="F409" s="22">
        <f>无限之旅!K87</f>
        <v>1.12129372043793</v>
      </c>
      <c r="G409" s="22">
        <f>无限之旅!L87</f>
        <v>1.19019027014262</v>
      </c>
      <c r="H409" s="22">
        <v>280.923086546106</v>
      </c>
      <c r="I409" s="22">
        <f>无限之旅!X87</f>
        <v>280.923086546107</v>
      </c>
      <c r="J409" s="22">
        <f t="shared" si="12"/>
        <v>1</v>
      </c>
      <c r="K409" s="22">
        <v>20.1937538859466</v>
      </c>
      <c r="L409" s="22">
        <f>无限之旅!Y87</f>
        <v>20.1937538859467</v>
      </c>
      <c r="M409" s="22">
        <f t="shared" si="13"/>
        <v>1</v>
      </c>
      <c r="N409" t="s">
        <v>6163</v>
      </c>
    </row>
    <row r="410" spans="1:14">
      <c r="A410" t="s">
        <v>5561</v>
      </c>
      <c r="B410" t="s">
        <v>5729</v>
      </c>
      <c r="C410">
        <v>278</v>
      </c>
      <c r="D410">
        <v>448</v>
      </c>
      <c r="E410">
        <v>460</v>
      </c>
      <c r="F410" s="22">
        <f>无限之旅!K88</f>
        <v>1.12149578801445</v>
      </c>
      <c r="G410" s="22">
        <f>无限之旅!L88</f>
        <v>1.19103755788422</v>
      </c>
      <c r="H410" s="22">
        <v>289.407844875535</v>
      </c>
      <c r="I410" s="22">
        <f>无限之旅!X88</f>
        <v>289.407844875536</v>
      </c>
      <c r="J410" s="22">
        <f t="shared" si="12"/>
        <v>1</v>
      </c>
      <c r="K410" s="22">
        <v>19.8371983068717</v>
      </c>
      <c r="L410" s="22">
        <f>无限之旅!Y88</f>
        <v>19.8371983068717</v>
      </c>
      <c r="M410" s="22">
        <f t="shared" si="13"/>
        <v>1</v>
      </c>
      <c r="N410" t="s">
        <v>6163</v>
      </c>
    </row>
    <row r="411" spans="1:14">
      <c r="A411" t="s">
        <v>5561</v>
      </c>
      <c r="B411" t="s">
        <v>5731</v>
      </c>
      <c r="C411">
        <v>278</v>
      </c>
      <c r="D411">
        <v>451</v>
      </c>
      <c r="E411">
        <v>463</v>
      </c>
      <c r="F411" s="22">
        <f>无限之旅!K89</f>
        <v>1.12168381285471</v>
      </c>
      <c r="G411" s="22">
        <f>无限之旅!L89</f>
        <v>1.19185768629917</v>
      </c>
      <c r="H411" s="22">
        <v>298.10865571265</v>
      </c>
      <c r="I411" s="22">
        <f>无限之旅!X89</f>
        <v>298.10865571265</v>
      </c>
      <c r="J411" s="22">
        <f t="shared" si="12"/>
        <v>0.999999999999999</v>
      </c>
      <c r="K411" s="22">
        <v>19.4884098273183</v>
      </c>
      <c r="L411" s="22">
        <f>无限之旅!Y89</f>
        <v>19.4884098273183</v>
      </c>
      <c r="M411" s="22">
        <f t="shared" si="13"/>
        <v>1</v>
      </c>
      <c r="N411" t="s">
        <v>6163</v>
      </c>
    </row>
    <row r="412" spans="1:14">
      <c r="A412" t="s">
        <v>5561</v>
      </c>
      <c r="B412" t="s">
        <v>5733</v>
      </c>
      <c r="C412">
        <v>278</v>
      </c>
      <c r="D412">
        <v>454</v>
      </c>
      <c r="E412">
        <v>466</v>
      </c>
      <c r="F412" s="22">
        <f>无限之旅!K90</f>
        <v>1.12188926706886</v>
      </c>
      <c r="G412" s="22">
        <f>无限之旅!L90</f>
        <v>1.19263153509335</v>
      </c>
      <c r="H412" s="22">
        <v>307.042486260742</v>
      </c>
      <c r="I412" s="22">
        <f>无限之旅!X90</f>
        <v>307.042486260741</v>
      </c>
      <c r="J412" s="22">
        <f t="shared" si="12"/>
        <v>0.999999999999996</v>
      </c>
      <c r="K412" s="22">
        <v>19.1471053575119</v>
      </c>
      <c r="L412" s="22">
        <f>无限之旅!Y90</f>
        <v>19.147105357512</v>
      </c>
      <c r="M412" s="22">
        <f t="shared" si="13"/>
        <v>1</v>
      </c>
      <c r="N412" t="s">
        <v>6163</v>
      </c>
    </row>
    <row r="413" spans="1:14">
      <c r="A413" t="s">
        <v>5561</v>
      </c>
      <c r="B413" t="s">
        <v>5735</v>
      </c>
      <c r="C413">
        <v>278</v>
      </c>
      <c r="D413">
        <v>457</v>
      </c>
      <c r="E413">
        <v>469</v>
      </c>
      <c r="F413" s="22">
        <f>无限之旅!K91</f>
        <v>1.12206860344588</v>
      </c>
      <c r="G413" s="22">
        <f>无限之旅!L91</f>
        <v>1.1933774366978</v>
      </c>
      <c r="H413" s="22">
        <v>316.206418823404</v>
      </c>
      <c r="I413" s="22">
        <f>无限之旅!X91</f>
        <v>316.206418823403</v>
      </c>
      <c r="J413" s="22">
        <f t="shared" si="12"/>
        <v>0.999999999999997</v>
      </c>
      <c r="K413" s="22">
        <v>18.813019381761</v>
      </c>
      <c r="L413" s="22">
        <f>无限之旅!Y91</f>
        <v>18.813019381761</v>
      </c>
      <c r="M413" s="22">
        <f t="shared" si="13"/>
        <v>1</v>
      </c>
      <c r="N413" t="s">
        <v>6163</v>
      </c>
    </row>
    <row r="414" spans="1:14">
      <c r="A414" t="s">
        <v>5561</v>
      </c>
      <c r="B414" t="s">
        <v>5737</v>
      </c>
      <c r="C414">
        <v>278</v>
      </c>
      <c r="D414">
        <v>460</v>
      </c>
      <c r="E414">
        <v>472</v>
      </c>
      <c r="F414" s="22">
        <f>无限之旅!K92</f>
        <v>1.12226393695094</v>
      </c>
      <c r="G414" s="22">
        <f>无限之旅!L92</f>
        <v>1.19407247475773</v>
      </c>
      <c r="H414" s="22">
        <v>325.609860217274</v>
      </c>
      <c r="I414" s="22">
        <f>无限之旅!X92</f>
        <v>325.609860217273</v>
      </c>
      <c r="J414" s="22">
        <f t="shared" si="12"/>
        <v>0.999999999999997</v>
      </c>
      <c r="K414" s="22">
        <v>18.4862478920668</v>
      </c>
      <c r="L414" s="22">
        <f>无限之旅!Y92</f>
        <v>18.4862478920669</v>
      </c>
      <c r="M414" s="22">
        <f t="shared" si="13"/>
        <v>1</v>
      </c>
      <c r="N414" t="s">
        <v>6163</v>
      </c>
    </row>
    <row r="415" spans="1:14">
      <c r="A415" t="s">
        <v>5561</v>
      </c>
      <c r="B415" t="s">
        <v>5739</v>
      </c>
      <c r="C415">
        <v>278</v>
      </c>
      <c r="D415">
        <v>463</v>
      </c>
      <c r="E415">
        <v>475</v>
      </c>
      <c r="F415" s="22">
        <f>无限之旅!K93</f>
        <v>1.12244866992447</v>
      </c>
      <c r="G415" s="22">
        <f>无限之旅!L93</f>
        <v>1.19474935088283</v>
      </c>
      <c r="H415" s="22">
        <v>335.258303543846</v>
      </c>
      <c r="I415" s="22">
        <f>无限之旅!X93</f>
        <v>335.258303543846</v>
      </c>
      <c r="J415" s="22">
        <f t="shared" si="12"/>
        <v>1</v>
      </c>
      <c r="K415" s="22">
        <v>18.1662988214505</v>
      </c>
      <c r="L415" s="22">
        <f>无限之旅!Y93</f>
        <v>18.1662988214506</v>
      </c>
      <c r="M415" s="22">
        <f t="shared" si="13"/>
        <v>1</v>
      </c>
      <c r="N415" t="s">
        <v>6163</v>
      </c>
    </row>
    <row r="416" spans="1:14">
      <c r="A416" t="s">
        <v>5561</v>
      </c>
      <c r="B416" t="s">
        <v>5741</v>
      </c>
      <c r="C416">
        <v>278</v>
      </c>
      <c r="D416">
        <v>465</v>
      </c>
      <c r="E416">
        <v>477</v>
      </c>
      <c r="F416" s="22">
        <f>无限之旅!K94</f>
        <v>1.12256246774435</v>
      </c>
      <c r="G416" s="22">
        <f>无限之旅!L94</f>
        <v>1.19516954104512</v>
      </c>
      <c r="H416" s="22">
        <v>341.824423917313</v>
      </c>
      <c r="I416" s="22">
        <f>无限之旅!X94</f>
        <v>341.824423917313</v>
      </c>
      <c r="J416" s="22">
        <f t="shared" si="12"/>
        <v>1</v>
      </c>
      <c r="K416" s="22">
        <v>17.9568013410437</v>
      </c>
      <c r="L416" s="22">
        <f>无限之旅!Y94</f>
        <v>17.9568013410438</v>
      </c>
      <c r="M416" s="22">
        <f t="shared" si="13"/>
        <v>1.00000000000001</v>
      </c>
      <c r="N416" t="s">
        <v>6163</v>
      </c>
    </row>
    <row r="417" spans="1:14">
      <c r="A417" t="s">
        <v>5561</v>
      </c>
      <c r="B417" t="s">
        <v>5743</v>
      </c>
      <c r="C417">
        <v>278</v>
      </c>
      <c r="D417">
        <v>468</v>
      </c>
      <c r="E417">
        <v>480</v>
      </c>
      <c r="F417" s="22">
        <f>无限之旅!K95</f>
        <v>1.12275075648144</v>
      </c>
      <c r="G417" s="22">
        <f>无限之旅!L95</f>
        <v>1.19577197726686</v>
      </c>
      <c r="H417" s="22">
        <v>351.891941353229</v>
      </c>
      <c r="I417" s="22">
        <f>无限之旅!X95</f>
        <v>351.891941353229</v>
      </c>
      <c r="J417" s="22">
        <f t="shared" si="12"/>
        <v>1</v>
      </c>
      <c r="K417" s="22">
        <v>17.6481563113073</v>
      </c>
      <c r="L417" s="22">
        <f>无限之旅!Y95</f>
        <v>17.6481563113073</v>
      </c>
      <c r="M417" s="22">
        <f t="shared" si="13"/>
        <v>0.999999999999999</v>
      </c>
      <c r="N417" t="s">
        <v>6163</v>
      </c>
    </row>
    <row r="418" spans="1:14">
      <c r="A418" t="s">
        <v>5561</v>
      </c>
      <c r="B418" t="s">
        <v>5745</v>
      </c>
      <c r="C418">
        <v>278</v>
      </c>
      <c r="D418">
        <v>471</v>
      </c>
      <c r="E418">
        <v>483</v>
      </c>
      <c r="F418" s="22">
        <f>无限之旅!K96</f>
        <v>1.12291270604454</v>
      </c>
      <c r="G418" s="22">
        <f>无限之旅!L96</f>
        <v>1.19634907915589</v>
      </c>
      <c r="H418" s="22">
        <v>362.210048664639</v>
      </c>
      <c r="I418" s="22">
        <f>无限之旅!X96</f>
        <v>362.210048664639</v>
      </c>
      <c r="J418" s="22">
        <f t="shared" si="12"/>
        <v>1</v>
      </c>
      <c r="K418" s="22">
        <v>17.345888064859</v>
      </c>
      <c r="L418" s="22">
        <f>无限之旅!Y96</f>
        <v>17.3458880648591</v>
      </c>
      <c r="M418" s="22">
        <f t="shared" si="13"/>
        <v>1</v>
      </c>
      <c r="N418" t="s">
        <v>6163</v>
      </c>
    </row>
    <row r="419" spans="1:14">
      <c r="A419" t="s">
        <v>5561</v>
      </c>
      <c r="B419" t="s">
        <v>5747</v>
      </c>
      <c r="C419">
        <v>278</v>
      </c>
      <c r="D419">
        <v>473</v>
      </c>
      <c r="E419">
        <v>485</v>
      </c>
      <c r="F419" s="22">
        <f>无限之旅!K97</f>
        <v>1.1230320066503</v>
      </c>
      <c r="G419" s="22">
        <f>无限之旅!L97</f>
        <v>1.19670479523903</v>
      </c>
      <c r="H419" s="22">
        <v>369.240149100582</v>
      </c>
      <c r="I419" s="22">
        <f>无限之旅!X97</f>
        <v>369.240149100582</v>
      </c>
      <c r="J419" s="22">
        <f t="shared" si="12"/>
        <v>0.999999999999999</v>
      </c>
      <c r="K419" s="22">
        <v>17.1479504291275</v>
      </c>
      <c r="L419" s="22">
        <f>无限之旅!Y97</f>
        <v>17.1479504291276</v>
      </c>
      <c r="M419" s="22">
        <f t="shared" si="13"/>
        <v>1.00000000000001</v>
      </c>
      <c r="N419" t="s">
        <v>6163</v>
      </c>
    </row>
    <row r="420" spans="1:14">
      <c r="A420" t="s">
        <v>5561</v>
      </c>
      <c r="B420" t="s">
        <v>5749</v>
      </c>
      <c r="C420">
        <v>278</v>
      </c>
      <c r="D420">
        <v>476</v>
      </c>
      <c r="E420">
        <v>488</v>
      </c>
      <c r="F420" s="22">
        <f>无限之旅!K98</f>
        <v>1.12321225775598</v>
      </c>
      <c r="G420" s="22">
        <f>无限之旅!L98</f>
        <v>1.19721141033165</v>
      </c>
      <c r="H420" s="22">
        <v>380.00724143374</v>
      </c>
      <c r="I420" s="22">
        <f>无限之旅!X98</f>
        <v>380.007241433739</v>
      </c>
      <c r="J420" s="22">
        <f t="shared" si="12"/>
        <v>0.999999999999997</v>
      </c>
      <c r="K420" s="22">
        <v>16.8562133296947</v>
      </c>
      <c r="L420" s="22">
        <f>无限之旅!Y98</f>
        <v>16.8562133296947</v>
      </c>
      <c r="M420" s="22">
        <f t="shared" si="13"/>
        <v>0.999999999999997</v>
      </c>
      <c r="N420" t="s">
        <v>6163</v>
      </c>
    </row>
    <row r="421" spans="1:14">
      <c r="A421" t="s">
        <v>5561</v>
      </c>
      <c r="B421" t="s">
        <v>5751</v>
      </c>
      <c r="C421">
        <v>278</v>
      </c>
      <c r="D421">
        <v>479</v>
      </c>
      <c r="E421">
        <v>491</v>
      </c>
      <c r="F421" s="22">
        <f>无限之旅!K99</f>
        <v>1.12338060492267</v>
      </c>
      <c r="G421" s="22">
        <f>无限之旅!L99</f>
        <v>1.1976864941422</v>
      </c>
      <c r="H421" s="22">
        <v>391.045004834022</v>
      </c>
      <c r="I421" s="22">
        <f>无限之旅!X99</f>
        <v>391.045004834023</v>
      </c>
      <c r="J421" s="22">
        <f t="shared" si="12"/>
        <v>1</v>
      </c>
      <c r="K421" s="22">
        <v>16.5704446487071</v>
      </c>
      <c r="L421" s="22">
        <f>无限之旅!Y99</f>
        <v>16.5704446487072</v>
      </c>
      <c r="M421" s="22">
        <f t="shared" si="13"/>
        <v>1</v>
      </c>
      <c r="N421" t="s">
        <v>6163</v>
      </c>
    </row>
    <row r="422" spans="1:14">
      <c r="A422" t="s">
        <v>5561</v>
      </c>
      <c r="B422" t="s">
        <v>5753</v>
      </c>
      <c r="C422">
        <v>278</v>
      </c>
      <c r="D422">
        <v>481</v>
      </c>
      <c r="E422">
        <v>493</v>
      </c>
      <c r="F422" s="22">
        <f>无限之旅!K100</f>
        <v>1.12349112103316</v>
      </c>
      <c r="G422" s="22">
        <f>无限之旅!L100</f>
        <v>1.19798159763587</v>
      </c>
      <c r="H422" s="22">
        <v>398.562373548101</v>
      </c>
      <c r="I422" s="22">
        <f>无限之旅!X100</f>
        <v>398.562373548102</v>
      </c>
      <c r="J422" s="22">
        <f t="shared" si="12"/>
        <v>1</v>
      </c>
      <c r="K422" s="22">
        <v>16.3832963124997</v>
      </c>
      <c r="L422" s="22">
        <f>无限之旅!Y100</f>
        <v>16.3832963124997</v>
      </c>
      <c r="M422" s="22">
        <f t="shared" si="13"/>
        <v>1</v>
      </c>
      <c r="N422" t="s">
        <v>6163</v>
      </c>
    </row>
    <row r="423" spans="1:14">
      <c r="A423" t="s">
        <v>5561</v>
      </c>
      <c r="B423" t="s">
        <v>5755</v>
      </c>
      <c r="C423">
        <v>278</v>
      </c>
      <c r="D423">
        <v>484</v>
      </c>
      <c r="E423">
        <v>496</v>
      </c>
      <c r="F423" s="22">
        <f>无限之旅!K101</f>
        <v>1.12365090249887</v>
      </c>
      <c r="G423" s="22">
        <f>无限之旅!L101</f>
        <v>1.19840469602158</v>
      </c>
      <c r="H423" s="22">
        <v>410.071142025166</v>
      </c>
      <c r="I423" s="22">
        <f>无限之旅!X101</f>
        <v>410.071142025164</v>
      </c>
      <c r="J423" s="22">
        <f t="shared" si="12"/>
        <v>0.999999999999995</v>
      </c>
      <c r="K423" s="22">
        <v>16.1072657059577</v>
      </c>
      <c r="L423" s="22">
        <f>无限之旅!Y101</f>
        <v>16.1072657059577</v>
      </c>
      <c r="M423" s="22">
        <f t="shared" si="13"/>
        <v>1</v>
      </c>
      <c r="N423" t="s">
        <v>6163</v>
      </c>
    </row>
    <row r="424" spans="1:14">
      <c r="A424" t="s">
        <v>5561</v>
      </c>
      <c r="B424" t="s">
        <v>5757</v>
      </c>
      <c r="C424">
        <v>278</v>
      </c>
      <c r="D424">
        <v>487</v>
      </c>
      <c r="E424">
        <v>499</v>
      </c>
      <c r="F424" s="22">
        <f>无限之旅!K102</f>
        <v>1.12379966093351</v>
      </c>
      <c r="G424" s="22">
        <f>无限之旅!L102</f>
        <v>1.19878538127791</v>
      </c>
      <c r="H424" s="22">
        <v>421.866759434699</v>
      </c>
      <c r="I424" s="22">
        <f>无限之旅!X102</f>
        <v>421.866759434699</v>
      </c>
      <c r="J424" s="22">
        <f t="shared" si="12"/>
        <v>0.999999999999999</v>
      </c>
      <c r="K424" s="22">
        <v>15.8370029395618</v>
      </c>
      <c r="L424" s="22">
        <f>无限之旅!Y102</f>
        <v>15.8370029395618</v>
      </c>
      <c r="M424" s="22">
        <f t="shared" si="13"/>
        <v>0.999999999999999</v>
      </c>
      <c r="N424" t="s">
        <v>6163</v>
      </c>
    </row>
    <row r="425" spans="1:14">
      <c r="A425" t="s">
        <v>5561</v>
      </c>
      <c r="B425" t="s">
        <v>5759</v>
      </c>
      <c r="C425">
        <v>278</v>
      </c>
      <c r="D425">
        <v>489</v>
      </c>
      <c r="E425">
        <v>500</v>
      </c>
      <c r="F425" s="22">
        <f>无限之旅!K103</f>
        <v>1.13450617282636</v>
      </c>
      <c r="G425" s="22">
        <f>无限之旅!L103</f>
        <v>1.2056666647743</v>
      </c>
      <c r="H425" s="22">
        <v>429.90048919219</v>
      </c>
      <c r="I425" s="22">
        <f>无限之旅!X103</f>
        <v>429.900489192189</v>
      </c>
      <c r="J425" s="22">
        <f t="shared" si="12"/>
        <v>0.999999999999999</v>
      </c>
      <c r="K425" s="22">
        <v>15.6598558162148</v>
      </c>
      <c r="L425" s="22">
        <f>无限之旅!Y103</f>
        <v>15.6598558162148</v>
      </c>
      <c r="M425" s="22">
        <f t="shared" si="13"/>
        <v>1</v>
      </c>
      <c r="N425" t="s">
        <v>6163</v>
      </c>
    </row>
    <row r="426" spans="1:14">
      <c r="A426" t="s">
        <v>5561</v>
      </c>
      <c r="B426" t="s">
        <v>5761</v>
      </c>
      <c r="C426">
        <v>278</v>
      </c>
      <c r="D426">
        <v>492</v>
      </c>
      <c r="E426">
        <v>500</v>
      </c>
      <c r="F426" s="22">
        <f>无限之旅!K104</f>
        <v>1.1669514492807</v>
      </c>
      <c r="G426" s="22">
        <f>无限之旅!L104</f>
        <v>1.22611527194194</v>
      </c>
      <c r="H426" s="22">
        <v>442.19503685864</v>
      </c>
      <c r="I426" s="22">
        <f>无限之旅!X104</f>
        <v>442.19503685864</v>
      </c>
      <c r="J426" s="22">
        <f t="shared" si="12"/>
        <v>1</v>
      </c>
      <c r="K426" s="22">
        <v>15.3986876803832</v>
      </c>
      <c r="L426" s="22">
        <f>无限之旅!Y104</f>
        <v>15.3986876803833</v>
      </c>
      <c r="M426" s="22">
        <f t="shared" si="13"/>
        <v>1</v>
      </c>
      <c r="N426" t="s">
        <v>6163</v>
      </c>
    </row>
    <row r="427" spans="1:14">
      <c r="A427" t="s">
        <v>5561</v>
      </c>
      <c r="B427" t="s">
        <v>5763</v>
      </c>
      <c r="C427">
        <v>278</v>
      </c>
      <c r="D427">
        <v>494</v>
      </c>
      <c r="E427">
        <v>500</v>
      </c>
      <c r="F427" s="22">
        <f>无限之旅!K105</f>
        <v>1.18904684735685</v>
      </c>
      <c r="G427" s="22">
        <f>无限之旅!L105</f>
        <v>1.23989391986865</v>
      </c>
      <c r="H427" s="22">
        <v>450.567686271529</v>
      </c>
      <c r="I427" s="22">
        <f>无限之旅!X105</f>
        <v>450.567686271529</v>
      </c>
      <c r="J427" s="22">
        <f t="shared" si="12"/>
        <v>1</v>
      </c>
      <c r="K427" s="22">
        <v>15.2275657056067</v>
      </c>
      <c r="L427" s="22">
        <f>无限之旅!Y105</f>
        <v>15.2275657056067</v>
      </c>
      <c r="M427" s="22">
        <f t="shared" si="13"/>
        <v>1</v>
      </c>
      <c r="N427" t="s">
        <v>6163</v>
      </c>
    </row>
    <row r="428" spans="1:14">
      <c r="A428" t="s">
        <v>5561</v>
      </c>
      <c r="B428" t="s">
        <v>5765</v>
      </c>
      <c r="C428">
        <v>278</v>
      </c>
      <c r="D428">
        <v>497</v>
      </c>
      <c r="E428">
        <v>500</v>
      </c>
      <c r="F428" s="22">
        <f>无限之旅!K106</f>
        <v>1.22285764479794</v>
      </c>
      <c r="G428" s="22">
        <f>无限之旅!L106</f>
        <v>1.26079397327662</v>
      </c>
      <c r="H428" s="22">
        <v>463.379673291126</v>
      </c>
      <c r="I428" s="22">
        <f>无限之旅!X106</f>
        <v>463.379673291125</v>
      </c>
      <c r="J428" s="22">
        <f t="shared" si="12"/>
        <v>0.999999999999997</v>
      </c>
      <c r="K428" s="22">
        <v>14.9751398983247</v>
      </c>
      <c r="L428" s="22">
        <f>无限之旅!Y106</f>
        <v>14.9751398983248</v>
      </c>
      <c r="M428" s="22">
        <f t="shared" si="13"/>
        <v>1</v>
      </c>
      <c r="N428" t="s">
        <v>6163</v>
      </c>
    </row>
    <row r="429" spans="1:14">
      <c r="A429" t="s">
        <v>5561</v>
      </c>
      <c r="B429" t="s">
        <v>5767</v>
      </c>
      <c r="C429">
        <v>278</v>
      </c>
      <c r="D429">
        <v>499</v>
      </c>
      <c r="E429">
        <v>500</v>
      </c>
      <c r="F429" s="22">
        <f>无限之旅!K107</f>
        <v>1.24586543211909</v>
      </c>
      <c r="G429" s="22">
        <f>无限之旅!L107</f>
        <v>1.27487782429538</v>
      </c>
      <c r="H429" s="22">
        <v>472.098056021429</v>
      </c>
      <c r="I429" s="22">
        <f>无限之旅!X107</f>
        <v>472.098056021428</v>
      </c>
      <c r="J429" s="22">
        <f t="shared" si="12"/>
        <v>0.999999999999999</v>
      </c>
      <c r="K429" s="22">
        <v>14.809706289477</v>
      </c>
      <c r="L429" s="22">
        <f>无限之旅!Y107</f>
        <v>14.8097062894771</v>
      </c>
      <c r="M429" s="22">
        <f t="shared" si="13"/>
        <v>1</v>
      </c>
      <c r="N429" t="s">
        <v>6163</v>
      </c>
    </row>
    <row r="430" spans="1:14">
      <c r="A430" t="s">
        <v>5561</v>
      </c>
      <c r="B430" t="s">
        <v>5769</v>
      </c>
      <c r="C430">
        <v>278</v>
      </c>
      <c r="D430">
        <v>499</v>
      </c>
      <c r="E430">
        <v>500</v>
      </c>
      <c r="F430" s="22">
        <f>无限之旅!K108</f>
        <v>1.24586543211909</v>
      </c>
      <c r="G430" s="22">
        <f>无限之旅!L108</f>
        <v>1.27487782429538</v>
      </c>
      <c r="H430" s="22">
        <v>472.098056021429</v>
      </c>
      <c r="I430" s="22">
        <f>无限之旅!X108</f>
        <v>472.098056021428</v>
      </c>
      <c r="J430" s="22">
        <f t="shared" si="12"/>
        <v>0.999999999999999</v>
      </c>
      <c r="K430" s="22">
        <v>14.809706289477</v>
      </c>
      <c r="L430" s="22">
        <f>无限之旅!Y108</f>
        <v>14.8097062894771</v>
      </c>
      <c r="M430" s="22">
        <f t="shared" si="13"/>
        <v>1</v>
      </c>
      <c r="N430" t="s">
        <v>6163</v>
      </c>
    </row>
    <row r="431" spans="1:14">
      <c r="A431" t="s">
        <v>5561</v>
      </c>
      <c r="B431" t="s">
        <v>5771</v>
      </c>
      <c r="C431">
        <v>278</v>
      </c>
      <c r="D431">
        <v>500</v>
      </c>
      <c r="E431">
        <v>500</v>
      </c>
      <c r="F431" s="22">
        <f>无限之旅!K109</f>
        <v>1.25751430746906</v>
      </c>
      <c r="G431" s="22">
        <f>无限之旅!L109</f>
        <v>1.28196743778789</v>
      </c>
      <c r="H431" s="22">
        <v>476.512185562052</v>
      </c>
      <c r="I431" s="22">
        <f>无限之旅!X109</f>
        <v>476.512185562051</v>
      </c>
      <c r="J431" s="22">
        <f t="shared" si="12"/>
        <v>0.999999999999997</v>
      </c>
      <c r="K431" s="22">
        <v>14.7278047602844</v>
      </c>
      <c r="L431" s="22">
        <f>无限之旅!Y109</f>
        <v>14.7278047602844</v>
      </c>
      <c r="M431" s="22">
        <f t="shared" si="13"/>
        <v>1</v>
      </c>
      <c r="N431" t="s">
        <v>6163</v>
      </c>
    </row>
    <row r="432" spans="1:14">
      <c r="A432" t="s">
        <v>5561</v>
      </c>
      <c r="B432" t="s">
        <v>5773</v>
      </c>
      <c r="C432">
        <v>278</v>
      </c>
      <c r="D432">
        <v>500</v>
      </c>
      <c r="E432">
        <v>500</v>
      </c>
      <c r="F432" s="22">
        <f>无限之旅!K110</f>
        <v>1.06841343043228</v>
      </c>
      <c r="G432" s="22">
        <f>无限之旅!L110</f>
        <v>1.30760678654365</v>
      </c>
      <c r="H432" s="22">
        <v>410.777780412269</v>
      </c>
      <c r="I432" s="22">
        <f>无限之旅!X110</f>
        <v>410.777780412269</v>
      </c>
      <c r="J432" s="22">
        <f t="shared" si="12"/>
        <v>1</v>
      </c>
      <c r="K432" s="22">
        <v>14.4390242747886</v>
      </c>
      <c r="L432" s="22">
        <f>无限之旅!Y110</f>
        <v>14.4390242747886</v>
      </c>
      <c r="M432" s="22">
        <f t="shared" si="13"/>
        <v>1</v>
      </c>
      <c r="N432" t="s">
        <v>6163</v>
      </c>
    </row>
    <row r="433" spans="1:14">
      <c r="A433" t="s">
        <v>5561</v>
      </c>
      <c r="B433" t="s">
        <v>5775</v>
      </c>
      <c r="C433">
        <v>278</v>
      </c>
      <c r="D433">
        <v>500</v>
      </c>
      <c r="E433">
        <v>500</v>
      </c>
      <c r="F433" s="22">
        <f>无限之旅!K111</f>
        <v>1.08889342250944</v>
      </c>
      <c r="G433" s="22">
        <f>无限之旅!L111</f>
        <v>1.33324613529941</v>
      </c>
      <c r="H433" s="22">
        <v>424.687265902612</v>
      </c>
      <c r="I433" s="22">
        <f>无限之旅!X111</f>
        <v>424.687265902613</v>
      </c>
      <c r="J433" s="22">
        <f t="shared" si="12"/>
        <v>1</v>
      </c>
      <c r="K433" s="22">
        <v>14.1613507310427</v>
      </c>
      <c r="L433" s="22">
        <f>无限之旅!Y111</f>
        <v>14.1613507310427</v>
      </c>
      <c r="M433" s="22">
        <f t="shared" si="13"/>
        <v>0.999999999999998</v>
      </c>
      <c r="N433" t="s">
        <v>6163</v>
      </c>
    </row>
    <row r="434" spans="1:14">
      <c r="A434" t="s">
        <v>5561</v>
      </c>
      <c r="B434" t="s">
        <v>5777</v>
      </c>
      <c r="C434">
        <v>278</v>
      </c>
      <c r="D434">
        <v>500</v>
      </c>
      <c r="E434">
        <v>500</v>
      </c>
      <c r="F434" s="22">
        <f>无限之旅!K112</f>
        <v>1.10936876961859</v>
      </c>
      <c r="G434" s="22">
        <f>无限之旅!L112</f>
        <v>1.35888548405517</v>
      </c>
      <c r="H434" s="22">
        <v>438.821944439408</v>
      </c>
      <c r="I434" s="22">
        <f>无限之旅!X112</f>
        <v>438.821944439409</v>
      </c>
      <c r="J434" s="22">
        <f t="shared" si="12"/>
        <v>1</v>
      </c>
      <c r="K434" s="22">
        <v>13.8941554342305</v>
      </c>
      <c r="L434" s="22">
        <f>无限之旅!Y112</f>
        <v>13.8941554342305</v>
      </c>
      <c r="M434" s="22">
        <f t="shared" si="13"/>
        <v>1</v>
      </c>
      <c r="N434" t="s">
        <v>6163</v>
      </c>
    </row>
    <row r="435" spans="1:14">
      <c r="A435" t="s">
        <v>5561</v>
      </c>
      <c r="B435" t="s">
        <v>5779</v>
      </c>
      <c r="C435">
        <v>278</v>
      </c>
      <c r="D435">
        <v>500</v>
      </c>
      <c r="E435">
        <v>500</v>
      </c>
      <c r="F435" s="22">
        <f>无限之旅!K113</f>
        <v>1.12983966432261</v>
      </c>
      <c r="G435" s="22">
        <f>无限之旅!L113</f>
        <v>1.38452483281092</v>
      </c>
      <c r="H435" s="22">
        <v>453.181816022656</v>
      </c>
      <c r="I435" s="22">
        <f>无限之旅!X113</f>
        <v>453.181816022656</v>
      </c>
      <c r="J435" s="22">
        <f t="shared" si="12"/>
        <v>0.999999999999999</v>
      </c>
      <c r="K435" s="22">
        <v>13.6368562595226</v>
      </c>
      <c r="L435" s="22">
        <f>无限之旅!Y113</f>
        <v>13.6368562595226</v>
      </c>
      <c r="M435" s="22">
        <f t="shared" si="13"/>
        <v>1</v>
      </c>
      <c r="N435" t="s">
        <v>6163</v>
      </c>
    </row>
    <row r="436" spans="1:14">
      <c r="A436" t="s">
        <v>5561</v>
      </c>
      <c r="B436" t="s">
        <v>5781</v>
      </c>
      <c r="C436">
        <v>278</v>
      </c>
      <c r="D436">
        <v>500</v>
      </c>
      <c r="E436">
        <v>500</v>
      </c>
      <c r="F436" s="22">
        <f>无限之旅!K114</f>
        <v>1.15030628868556</v>
      </c>
      <c r="G436" s="22">
        <f>无限之旅!L114</f>
        <v>1.41016418156668</v>
      </c>
      <c r="H436" s="22">
        <v>467.766880652355</v>
      </c>
      <c r="I436" s="22">
        <f>无限之旅!X114</f>
        <v>467.766880652357</v>
      </c>
      <c r="J436" s="22">
        <f t="shared" si="12"/>
        <v>1</v>
      </c>
      <c r="K436" s="22">
        <v>13.3889134184403</v>
      </c>
      <c r="L436" s="22">
        <f>无限之旅!Y114</f>
        <v>13.3889134184404</v>
      </c>
      <c r="M436" s="22">
        <f t="shared" si="13"/>
        <v>1.00000000000001</v>
      </c>
      <c r="N436" t="s">
        <v>6163</v>
      </c>
    </row>
    <row r="437" spans="1:14">
      <c r="A437" t="s">
        <v>5561</v>
      </c>
      <c r="B437" t="s">
        <v>5783</v>
      </c>
      <c r="C437">
        <v>278</v>
      </c>
      <c r="D437">
        <v>500</v>
      </c>
      <c r="E437">
        <v>500</v>
      </c>
      <c r="F437" s="22">
        <f>无限之旅!K115</f>
        <v>1.20356304702787</v>
      </c>
      <c r="G437" s="22">
        <f>无限之旅!L115</f>
        <v>1.44862320470032</v>
      </c>
      <c r="H437" s="22">
        <v>490.066714559002</v>
      </c>
      <c r="I437" s="22">
        <f>无限之旅!X115</f>
        <v>490.066714559001</v>
      </c>
      <c r="J437" s="22">
        <f t="shared" si="12"/>
        <v>0.999999999999998</v>
      </c>
      <c r="K437" s="22">
        <v>13.0334555400747</v>
      </c>
      <c r="L437" s="22">
        <f>无限之旅!Y115</f>
        <v>13.0334555400747</v>
      </c>
      <c r="M437" s="22">
        <f t="shared" si="13"/>
        <v>0.999999999999998</v>
      </c>
      <c r="N437" t="s">
        <v>6163</v>
      </c>
    </row>
    <row r="438" spans="1:14">
      <c r="A438" t="s">
        <v>5561</v>
      </c>
      <c r="B438" t="s">
        <v>5785</v>
      </c>
      <c r="C438">
        <v>278</v>
      </c>
      <c r="D438">
        <v>500</v>
      </c>
      <c r="E438">
        <v>500</v>
      </c>
      <c r="F438" s="22">
        <f>无限之旅!K116</f>
        <v>1.2407653898071</v>
      </c>
      <c r="G438" s="22">
        <f>无限之旅!L116</f>
        <v>1.47426255345608</v>
      </c>
      <c r="H438" s="22">
        <v>505.214761804831</v>
      </c>
      <c r="I438" s="22">
        <f>无限之旅!X116</f>
        <v>505.214761804832</v>
      </c>
      <c r="J438" s="22">
        <f t="shared" si="12"/>
        <v>1</v>
      </c>
      <c r="K438" s="22">
        <v>12.8067867480734</v>
      </c>
      <c r="L438" s="22">
        <f>无限之旅!Y116</f>
        <v>12.8067867480734</v>
      </c>
      <c r="M438" s="22">
        <f t="shared" si="13"/>
        <v>0.999999999999997</v>
      </c>
      <c r="N438" t="s">
        <v>6163</v>
      </c>
    </row>
    <row r="439" spans="1:14">
      <c r="A439" t="s">
        <v>5561</v>
      </c>
      <c r="B439" t="s">
        <v>5787</v>
      </c>
      <c r="C439">
        <v>278</v>
      </c>
      <c r="D439">
        <v>500</v>
      </c>
      <c r="E439">
        <v>500</v>
      </c>
      <c r="F439" s="22">
        <f>无限之旅!K117</f>
        <v>1.27852078795839</v>
      </c>
      <c r="G439" s="22">
        <f>无限之旅!L117</f>
        <v>1.49990190221184</v>
      </c>
      <c r="H439" s="22">
        <v>520.588002097113</v>
      </c>
      <c r="I439" s="22">
        <f>无限之旅!X117</f>
        <v>520.588002097114</v>
      </c>
      <c r="J439" s="22">
        <f t="shared" si="12"/>
        <v>1</v>
      </c>
      <c r="K439" s="22">
        <v>12.5878673164824</v>
      </c>
      <c r="L439" s="22">
        <f>无限之旅!Y117</f>
        <v>12.5878673164823</v>
      </c>
      <c r="M439" s="22">
        <f t="shared" si="13"/>
        <v>0.999999999999995</v>
      </c>
      <c r="N439" t="s">
        <v>6163</v>
      </c>
    </row>
    <row r="440" spans="1:14">
      <c r="A440" t="s">
        <v>5561</v>
      </c>
      <c r="B440" t="s">
        <v>5789</v>
      </c>
      <c r="C440">
        <v>278</v>
      </c>
      <c r="D440">
        <v>500</v>
      </c>
      <c r="E440">
        <v>500</v>
      </c>
      <c r="F440" s="22">
        <f>无限之旅!K118</f>
        <v>1.33619086400795</v>
      </c>
      <c r="G440" s="22">
        <f>无限之旅!L118</f>
        <v>1.53836092534547</v>
      </c>
      <c r="H440" s="22">
        <v>544.070099497632</v>
      </c>
      <c r="I440" s="22">
        <f>无限之旅!X118</f>
        <v>544.070099497634</v>
      </c>
      <c r="J440" s="22">
        <f t="shared" si="12"/>
        <v>1</v>
      </c>
      <c r="K440" s="22">
        <v>12.2731706335703</v>
      </c>
      <c r="L440" s="22">
        <f>无限之旅!Y118</f>
        <v>12.2731706335703</v>
      </c>
      <c r="M440" s="22">
        <f t="shared" si="13"/>
        <v>1</v>
      </c>
      <c r="N440" t="s">
        <v>6163</v>
      </c>
    </row>
    <row r="441" spans="1:14">
      <c r="A441" t="s">
        <v>5561</v>
      </c>
      <c r="B441" t="s">
        <v>5791</v>
      </c>
      <c r="C441">
        <v>278</v>
      </c>
      <c r="D441">
        <v>500</v>
      </c>
      <c r="E441">
        <v>500</v>
      </c>
      <c r="F441" s="22">
        <f>无限之旅!K119</f>
        <v>1.3753289005894</v>
      </c>
      <c r="G441" s="22">
        <f>无限之旅!L119</f>
        <v>1.56400027410123</v>
      </c>
      <c r="H441" s="22">
        <v>560.006322406044</v>
      </c>
      <c r="I441" s="22">
        <f>无限之旅!X119</f>
        <v>560.006322406044</v>
      </c>
      <c r="J441" s="22">
        <f t="shared" si="12"/>
        <v>1</v>
      </c>
      <c r="K441" s="22">
        <v>12.0719711149872</v>
      </c>
      <c r="L441" s="22">
        <f>无限之旅!Y119</f>
        <v>12.0719711149872</v>
      </c>
      <c r="M441" s="22">
        <f t="shared" si="13"/>
        <v>1</v>
      </c>
      <c r="N441" t="s">
        <v>6163</v>
      </c>
    </row>
    <row r="442" spans="1:14">
      <c r="A442" t="s">
        <v>5561</v>
      </c>
      <c r="B442" t="s">
        <v>5793</v>
      </c>
      <c r="C442">
        <v>278</v>
      </c>
      <c r="D442">
        <v>500</v>
      </c>
      <c r="E442">
        <v>500</v>
      </c>
      <c r="F442" s="22">
        <f>无限之旅!K120</f>
        <v>1.4081902697347</v>
      </c>
      <c r="G442" s="22">
        <f>无限之旅!L120</f>
        <v>1.58963962285699</v>
      </c>
      <c r="H442" s="22">
        <v>573.386812321149</v>
      </c>
      <c r="I442" s="22">
        <f>无限之旅!X120</f>
        <v>573.386812321148</v>
      </c>
      <c r="J442" s="22">
        <f t="shared" si="12"/>
        <v>0.999999999999997</v>
      </c>
      <c r="K442" s="22">
        <v>11.8772619034551</v>
      </c>
      <c r="L442" s="22">
        <f>无限之旅!Y120</f>
        <v>11.8772619034551</v>
      </c>
      <c r="M442" s="22">
        <f t="shared" si="13"/>
        <v>1</v>
      </c>
      <c r="N442" t="s">
        <v>6163</v>
      </c>
    </row>
    <row r="443" spans="1:14">
      <c r="A443" t="s">
        <v>5561</v>
      </c>
      <c r="B443" t="s">
        <v>5795</v>
      </c>
      <c r="C443">
        <v>278</v>
      </c>
      <c r="D443">
        <v>500</v>
      </c>
      <c r="E443">
        <v>500</v>
      </c>
      <c r="F443" s="22">
        <f>无限之旅!K121</f>
        <v>1.44225938916377</v>
      </c>
      <c r="G443" s="22">
        <f>无限之旅!L121</f>
        <v>1.62809864599062</v>
      </c>
      <c r="H443" s="22">
        <v>587.259073909564</v>
      </c>
      <c r="I443" s="22">
        <f>无限之旅!X121</f>
        <v>587.259073909564</v>
      </c>
      <c r="J443" s="22">
        <f t="shared" si="12"/>
        <v>1</v>
      </c>
      <c r="K443" s="22">
        <v>11.5966966616412</v>
      </c>
      <c r="L443" s="22">
        <f>无限之旅!Y121</f>
        <v>11.5966966616413</v>
      </c>
      <c r="M443" s="22">
        <f t="shared" si="13"/>
        <v>1.00000000000001</v>
      </c>
      <c r="N443" t="s">
        <v>6163</v>
      </c>
    </row>
    <row r="444" spans="1:14">
      <c r="A444" t="s">
        <v>5561</v>
      </c>
      <c r="B444" t="s">
        <v>5797</v>
      </c>
      <c r="C444">
        <v>278</v>
      </c>
      <c r="D444">
        <v>500</v>
      </c>
      <c r="E444">
        <v>500</v>
      </c>
      <c r="F444" s="22">
        <f>无限之旅!K122</f>
        <v>1.46497213544981</v>
      </c>
      <c r="G444" s="22">
        <f>无限之旅!L122</f>
        <v>1.65373799474638</v>
      </c>
      <c r="H444" s="22">
        <v>596.507248301841</v>
      </c>
      <c r="I444" s="22">
        <f>无限之旅!X122</f>
        <v>596.507248301839</v>
      </c>
      <c r="J444" s="22">
        <f t="shared" si="12"/>
        <v>0.999999999999998</v>
      </c>
      <c r="K444" s="22">
        <v>11.4169029149491</v>
      </c>
      <c r="L444" s="22">
        <f>无限之旅!Y122</f>
        <v>11.4169029149492</v>
      </c>
      <c r="M444" s="22">
        <f t="shared" si="13"/>
        <v>1</v>
      </c>
      <c r="N444" t="s">
        <v>6163</v>
      </c>
    </row>
    <row r="445" spans="1:14">
      <c r="A445" t="s">
        <v>5561</v>
      </c>
      <c r="B445" t="s">
        <v>5799</v>
      </c>
      <c r="C445">
        <v>278</v>
      </c>
      <c r="D445">
        <v>500</v>
      </c>
      <c r="E445">
        <v>500</v>
      </c>
      <c r="F445" s="22">
        <f>无限之旅!K123</f>
        <v>1.49904125487888</v>
      </c>
      <c r="G445" s="22">
        <f>无限之旅!L123</f>
        <v>1.69219701788002</v>
      </c>
      <c r="H445" s="22">
        <v>610.379509890256</v>
      </c>
      <c r="I445" s="22">
        <f>无限之旅!X123</f>
        <v>610.379509890256</v>
      </c>
      <c r="J445" s="22">
        <f t="shared" si="12"/>
        <v>1</v>
      </c>
      <c r="K445" s="22">
        <v>11.1574278487003</v>
      </c>
      <c r="L445" s="22">
        <f>无限之旅!Y123</f>
        <v>11.1574278487003</v>
      </c>
      <c r="M445" s="22">
        <f t="shared" si="13"/>
        <v>0.999999999999999</v>
      </c>
      <c r="N445" t="s">
        <v>6163</v>
      </c>
    </row>
    <row r="446" spans="1:14">
      <c r="A446" t="s">
        <v>5561</v>
      </c>
      <c r="B446" t="s">
        <v>5801</v>
      </c>
      <c r="C446">
        <v>278</v>
      </c>
      <c r="D446">
        <v>500</v>
      </c>
      <c r="E446">
        <v>500</v>
      </c>
      <c r="F446" s="22">
        <f>无限之旅!K124</f>
        <v>1.53311037430794</v>
      </c>
      <c r="G446" s="22">
        <f>无限之旅!L124</f>
        <v>1.73065604101366</v>
      </c>
      <c r="H446" s="22">
        <v>624.251771478671</v>
      </c>
      <c r="I446" s="22">
        <f>无限之旅!X124</f>
        <v>624.251771478669</v>
      </c>
      <c r="J446" s="22">
        <f t="shared" si="12"/>
        <v>0.999999999999997</v>
      </c>
      <c r="K446" s="22">
        <v>10.909485007618</v>
      </c>
      <c r="L446" s="22">
        <f>无限之旅!Y124</f>
        <v>10.909485007618</v>
      </c>
      <c r="M446" s="22">
        <f t="shared" si="13"/>
        <v>1</v>
      </c>
      <c r="N446" t="s">
        <v>6163</v>
      </c>
    </row>
    <row r="447" spans="1:14">
      <c r="A447" t="s">
        <v>5804</v>
      </c>
      <c r="B447" t="s">
        <v>5806</v>
      </c>
      <c r="C447">
        <v>53</v>
      </c>
      <c r="D447">
        <v>120</v>
      </c>
      <c r="E447">
        <v>98</v>
      </c>
      <c r="F447" s="22">
        <f>其他战斗玩法!K5</f>
        <v>1.09264050109355</v>
      </c>
      <c r="G447" s="22">
        <f>其他战斗玩法!L5</f>
        <v>0.79268174391955</v>
      </c>
      <c r="H447" s="22">
        <v>35.9270793257236</v>
      </c>
      <c r="I447" s="22">
        <f>其他战斗玩法!X5</f>
        <v>35.9270793257236</v>
      </c>
      <c r="J447" s="22">
        <f t="shared" si="12"/>
        <v>1</v>
      </c>
      <c r="K447" s="22">
        <v>43.3946544649266</v>
      </c>
      <c r="L447" s="22">
        <f>其他战斗玩法!Y5</f>
        <v>43.3946544649266</v>
      </c>
      <c r="M447" s="22">
        <f t="shared" si="13"/>
        <v>1</v>
      </c>
      <c r="N447" t="s">
        <v>6163</v>
      </c>
    </row>
    <row r="448" spans="1:14">
      <c r="A448" t="s">
        <v>5804</v>
      </c>
      <c r="B448" t="s">
        <v>5809</v>
      </c>
      <c r="C448">
        <v>53</v>
      </c>
      <c r="D448">
        <v>120</v>
      </c>
      <c r="E448">
        <v>98</v>
      </c>
      <c r="F448" s="22">
        <f>其他战斗玩法!K6</f>
        <v>1.09264050109355</v>
      </c>
      <c r="G448" s="22">
        <f>其他战斗玩法!L6</f>
        <v>0.79268174391955</v>
      </c>
      <c r="H448" s="22">
        <v>35.9270793257236</v>
      </c>
      <c r="I448" s="22">
        <f>其他战斗玩法!X6</f>
        <v>35.9270793257236</v>
      </c>
      <c r="J448" s="22">
        <f t="shared" si="12"/>
        <v>1</v>
      </c>
      <c r="K448" s="22">
        <v>43.3946544649266</v>
      </c>
      <c r="L448" s="22">
        <f>其他战斗玩法!Y6</f>
        <v>43.3946544649266</v>
      </c>
      <c r="M448" s="22">
        <f t="shared" si="13"/>
        <v>1</v>
      </c>
      <c r="N448" t="s">
        <v>6163</v>
      </c>
    </row>
    <row r="449" spans="1:14">
      <c r="A449" t="s">
        <v>5804</v>
      </c>
      <c r="B449" t="s">
        <v>5811</v>
      </c>
      <c r="C449">
        <v>64</v>
      </c>
      <c r="D449">
        <v>140</v>
      </c>
      <c r="E449">
        <v>115</v>
      </c>
      <c r="F449" s="22">
        <f>其他战斗玩法!K7</f>
        <v>1.08111097404659</v>
      </c>
      <c r="G449" s="22">
        <f>其他战斗玩法!L7</f>
        <v>0.823700612834876</v>
      </c>
      <c r="H449" s="22">
        <v>36.3073932234264</v>
      </c>
      <c r="I449" s="22">
        <f>其他战斗玩法!X7</f>
        <v>36.3073932234266</v>
      </c>
      <c r="J449" s="22">
        <f t="shared" si="12"/>
        <v>1.00000000000001</v>
      </c>
      <c r="K449" s="22">
        <v>45.4112888721346</v>
      </c>
      <c r="L449" s="22">
        <f>其他战斗玩法!Y7</f>
        <v>45.4112888721346</v>
      </c>
      <c r="M449" s="22">
        <f t="shared" si="13"/>
        <v>1</v>
      </c>
      <c r="N449" t="s">
        <v>6163</v>
      </c>
    </row>
    <row r="450" spans="1:14">
      <c r="A450" t="s">
        <v>5804</v>
      </c>
      <c r="B450" t="s">
        <v>5814</v>
      </c>
      <c r="C450">
        <v>64</v>
      </c>
      <c r="D450">
        <v>140</v>
      </c>
      <c r="E450">
        <v>115</v>
      </c>
      <c r="F450" s="22">
        <f>其他战斗玩法!K8</f>
        <v>1.08111097404659</v>
      </c>
      <c r="G450" s="22">
        <f>其他战斗玩法!L8</f>
        <v>0.823700612834876</v>
      </c>
      <c r="H450" s="22">
        <v>36.3073932234264</v>
      </c>
      <c r="I450" s="22">
        <f>其他战斗玩法!X8</f>
        <v>36.3073932234266</v>
      </c>
      <c r="J450" s="22">
        <f t="shared" ref="J450:J513" si="14">I450/H450</f>
        <v>1.00000000000001</v>
      </c>
      <c r="K450" s="22">
        <v>45.4112888721346</v>
      </c>
      <c r="L450" s="22">
        <f>其他战斗玩法!Y8</f>
        <v>45.4112888721346</v>
      </c>
      <c r="M450" s="22">
        <f t="shared" ref="M450:M513" si="15">L450/K450</f>
        <v>1</v>
      </c>
      <c r="N450" t="s">
        <v>6163</v>
      </c>
    </row>
    <row r="451" spans="1:14">
      <c r="A451" t="s">
        <v>5804</v>
      </c>
      <c r="B451" t="s">
        <v>5816</v>
      </c>
      <c r="C451">
        <v>74</v>
      </c>
      <c r="D451">
        <v>160</v>
      </c>
      <c r="E451">
        <v>132</v>
      </c>
      <c r="F451" s="22">
        <f>其他战斗玩法!K9</f>
        <v>1.05316722932026</v>
      </c>
      <c r="G451" s="22">
        <f>其他战斗玩法!L9</f>
        <v>0.837748809814455</v>
      </c>
      <c r="H451" s="22">
        <v>36.7512501798507</v>
      </c>
      <c r="I451" s="22">
        <f>其他战斗玩法!X9</f>
        <v>36.7512501798506</v>
      </c>
      <c r="J451" s="22">
        <f t="shared" si="14"/>
        <v>0.999999999999998</v>
      </c>
      <c r="K451" s="22">
        <v>49.0418556679711</v>
      </c>
      <c r="L451" s="22">
        <f>其他战斗玩法!Y9</f>
        <v>49.0418556679712</v>
      </c>
      <c r="M451" s="22">
        <f t="shared" si="15"/>
        <v>1</v>
      </c>
      <c r="N451" t="s">
        <v>6163</v>
      </c>
    </row>
    <row r="452" spans="1:14">
      <c r="A452" t="s">
        <v>5804</v>
      </c>
      <c r="B452" t="s">
        <v>5819</v>
      </c>
      <c r="C452">
        <v>74</v>
      </c>
      <c r="D452">
        <v>160</v>
      </c>
      <c r="E452">
        <v>132</v>
      </c>
      <c r="F452" s="22">
        <f>其他战斗玩法!K10</f>
        <v>1.05316722932026</v>
      </c>
      <c r="G452" s="22">
        <f>其他战斗玩法!L10</f>
        <v>0.837748809814455</v>
      </c>
      <c r="H452" s="22">
        <v>36.7512501798507</v>
      </c>
      <c r="I452" s="22">
        <f>其他战斗玩法!X10</f>
        <v>36.7512501798506</v>
      </c>
      <c r="J452" s="22">
        <f t="shared" si="14"/>
        <v>0.999999999999998</v>
      </c>
      <c r="K452" s="22">
        <v>49.0418556679711</v>
      </c>
      <c r="L452" s="22">
        <f>其他战斗玩法!Y10</f>
        <v>49.0418556679712</v>
      </c>
      <c r="M452" s="22">
        <f t="shared" si="15"/>
        <v>1</v>
      </c>
      <c r="N452" t="s">
        <v>6163</v>
      </c>
    </row>
    <row r="453" spans="1:14">
      <c r="A453" t="s">
        <v>5804</v>
      </c>
      <c r="B453" t="s">
        <v>5821</v>
      </c>
      <c r="C453">
        <v>87</v>
      </c>
      <c r="D453">
        <v>180</v>
      </c>
      <c r="E453">
        <v>149</v>
      </c>
      <c r="F453" s="22">
        <f>其他战斗玩法!K11</f>
        <v>1.04237865009292</v>
      </c>
      <c r="G453" s="22">
        <f>其他战斗玩法!L11</f>
        <v>0.863088524131312</v>
      </c>
      <c r="H453" s="22">
        <v>36.9876182383789</v>
      </c>
      <c r="I453" s="22">
        <f>其他战斗玩法!X11</f>
        <v>36.987618238379</v>
      </c>
      <c r="J453" s="22">
        <f t="shared" si="14"/>
        <v>1</v>
      </c>
      <c r="K453" s="22">
        <v>52.6616471887537</v>
      </c>
      <c r="L453" s="22">
        <f>其他战斗玩法!Y11</f>
        <v>52.6616471887537</v>
      </c>
      <c r="M453" s="22">
        <f t="shared" si="15"/>
        <v>0.999999999999999</v>
      </c>
      <c r="N453" t="s">
        <v>6163</v>
      </c>
    </row>
    <row r="454" spans="1:14">
      <c r="A454" t="s">
        <v>5804</v>
      </c>
      <c r="B454" t="s">
        <v>5824</v>
      </c>
      <c r="C454">
        <v>87</v>
      </c>
      <c r="D454">
        <v>180</v>
      </c>
      <c r="E454">
        <v>149</v>
      </c>
      <c r="F454" s="22">
        <f>其他战斗玩法!K12</f>
        <v>1.04237865009292</v>
      </c>
      <c r="G454" s="22">
        <f>其他战斗玩法!L12</f>
        <v>0.863088524131312</v>
      </c>
      <c r="H454" s="22">
        <v>36.9876182383789</v>
      </c>
      <c r="I454" s="22">
        <f>其他战斗玩法!X12</f>
        <v>36.987618238379</v>
      </c>
      <c r="J454" s="22">
        <f t="shared" si="14"/>
        <v>1</v>
      </c>
      <c r="K454" s="22">
        <v>52.6616471887537</v>
      </c>
      <c r="L454" s="22">
        <f>其他战斗玩法!Y12</f>
        <v>52.6616471887537</v>
      </c>
      <c r="M454" s="22">
        <f t="shared" si="15"/>
        <v>0.999999999999999</v>
      </c>
      <c r="N454" t="s">
        <v>6163</v>
      </c>
    </row>
    <row r="455" spans="1:14">
      <c r="A455" t="s">
        <v>5804</v>
      </c>
      <c r="B455" t="s">
        <v>5826</v>
      </c>
      <c r="C455">
        <v>102</v>
      </c>
      <c r="D455">
        <v>200</v>
      </c>
      <c r="E455">
        <v>166</v>
      </c>
      <c r="F455" s="22">
        <f>其他战斗玩法!K13</f>
        <v>1.03282438955474</v>
      </c>
      <c r="G455" s="22">
        <f>其他战斗玩法!L13</f>
        <v>0.888425448347749</v>
      </c>
      <c r="H455" s="22">
        <v>37.8844814031346</v>
      </c>
      <c r="I455" s="22">
        <f>其他战斗玩法!X13</f>
        <v>37.8844814031345</v>
      </c>
      <c r="J455" s="22">
        <f t="shared" si="14"/>
        <v>0.999999999999998</v>
      </c>
      <c r="K455" s="22">
        <v>54.9321813275553</v>
      </c>
      <c r="L455" s="22">
        <f>其他战斗玩法!Y13</f>
        <v>54.9321813275552</v>
      </c>
      <c r="M455" s="22">
        <f t="shared" si="15"/>
        <v>0.999999999999999</v>
      </c>
      <c r="N455" t="s">
        <v>6163</v>
      </c>
    </row>
    <row r="456" spans="1:14">
      <c r="A456" t="s">
        <v>5804</v>
      </c>
      <c r="B456" t="s">
        <v>5829</v>
      </c>
      <c r="C456">
        <v>102</v>
      </c>
      <c r="D456">
        <v>200</v>
      </c>
      <c r="E456">
        <v>166</v>
      </c>
      <c r="F456" s="22">
        <f>其他战斗玩法!K14</f>
        <v>1.03282438955474</v>
      </c>
      <c r="G456" s="22">
        <f>其他战斗玩法!L14</f>
        <v>0.888425448347749</v>
      </c>
      <c r="H456" s="22">
        <v>37.8844814031346</v>
      </c>
      <c r="I456" s="22">
        <f>其他战斗玩法!X14</f>
        <v>37.8844814031345</v>
      </c>
      <c r="J456" s="22">
        <f t="shared" si="14"/>
        <v>0.999999999999998</v>
      </c>
      <c r="K456" s="22">
        <v>54.9321813275553</v>
      </c>
      <c r="L456" s="22">
        <f>其他战斗玩法!Y14</f>
        <v>54.9321813275552</v>
      </c>
      <c r="M456" s="22">
        <f t="shared" si="15"/>
        <v>0.999999999999999</v>
      </c>
      <c r="N456" t="s">
        <v>6163</v>
      </c>
    </row>
    <row r="457" spans="1:14">
      <c r="A457" t="s">
        <v>5804</v>
      </c>
      <c r="B457" t="s">
        <v>5831</v>
      </c>
      <c r="C457">
        <v>123</v>
      </c>
      <c r="D457">
        <v>230</v>
      </c>
      <c r="E457">
        <v>195</v>
      </c>
      <c r="F457" s="22">
        <f>其他战斗玩法!K15</f>
        <v>1.02338346071287</v>
      </c>
      <c r="G457" s="22">
        <f>其他战斗玩法!L15</f>
        <v>0.944699661217369</v>
      </c>
      <c r="H457" s="22">
        <v>38.2610103506263</v>
      </c>
      <c r="I457" s="22">
        <f>其他战斗玩法!X15</f>
        <v>38.2610103506262</v>
      </c>
      <c r="J457" s="22">
        <f t="shared" si="14"/>
        <v>0.999999999999996</v>
      </c>
      <c r="K457" s="22">
        <v>56.9439825067522</v>
      </c>
      <c r="L457" s="22">
        <f>其他战斗玩法!Y15</f>
        <v>56.943982506752</v>
      </c>
      <c r="M457" s="22">
        <f t="shared" si="15"/>
        <v>0.999999999999997</v>
      </c>
      <c r="N457" t="s">
        <v>6163</v>
      </c>
    </row>
    <row r="458" spans="1:14">
      <c r="A458" t="s">
        <v>5804</v>
      </c>
      <c r="B458" t="s">
        <v>5834</v>
      </c>
      <c r="C458">
        <v>123</v>
      </c>
      <c r="D458">
        <v>230</v>
      </c>
      <c r="E458">
        <v>195</v>
      </c>
      <c r="F458" s="22">
        <f>其他战斗玩法!K16</f>
        <v>1.02338346071287</v>
      </c>
      <c r="G458" s="22">
        <f>其他战斗玩法!L16</f>
        <v>0.944699661217369</v>
      </c>
      <c r="H458" s="22">
        <v>38.2610103506263</v>
      </c>
      <c r="I458" s="22">
        <f>其他战斗玩法!X16</f>
        <v>38.2610103506262</v>
      </c>
      <c r="J458" s="22">
        <f t="shared" si="14"/>
        <v>0.999999999999996</v>
      </c>
      <c r="K458" s="22">
        <v>56.9439825067522</v>
      </c>
      <c r="L458" s="22">
        <f>其他战斗玩法!Y16</f>
        <v>56.943982506752</v>
      </c>
      <c r="M458" s="22">
        <f t="shared" si="15"/>
        <v>0.999999999999997</v>
      </c>
      <c r="N458" t="s">
        <v>6163</v>
      </c>
    </row>
    <row r="459" spans="1:14">
      <c r="A459" t="s">
        <v>5804</v>
      </c>
      <c r="B459" t="s">
        <v>5836</v>
      </c>
      <c r="C459">
        <v>155</v>
      </c>
      <c r="D459">
        <v>260</v>
      </c>
      <c r="E459">
        <v>230</v>
      </c>
      <c r="F459" s="22">
        <f>其他战斗玩法!K17</f>
        <v>1.00377794054907</v>
      </c>
      <c r="G459" s="22">
        <f>其他战斗玩法!L17</f>
        <v>1.00277933827993</v>
      </c>
      <c r="H459" s="22">
        <v>40.1908286134743</v>
      </c>
      <c r="I459" s="22">
        <f>其他战斗玩法!X17</f>
        <v>40.1908286134744</v>
      </c>
      <c r="J459" s="22">
        <f t="shared" si="14"/>
        <v>1</v>
      </c>
      <c r="K459" s="22">
        <v>57.0338932710357</v>
      </c>
      <c r="L459" s="22">
        <f>其他战斗玩法!Y17</f>
        <v>57.033893271036</v>
      </c>
      <c r="M459" s="22">
        <f t="shared" si="15"/>
        <v>1.00000000000001</v>
      </c>
      <c r="N459" t="s">
        <v>6163</v>
      </c>
    </row>
    <row r="460" spans="1:14">
      <c r="A460" t="s">
        <v>5804</v>
      </c>
      <c r="B460" t="s">
        <v>5839</v>
      </c>
      <c r="C460">
        <v>155</v>
      </c>
      <c r="D460">
        <v>260</v>
      </c>
      <c r="E460">
        <v>230</v>
      </c>
      <c r="F460" s="22">
        <f>其他战斗玩法!K18</f>
        <v>1.00377794054907</v>
      </c>
      <c r="G460" s="22">
        <f>其他战斗玩法!L18</f>
        <v>1.00277933827993</v>
      </c>
      <c r="H460" s="22">
        <v>40.1908286134743</v>
      </c>
      <c r="I460" s="22">
        <f>其他战斗玩法!X18</f>
        <v>40.1908286134744</v>
      </c>
      <c r="J460" s="22">
        <f t="shared" si="14"/>
        <v>1</v>
      </c>
      <c r="K460" s="22">
        <v>57.0338932710357</v>
      </c>
      <c r="L460" s="22">
        <f>其他战斗玩法!Y18</f>
        <v>57.033893271036</v>
      </c>
      <c r="M460" s="22">
        <f t="shared" si="15"/>
        <v>1.00000000000001</v>
      </c>
      <c r="N460" t="s">
        <v>6163</v>
      </c>
    </row>
    <row r="461" spans="1:14">
      <c r="A461" t="s">
        <v>5804</v>
      </c>
      <c r="B461" t="s">
        <v>5841</v>
      </c>
      <c r="C461">
        <v>214</v>
      </c>
      <c r="D461">
        <v>290</v>
      </c>
      <c r="E461">
        <v>277</v>
      </c>
      <c r="F461" s="22">
        <f>其他战斗玩法!K19</f>
        <v>0.975797192130606</v>
      </c>
      <c r="G461" s="22">
        <f>其他战斗玩法!L19</f>
        <v>1.07135589100686</v>
      </c>
      <c r="H461" s="22">
        <v>45.3496314351031</v>
      </c>
      <c r="I461" s="22">
        <f>其他战斗玩法!X19</f>
        <v>45.3496314351032</v>
      </c>
      <c r="J461" s="22">
        <f t="shared" si="14"/>
        <v>1</v>
      </c>
      <c r="K461" s="22">
        <v>54.2083816379589</v>
      </c>
      <c r="L461" s="22">
        <f>其他战斗玩法!Y19</f>
        <v>54.2083816379588</v>
      </c>
      <c r="M461" s="22">
        <f t="shared" si="15"/>
        <v>0.999999999999998</v>
      </c>
      <c r="N461" t="s">
        <v>6163</v>
      </c>
    </row>
    <row r="462" spans="1:14">
      <c r="A462" t="s">
        <v>5804</v>
      </c>
      <c r="B462" t="s">
        <v>5844</v>
      </c>
      <c r="C462">
        <v>214</v>
      </c>
      <c r="D462">
        <v>290</v>
      </c>
      <c r="E462">
        <v>277</v>
      </c>
      <c r="F462" s="22">
        <f>其他战斗玩法!K20</f>
        <v>0.975797192130606</v>
      </c>
      <c r="G462" s="22">
        <f>其他战斗玩法!L20</f>
        <v>1.07135589100686</v>
      </c>
      <c r="H462" s="22">
        <v>45.3496314351031</v>
      </c>
      <c r="I462" s="22">
        <f>其他战斗玩法!X20</f>
        <v>45.3496314351032</v>
      </c>
      <c r="J462" s="22">
        <f t="shared" si="14"/>
        <v>1</v>
      </c>
      <c r="K462" s="22">
        <v>54.2083816379589</v>
      </c>
      <c r="L462" s="22">
        <f>其他战斗玩法!Y20</f>
        <v>54.2083816379588</v>
      </c>
      <c r="M462" s="22">
        <f t="shared" si="15"/>
        <v>0.999999999999998</v>
      </c>
      <c r="N462" t="s">
        <v>6163</v>
      </c>
    </row>
    <row r="463" spans="1:14">
      <c r="A463" t="s">
        <v>5804</v>
      </c>
      <c r="B463" t="s">
        <v>5846</v>
      </c>
      <c r="C463">
        <v>278</v>
      </c>
      <c r="D463">
        <v>320</v>
      </c>
      <c r="E463">
        <v>329</v>
      </c>
      <c r="F463" s="22">
        <f>其他战斗玩法!K21</f>
        <v>0.957229469150641</v>
      </c>
      <c r="G463" s="22">
        <f>其他战斗玩法!L21</f>
        <v>1.13811993814146</v>
      </c>
      <c r="H463" s="22">
        <v>60.2127783653</v>
      </c>
      <c r="I463" s="22">
        <f>其他战斗玩法!X21</f>
        <v>60.2127783653</v>
      </c>
      <c r="J463" s="22">
        <f t="shared" si="14"/>
        <v>1</v>
      </c>
      <c r="K463" s="22">
        <v>45.9394857459197</v>
      </c>
      <c r="L463" s="22">
        <f>其他战斗玩法!Y21</f>
        <v>45.9394857459197</v>
      </c>
      <c r="M463" s="22">
        <f t="shared" si="15"/>
        <v>1</v>
      </c>
      <c r="N463" t="s">
        <v>6163</v>
      </c>
    </row>
    <row r="464" spans="1:14">
      <c r="A464" t="s">
        <v>5804</v>
      </c>
      <c r="B464" t="s">
        <v>5849</v>
      </c>
      <c r="C464">
        <v>278</v>
      </c>
      <c r="D464">
        <v>320</v>
      </c>
      <c r="E464">
        <v>329</v>
      </c>
      <c r="F464" s="22">
        <f>其他战斗玩法!K22</f>
        <v>0.957229469150641</v>
      </c>
      <c r="G464" s="22">
        <f>其他战斗玩法!L22</f>
        <v>1.13811993814146</v>
      </c>
      <c r="H464" s="22">
        <v>60.2127783653</v>
      </c>
      <c r="I464" s="22">
        <f>其他战斗玩法!X22</f>
        <v>60.2127783653</v>
      </c>
      <c r="J464" s="22">
        <f t="shared" si="14"/>
        <v>1</v>
      </c>
      <c r="K464" s="22">
        <v>45.9394857459197</v>
      </c>
      <c r="L464" s="22">
        <f>其他战斗玩法!Y22</f>
        <v>45.9394857459197</v>
      </c>
      <c r="M464" s="22">
        <f t="shared" si="15"/>
        <v>1</v>
      </c>
      <c r="N464" t="s">
        <v>6163</v>
      </c>
    </row>
    <row r="465" spans="1:14">
      <c r="A465" t="s">
        <v>5804</v>
      </c>
      <c r="B465" t="s">
        <v>5851</v>
      </c>
      <c r="C465">
        <v>278</v>
      </c>
      <c r="D465">
        <v>350</v>
      </c>
      <c r="E465">
        <v>360</v>
      </c>
      <c r="F465" s="22">
        <f>其他战斗玩法!K23</f>
        <v>0.948333962808333</v>
      </c>
      <c r="G465" s="22">
        <f>其他战斗玩法!L23</f>
        <v>1.15574881221252</v>
      </c>
      <c r="H465" s="22">
        <v>85.4412423689003</v>
      </c>
      <c r="I465" s="22">
        <f>其他战斗玩法!X23</f>
        <v>85.4412423689003</v>
      </c>
      <c r="J465" s="22">
        <f t="shared" si="14"/>
        <v>1</v>
      </c>
      <c r="K465" s="22">
        <v>37.0992958452631</v>
      </c>
      <c r="L465" s="22">
        <f>其他战斗玩法!Y23</f>
        <v>37.0992958452633</v>
      </c>
      <c r="M465" s="22">
        <f t="shared" si="15"/>
        <v>1.00000000000001</v>
      </c>
      <c r="N465" t="s">
        <v>6163</v>
      </c>
    </row>
    <row r="466" spans="1:14">
      <c r="A466" t="s">
        <v>5804</v>
      </c>
      <c r="B466" t="s">
        <v>5854</v>
      </c>
      <c r="C466">
        <v>278</v>
      </c>
      <c r="D466">
        <v>350</v>
      </c>
      <c r="E466">
        <v>360</v>
      </c>
      <c r="F466" s="22">
        <f>其他战斗玩法!K24</f>
        <v>0.948333962808333</v>
      </c>
      <c r="G466" s="22">
        <f>其他战斗玩法!L24</f>
        <v>1.15574881221252</v>
      </c>
      <c r="H466" s="22">
        <v>85.4412423689003</v>
      </c>
      <c r="I466" s="22">
        <f>其他战斗玩法!X24</f>
        <v>85.4412423689003</v>
      </c>
      <c r="J466" s="22">
        <f t="shared" si="14"/>
        <v>1</v>
      </c>
      <c r="K466" s="22">
        <v>37.0992958452631</v>
      </c>
      <c r="L466" s="22">
        <f>其他战斗玩法!Y24</f>
        <v>37.0992958452633</v>
      </c>
      <c r="M466" s="22">
        <f t="shared" si="15"/>
        <v>1.00000000000001</v>
      </c>
      <c r="N466" t="s">
        <v>6163</v>
      </c>
    </row>
    <row r="467" spans="1:14">
      <c r="A467" t="s">
        <v>5804</v>
      </c>
      <c r="B467" t="s">
        <v>5857</v>
      </c>
      <c r="C467">
        <v>7</v>
      </c>
      <c r="D467">
        <v>14</v>
      </c>
      <c r="E467">
        <v>13</v>
      </c>
      <c r="F467" s="22">
        <f>其他战斗玩法!K25</f>
        <v>1.3</v>
      </c>
      <c r="G467" s="22">
        <f>其他战斗玩法!L25</f>
        <v>1.3</v>
      </c>
      <c r="H467" s="22">
        <v>0.382434921929684</v>
      </c>
      <c r="I467" s="22">
        <f>其他战斗玩法!X25</f>
        <v>0.4716721660562</v>
      </c>
      <c r="J467" s="22">
        <f t="shared" si="14"/>
        <v>1.23333968476583</v>
      </c>
      <c r="K467" s="22">
        <v>33.9887415275869</v>
      </c>
      <c r="L467" s="22">
        <f>其他战斗玩法!Y25</f>
        <v>21.6150793416109</v>
      </c>
      <c r="M467" s="22">
        <f t="shared" si="15"/>
        <v>0.635948210205638</v>
      </c>
      <c r="N467" t="s">
        <v>6163</v>
      </c>
    </row>
    <row r="468" spans="1:14">
      <c r="A468" t="s">
        <v>5804</v>
      </c>
      <c r="B468" t="s">
        <v>5860</v>
      </c>
      <c r="C468">
        <v>7</v>
      </c>
      <c r="D468">
        <v>15</v>
      </c>
      <c r="E468">
        <v>14</v>
      </c>
      <c r="F468" s="22">
        <f>其他战斗玩法!K26</f>
        <v>1.3</v>
      </c>
      <c r="G468" s="22">
        <f>其他战斗玩法!L26</f>
        <v>1.3</v>
      </c>
      <c r="H468" s="22">
        <v>0.418858868567819</v>
      </c>
      <c r="I468" s="22">
        <f>其他战斗玩法!X26</f>
        <v>0.519780107155014</v>
      </c>
      <c r="J468" s="22">
        <f t="shared" si="14"/>
        <v>1.24094330133744</v>
      </c>
      <c r="K468" s="22">
        <v>31.4757107307228</v>
      </c>
      <c r="L468" s="22">
        <f>其他战斗玩法!Y26</f>
        <v>19.9675885381345</v>
      </c>
      <c r="M468" s="22">
        <f t="shared" si="15"/>
        <v>0.634380863039402</v>
      </c>
      <c r="N468" t="s">
        <v>6163</v>
      </c>
    </row>
    <row r="469" spans="1:14">
      <c r="A469" t="s">
        <v>5804</v>
      </c>
      <c r="B469" t="s">
        <v>5863</v>
      </c>
      <c r="C469">
        <v>11</v>
      </c>
      <c r="D469">
        <v>22</v>
      </c>
      <c r="E469">
        <v>20</v>
      </c>
      <c r="F469" s="22">
        <f>其他战斗玩法!K27</f>
        <v>1.3</v>
      </c>
      <c r="G469" s="22">
        <f>其他战斗玩法!L27</f>
        <v>1.3</v>
      </c>
      <c r="H469" s="22">
        <v>0.415937257137191</v>
      </c>
      <c r="I469" s="22">
        <f>其他战斗玩法!X27</f>
        <v>0.495206076932927</v>
      </c>
      <c r="J469" s="22">
        <f t="shared" si="14"/>
        <v>1.19057879147765</v>
      </c>
      <c r="K469" s="22">
        <v>34.8050626345015</v>
      </c>
      <c r="L469" s="22">
        <f>其他战斗玩法!Y27</f>
        <v>23.4756062726664</v>
      </c>
      <c r="M469" s="22">
        <f t="shared" si="15"/>
        <v>0.674488263939958</v>
      </c>
      <c r="N469" t="s">
        <v>6163</v>
      </c>
    </row>
    <row r="470" spans="1:14">
      <c r="A470" t="s">
        <v>5804</v>
      </c>
      <c r="B470" t="s">
        <v>5866</v>
      </c>
      <c r="C470">
        <v>11</v>
      </c>
      <c r="D470">
        <v>22</v>
      </c>
      <c r="E470">
        <v>20</v>
      </c>
      <c r="F470" s="22">
        <f>其他战斗玩法!K28</f>
        <v>1.3</v>
      </c>
      <c r="G470" s="22">
        <f>其他战斗玩法!L28</f>
        <v>1.3</v>
      </c>
      <c r="H470" s="22">
        <v>0.415937257137191</v>
      </c>
      <c r="I470" s="22">
        <f>其他战斗玩法!X28</f>
        <v>0.495206076932927</v>
      </c>
      <c r="J470" s="22">
        <f t="shared" si="14"/>
        <v>1.19057879147765</v>
      </c>
      <c r="K470" s="22">
        <v>34.8050626345015</v>
      </c>
      <c r="L470" s="22">
        <f>其他战斗玩法!Y28</f>
        <v>23.4756062726664</v>
      </c>
      <c r="M470" s="22">
        <f t="shared" si="15"/>
        <v>0.674488263939958</v>
      </c>
      <c r="N470" t="s">
        <v>6163</v>
      </c>
    </row>
    <row r="471" spans="1:14">
      <c r="A471" t="s">
        <v>5804</v>
      </c>
      <c r="B471" t="s">
        <v>5866</v>
      </c>
      <c r="C471">
        <v>11</v>
      </c>
      <c r="D471">
        <v>22</v>
      </c>
      <c r="E471">
        <v>20</v>
      </c>
      <c r="F471" s="22">
        <f>其他战斗玩法!K29</f>
        <v>1.3</v>
      </c>
      <c r="G471" s="22">
        <f>其他战斗玩法!L29</f>
        <v>1.3</v>
      </c>
      <c r="H471" s="22">
        <v>0.415937257137191</v>
      </c>
      <c r="I471" s="22">
        <f>其他战斗玩法!X29</f>
        <v>0.495206076932927</v>
      </c>
      <c r="J471" s="22">
        <f t="shared" si="14"/>
        <v>1.19057879147765</v>
      </c>
      <c r="K471" s="22">
        <v>34.8050626345015</v>
      </c>
      <c r="L471" s="22">
        <f>其他战斗玩法!Y29</f>
        <v>23.4756062726664</v>
      </c>
      <c r="M471" s="22">
        <f t="shared" si="15"/>
        <v>0.674488263939958</v>
      </c>
      <c r="N471" t="s">
        <v>6163</v>
      </c>
    </row>
    <row r="472" spans="1:14">
      <c r="A472" t="s">
        <v>5804</v>
      </c>
      <c r="B472" t="s">
        <v>5866</v>
      </c>
      <c r="C472">
        <v>11</v>
      </c>
      <c r="D472">
        <v>22</v>
      </c>
      <c r="E472">
        <v>20</v>
      </c>
      <c r="F472" s="22">
        <f>其他战斗玩法!K30</f>
        <v>1.3</v>
      </c>
      <c r="G472" s="22">
        <f>其他战斗玩法!L30</f>
        <v>1.3</v>
      </c>
      <c r="H472" s="22">
        <v>0.415937257137191</v>
      </c>
      <c r="I472" s="22">
        <f>其他战斗玩法!X30</f>
        <v>0.495206076932927</v>
      </c>
      <c r="J472" s="22">
        <f t="shared" si="14"/>
        <v>1.19057879147765</v>
      </c>
      <c r="K472" s="22">
        <v>34.8050626345015</v>
      </c>
      <c r="L472" s="22">
        <f>其他战斗玩法!Y30</f>
        <v>23.4756062726664</v>
      </c>
      <c r="M472" s="22">
        <f t="shared" si="15"/>
        <v>0.674488263939958</v>
      </c>
      <c r="N472" t="s">
        <v>6163</v>
      </c>
    </row>
    <row r="473" spans="1:14">
      <c r="A473" t="s">
        <v>5804</v>
      </c>
      <c r="B473" t="s">
        <v>5866</v>
      </c>
      <c r="C473">
        <v>11</v>
      </c>
      <c r="D473">
        <v>22</v>
      </c>
      <c r="E473">
        <v>20</v>
      </c>
      <c r="F473" s="22">
        <f>其他战斗玩法!K31</f>
        <v>1.3</v>
      </c>
      <c r="G473" s="22">
        <f>其他战斗玩法!L31</f>
        <v>1.3</v>
      </c>
      <c r="H473" s="22">
        <v>0.415937257137191</v>
      </c>
      <c r="I473" s="22">
        <f>其他战斗玩法!X31</f>
        <v>0.495206076932927</v>
      </c>
      <c r="J473" s="22">
        <f t="shared" si="14"/>
        <v>1.19057879147765</v>
      </c>
      <c r="K473" s="22">
        <v>34.8050626345015</v>
      </c>
      <c r="L473" s="22">
        <f>其他战斗玩法!Y31</f>
        <v>23.4756062726664</v>
      </c>
      <c r="M473" s="22">
        <f t="shared" si="15"/>
        <v>0.674488263939958</v>
      </c>
      <c r="N473" t="s">
        <v>6163</v>
      </c>
    </row>
    <row r="474" spans="1:14">
      <c r="A474" t="s">
        <v>5804</v>
      </c>
      <c r="B474" t="s">
        <v>5871</v>
      </c>
      <c r="C474">
        <v>11</v>
      </c>
      <c r="D474">
        <v>23</v>
      </c>
      <c r="E474">
        <v>21</v>
      </c>
      <c r="F474" s="22">
        <f>其他战斗玩法!K32</f>
        <v>1.3</v>
      </c>
      <c r="G474" s="22">
        <f>其他战斗玩法!L32</f>
        <v>1.3</v>
      </c>
      <c r="H474" s="22">
        <v>0.443291346652538</v>
      </c>
      <c r="I474" s="22">
        <f>其他战斗玩法!X32</f>
        <v>0.530437234926554</v>
      </c>
      <c r="J474" s="22">
        <f t="shared" si="14"/>
        <v>1.19658829104626</v>
      </c>
      <c r="K474" s="22">
        <v>33.0393041017478</v>
      </c>
      <c r="L474" s="22">
        <f>其他战斗玩法!Y32</f>
        <v>22.2693498238733</v>
      </c>
      <c r="M474" s="22">
        <f t="shared" si="15"/>
        <v>0.674025995078244</v>
      </c>
      <c r="N474" t="s">
        <v>6163</v>
      </c>
    </row>
    <row r="475" spans="1:14">
      <c r="A475" t="s">
        <v>5804</v>
      </c>
      <c r="B475" t="s">
        <v>5874</v>
      </c>
      <c r="C475">
        <v>12</v>
      </c>
      <c r="D475">
        <v>24</v>
      </c>
      <c r="E475">
        <v>22</v>
      </c>
      <c r="F475" s="22">
        <f>其他战斗玩法!K33</f>
        <v>1.3</v>
      </c>
      <c r="G475" s="22">
        <f>其他战斗玩法!L33</f>
        <v>1.3</v>
      </c>
      <c r="H475" s="22">
        <v>0.430180246751498</v>
      </c>
      <c r="I475" s="22">
        <f>其他战斗玩法!X33</f>
        <v>0.516990574302015</v>
      </c>
      <c r="J475" s="22">
        <f t="shared" si="14"/>
        <v>1.20179989250103</v>
      </c>
      <c r="K475" s="22">
        <v>34.4985982946369</v>
      </c>
      <c r="L475" s="22">
        <f>其他战斗玩法!Y33</f>
        <v>23.2700926900638</v>
      </c>
      <c r="M475" s="22">
        <f t="shared" si="15"/>
        <v>0.674522845575479</v>
      </c>
      <c r="N475" t="s">
        <v>6163</v>
      </c>
    </row>
    <row r="476" spans="1:14">
      <c r="A476" t="s">
        <v>5804</v>
      </c>
      <c r="B476" t="s">
        <v>5877</v>
      </c>
      <c r="C476">
        <v>16</v>
      </c>
      <c r="D476">
        <v>31</v>
      </c>
      <c r="E476">
        <v>29</v>
      </c>
      <c r="F476" s="22">
        <f>其他战斗玩法!K34</f>
        <v>1.3</v>
      </c>
      <c r="G476" s="22">
        <f>其他战斗玩法!L34</f>
        <v>1.3</v>
      </c>
      <c r="H476" s="22">
        <v>0.455296696414133</v>
      </c>
      <c r="I476" s="22">
        <f>其他战斗玩法!X34</f>
        <v>0.563334825978559</v>
      </c>
      <c r="J476" s="22">
        <f t="shared" si="14"/>
        <v>1.23729170542049</v>
      </c>
      <c r="K476" s="22">
        <v>34.1057096944216</v>
      </c>
      <c r="L476" s="22">
        <f>其他战斗玩法!Y34</f>
        <v>23.0989257986306</v>
      </c>
      <c r="M476" s="22">
        <f t="shared" si="15"/>
        <v>0.677274450688492</v>
      </c>
      <c r="N476" t="s">
        <v>6163</v>
      </c>
    </row>
    <row r="477" spans="1:14">
      <c r="A477" t="s">
        <v>5804</v>
      </c>
      <c r="B477" t="s">
        <v>5882</v>
      </c>
      <c r="C477">
        <v>18</v>
      </c>
      <c r="D477">
        <v>34</v>
      </c>
      <c r="E477">
        <v>32</v>
      </c>
      <c r="F477" s="22">
        <f>其他战斗玩法!K41</f>
        <v>1.3</v>
      </c>
      <c r="G477" s="22">
        <f>其他战斗玩法!L41</f>
        <v>1.3</v>
      </c>
      <c r="H477" s="22">
        <v>0.438065627640766</v>
      </c>
      <c r="I477" s="22">
        <f>其他战斗玩法!X41</f>
        <v>0.547014364063031</v>
      </c>
      <c r="J477" s="22">
        <f t="shared" si="14"/>
        <v>1.2487041428222</v>
      </c>
      <c r="K477" s="22">
        <v>35.1638867117558</v>
      </c>
      <c r="L477" s="22">
        <f>其他战斗玩法!Y41</f>
        <v>23.92332634111</v>
      </c>
      <c r="M477" s="22">
        <f t="shared" si="15"/>
        <v>0.680337942651604</v>
      </c>
      <c r="N477" t="s">
        <v>6163</v>
      </c>
    </row>
    <row r="478" spans="1:14">
      <c r="A478" t="s">
        <v>5804</v>
      </c>
      <c r="B478" t="s">
        <v>5885</v>
      </c>
      <c r="C478">
        <v>18</v>
      </c>
      <c r="D478">
        <v>35</v>
      </c>
      <c r="E478">
        <v>33</v>
      </c>
      <c r="F478" s="22">
        <f>其他战斗玩法!K42</f>
        <v>1.3</v>
      </c>
      <c r="G478" s="22">
        <f>其他战斗玩法!L42</f>
        <v>1.3</v>
      </c>
      <c r="H478" s="22">
        <v>0.458367115344619</v>
      </c>
      <c r="I478" s="22">
        <f>其他战斗玩法!X42</f>
        <v>0.573799693380015</v>
      </c>
      <c r="J478" s="22">
        <f t="shared" si="14"/>
        <v>1.25183433577823</v>
      </c>
      <c r="K478" s="22">
        <v>33.8860604113286</v>
      </c>
      <c r="L478" s="22">
        <f>其他战斗玩法!Y42</f>
        <v>23.0929535536867</v>
      </c>
      <c r="M478" s="22">
        <f t="shared" si="15"/>
        <v>0.681488295581459</v>
      </c>
      <c r="N478" t="s">
        <v>6163</v>
      </c>
    </row>
    <row r="479" spans="1:14">
      <c r="A479" t="s">
        <v>5804</v>
      </c>
      <c r="B479" t="s">
        <v>5888</v>
      </c>
      <c r="C479">
        <v>19</v>
      </c>
      <c r="D479">
        <v>37</v>
      </c>
      <c r="E479">
        <v>35</v>
      </c>
      <c r="F479" s="22">
        <f>其他战斗玩法!K43</f>
        <v>1.3</v>
      </c>
      <c r="G479" s="22">
        <f>其他战斗玩法!L43</f>
        <v>1.3</v>
      </c>
      <c r="H479" s="22">
        <v>0.460828933017874</v>
      </c>
      <c r="I479" s="22">
        <f>其他战斗玩法!X43</f>
        <v>0.578398473342836</v>
      </c>
      <c r="J479" s="22">
        <f t="shared" si="14"/>
        <v>1.25512621257312</v>
      </c>
      <c r="K479" s="22">
        <v>33.7252387781683</v>
      </c>
      <c r="L479" s="22">
        <f>其他战斗玩法!Y43</f>
        <v>23.1000149335549</v>
      </c>
      <c r="M479" s="22">
        <f t="shared" si="15"/>
        <v>0.684947409431195</v>
      </c>
      <c r="N479" t="s">
        <v>6163</v>
      </c>
    </row>
    <row r="480" spans="1:14">
      <c r="A480" t="s">
        <v>5804</v>
      </c>
      <c r="B480" t="s">
        <v>5891</v>
      </c>
      <c r="C480">
        <v>20</v>
      </c>
      <c r="D480">
        <v>40</v>
      </c>
      <c r="E480">
        <v>38</v>
      </c>
      <c r="F480" s="22">
        <f>其他战斗玩法!K44</f>
        <v>1.3</v>
      </c>
      <c r="G480" s="22">
        <f>其他战斗玩法!L44</f>
        <v>1.3</v>
      </c>
      <c r="H480" s="22">
        <v>0.471401392658733</v>
      </c>
      <c r="I480" s="22">
        <f>其他战斗玩法!X44</f>
        <v>0.59322340609375</v>
      </c>
      <c r="J480" s="22">
        <f t="shared" si="14"/>
        <v>1.25842523024366</v>
      </c>
      <c r="K480" s="22">
        <v>33.2346295308698</v>
      </c>
      <c r="L480" s="22">
        <f>其他战斗玩法!Y44</f>
        <v>22.9864497519437</v>
      </c>
      <c r="M480" s="22">
        <f t="shared" si="15"/>
        <v>0.691641522003213</v>
      </c>
      <c r="N480" t="s">
        <v>6163</v>
      </c>
    </row>
    <row r="481" spans="1:14">
      <c r="A481" t="s">
        <v>5804</v>
      </c>
      <c r="B481" t="s">
        <v>5894</v>
      </c>
      <c r="C481">
        <v>22</v>
      </c>
      <c r="D481">
        <v>43</v>
      </c>
      <c r="E481">
        <v>41</v>
      </c>
      <c r="F481" s="22">
        <f>其他战斗玩法!K45</f>
        <v>1.3</v>
      </c>
      <c r="G481" s="22">
        <f>其他战斗玩法!L45</f>
        <v>1.3</v>
      </c>
      <c r="H481" s="22">
        <v>0.438221292377313</v>
      </c>
      <c r="I481" s="22">
        <f>其他战斗玩法!X45</f>
        <v>0.555816467865318</v>
      </c>
      <c r="J481" s="22">
        <f t="shared" si="14"/>
        <v>1.2683465580827</v>
      </c>
      <c r="K481" s="22">
        <v>35.4983774574322</v>
      </c>
      <c r="L481" s="22">
        <f>其他战斗玩法!Y45</f>
        <v>24.6726835596611</v>
      </c>
      <c r="M481" s="22">
        <f t="shared" si="15"/>
        <v>0.695036937652918</v>
      </c>
      <c r="N481" t="s">
        <v>6163</v>
      </c>
    </row>
    <row r="482" spans="1:14">
      <c r="A482" t="s">
        <v>5804</v>
      </c>
      <c r="B482" t="s">
        <v>5897</v>
      </c>
      <c r="C482">
        <v>23</v>
      </c>
      <c r="D482">
        <v>45</v>
      </c>
      <c r="E482">
        <v>43</v>
      </c>
      <c r="F482" s="22">
        <f>其他战斗玩法!K46</f>
        <v>1.3</v>
      </c>
      <c r="G482" s="22">
        <f>其他战斗玩法!L46</f>
        <v>1.3</v>
      </c>
      <c r="H482" s="22">
        <v>0.432080722084332</v>
      </c>
      <c r="I482" s="22">
        <f>其他战斗玩法!X46</f>
        <v>0.549325407749586</v>
      </c>
      <c r="J482" s="22">
        <f t="shared" si="14"/>
        <v>1.2713490319579</v>
      </c>
      <c r="K482" s="22">
        <v>36.0208985155668</v>
      </c>
      <c r="L482" s="22">
        <f>其他战斗玩法!Y46</f>
        <v>25.1673411370942</v>
      </c>
      <c r="M482" s="22">
        <f t="shared" si="15"/>
        <v>0.698687211431382</v>
      </c>
      <c r="N482" t="s">
        <v>6163</v>
      </c>
    </row>
    <row r="483" spans="1:14">
      <c r="A483" t="s">
        <v>5804</v>
      </c>
      <c r="B483" t="s">
        <v>5903</v>
      </c>
      <c r="C483">
        <v>33</v>
      </c>
      <c r="D483">
        <v>70</v>
      </c>
      <c r="E483">
        <v>58</v>
      </c>
      <c r="F483" s="22">
        <f>其他战斗玩法!K53</f>
        <v>1.3</v>
      </c>
      <c r="G483" s="22">
        <f>其他战斗玩法!L53</f>
        <v>1.3</v>
      </c>
      <c r="H483" s="22">
        <v>0.416499247312832</v>
      </c>
      <c r="I483" s="22">
        <f>其他战斗玩法!X53</f>
        <v>0.529656186119929</v>
      </c>
      <c r="J483" s="22">
        <f t="shared" si="14"/>
        <v>1.27168581825096</v>
      </c>
      <c r="K483" s="22">
        <v>37.9756825401632</v>
      </c>
      <c r="L483" s="22">
        <f>其他战斗玩法!Y53</f>
        <v>27.8562216993309</v>
      </c>
      <c r="M483" s="22">
        <f t="shared" si="15"/>
        <v>0.733527874577898</v>
      </c>
      <c r="N483" t="s">
        <v>6163</v>
      </c>
    </row>
    <row r="484" spans="1:14">
      <c r="A484" t="s">
        <v>5804</v>
      </c>
      <c r="B484" t="s">
        <v>5906</v>
      </c>
      <c r="C484">
        <v>33</v>
      </c>
      <c r="D484">
        <v>72</v>
      </c>
      <c r="E484">
        <v>60</v>
      </c>
      <c r="F484" s="22">
        <f>其他战斗玩法!K54</f>
        <v>1.3</v>
      </c>
      <c r="G484" s="22">
        <f>其他战斗玩法!L54</f>
        <v>1.3</v>
      </c>
      <c r="H484" s="22">
        <v>0.439577034131632</v>
      </c>
      <c r="I484" s="22">
        <f>其他战斗玩法!X54</f>
        <v>0.563222618175032</v>
      </c>
      <c r="J484" s="22">
        <f t="shared" si="14"/>
        <v>1.28128308451705</v>
      </c>
      <c r="K484" s="22">
        <v>36.4186795560165</v>
      </c>
      <c r="L484" s="22">
        <f>其他战斗玩法!Y54</f>
        <v>26.7133601833312</v>
      </c>
      <c r="M484" s="22">
        <f t="shared" si="15"/>
        <v>0.733507104293628</v>
      </c>
      <c r="N484" t="s">
        <v>6163</v>
      </c>
    </row>
    <row r="485" spans="1:14">
      <c r="A485" t="s">
        <v>5804</v>
      </c>
      <c r="B485" t="s">
        <v>5909</v>
      </c>
      <c r="C485">
        <v>34</v>
      </c>
      <c r="D485">
        <v>74</v>
      </c>
      <c r="E485">
        <v>60</v>
      </c>
      <c r="F485" s="22">
        <f>其他战斗玩法!K55</f>
        <v>1.3</v>
      </c>
      <c r="G485" s="22">
        <f>其他战斗玩法!L55</f>
        <v>1.3</v>
      </c>
      <c r="H485" s="22">
        <v>0.4236467076854</v>
      </c>
      <c r="I485" s="22">
        <f>其他战斗玩法!X55</f>
        <v>0.535255064335145</v>
      </c>
      <c r="J485" s="22">
        <f t="shared" si="14"/>
        <v>1.26344676973774</v>
      </c>
      <c r="K485" s="22">
        <v>37.5807587309625</v>
      </c>
      <c r="L485" s="22">
        <f>其他战斗玩法!Y55</f>
        <v>27.8175168660321</v>
      </c>
      <c r="M485" s="22">
        <f t="shared" si="15"/>
        <v>0.740206366379546</v>
      </c>
      <c r="N485" t="s">
        <v>6163</v>
      </c>
    </row>
    <row r="486" spans="1:14">
      <c r="A486" t="s">
        <v>5804</v>
      </c>
      <c r="B486" t="s">
        <v>5912</v>
      </c>
      <c r="C486">
        <v>35</v>
      </c>
      <c r="D486">
        <v>76</v>
      </c>
      <c r="E486">
        <v>61</v>
      </c>
      <c r="F486" s="22">
        <f>其他战斗玩法!K56</f>
        <v>1.3</v>
      </c>
      <c r="G486" s="22">
        <f>其他战斗玩法!L56</f>
        <v>1.3</v>
      </c>
      <c r="H486" s="22">
        <v>0.409835024827256</v>
      </c>
      <c r="I486" s="22">
        <f>其他战斗玩法!X56</f>
        <v>0.524135513871268</v>
      </c>
      <c r="J486" s="22">
        <f t="shared" si="14"/>
        <v>1.27889390149656</v>
      </c>
      <c r="K486" s="22">
        <v>38.6733069373335</v>
      </c>
      <c r="L486" s="22">
        <f>其他战斗玩法!Y56</f>
        <v>28.3918672963498</v>
      </c>
      <c r="M486" s="22">
        <f t="shared" si="15"/>
        <v>0.73414635428918</v>
      </c>
      <c r="N486" t="s">
        <v>6163</v>
      </c>
    </row>
    <row r="487" spans="1:14">
      <c r="A487" t="s">
        <v>5804</v>
      </c>
      <c r="B487" t="s">
        <v>5915</v>
      </c>
      <c r="C487">
        <v>36</v>
      </c>
      <c r="D487">
        <v>79</v>
      </c>
      <c r="E487">
        <v>62</v>
      </c>
      <c r="F487" s="22">
        <f>其他战斗玩法!K57</f>
        <v>1.3</v>
      </c>
      <c r="G487" s="22">
        <f>其他战斗玩法!L57</f>
        <v>1.3</v>
      </c>
      <c r="H487" s="22">
        <v>0.407962903898219</v>
      </c>
      <c r="I487" s="22">
        <f>其他战斗玩法!X57</f>
        <v>0.513632761007558</v>
      </c>
      <c r="J487" s="22">
        <f t="shared" si="14"/>
        <v>1.2590182982316</v>
      </c>
      <c r="K487" s="22">
        <v>38.9319840881801</v>
      </c>
      <c r="L487" s="22">
        <f>其他战斗玩法!Y57</f>
        <v>28.9585567983927</v>
      </c>
      <c r="M487" s="22">
        <f t="shared" si="15"/>
        <v>0.743824325336262</v>
      </c>
      <c r="N487" t="s">
        <v>6163</v>
      </c>
    </row>
    <row r="488" spans="1:14">
      <c r="A488" t="s">
        <v>5804</v>
      </c>
      <c r="B488" t="s">
        <v>5918</v>
      </c>
      <c r="C488">
        <v>36</v>
      </c>
      <c r="D488">
        <v>81</v>
      </c>
      <c r="E488">
        <v>64</v>
      </c>
      <c r="F488" s="22">
        <f>其他战斗玩法!K58</f>
        <v>1.3</v>
      </c>
      <c r="G488" s="22">
        <f>其他战斗玩法!L58</f>
        <v>1.3</v>
      </c>
      <c r="H488" s="22">
        <v>0.428831057914551</v>
      </c>
      <c r="I488" s="22">
        <f>其他战斗玩法!X58</f>
        <v>0.544686894939775</v>
      </c>
      <c r="J488" s="22">
        <f t="shared" si="14"/>
        <v>1.27016661896795</v>
      </c>
      <c r="K488" s="22">
        <v>37.4743758154789</v>
      </c>
      <c r="L488" s="22">
        <f>其他战斗玩法!Y58</f>
        <v>27.8308134372352</v>
      </c>
      <c r="M488" s="22">
        <f t="shared" si="15"/>
        <v>0.742662494881092</v>
      </c>
      <c r="N488" t="s">
        <v>6163</v>
      </c>
    </row>
    <row r="489" spans="1:14">
      <c r="A489" t="s">
        <v>5804</v>
      </c>
      <c r="B489" t="s">
        <v>5903</v>
      </c>
      <c r="C489">
        <v>52</v>
      </c>
      <c r="D489">
        <v>118</v>
      </c>
      <c r="E489">
        <v>91</v>
      </c>
      <c r="F489" s="22">
        <f>其他战斗玩法!K65</f>
        <v>1.3</v>
      </c>
      <c r="G489" s="22">
        <f>其他战斗玩法!L65</f>
        <v>1.3</v>
      </c>
      <c r="H489" s="22">
        <v>0.380676296307494</v>
      </c>
      <c r="I489" s="22">
        <f>其他战斗玩法!X65</f>
        <v>0.495382111229665</v>
      </c>
      <c r="J489" s="22">
        <f t="shared" si="14"/>
        <v>1.30132113828678</v>
      </c>
      <c r="K489" s="22">
        <v>43.1565975708613</v>
      </c>
      <c r="L489" s="22">
        <f>其他战斗玩法!Y65</f>
        <v>33.2853751850124</v>
      </c>
      <c r="M489" s="22">
        <f t="shared" si="15"/>
        <v>0.771269679690555</v>
      </c>
      <c r="N489" t="s">
        <v>6163</v>
      </c>
    </row>
    <row r="490" spans="1:14">
      <c r="A490" t="s">
        <v>5804</v>
      </c>
      <c r="B490" t="s">
        <v>5906</v>
      </c>
      <c r="C490">
        <v>53</v>
      </c>
      <c r="D490">
        <v>121</v>
      </c>
      <c r="E490">
        <v>94</v>
      </c>
      <c r="F490" s="22">
        <f>其他战斗玩法!K66</f>
        <v>1.3</v>
      </c>
      <c r="G490" s="22">
        <f>其他战斗玩法!L66</f>
        <v>1.3</v>
      </c>
      <c r="H490" s="22">
        <v>0.386811228871293</v>
      </c>
      <c r="I490" s="22">
        <f>其他战斗玩法!X66</f>
        <v>0.507480092945915</v>
      </c>
      <c r="J490" s="22">
        <f t="shared" si="14"/>
        <v>1.31195801742036</v>
      </c>
      <c r="K490" s="22">
        <v>42.7799323247456</v>
      </c>
      <c r="L490" s="22">
        <f>其他战斗玩法!Y66</f>
        <v>33.0152948508062</v>
      </c>
      <c r="M490" s="22">
        <f t="shared" si="15"/>
        <v>0.771747243548322</v>
      </c>
      <c r="N490" t="s">
        <v>6163</v>
      </c>
    </row>
    <row r="491" spans="1:14">
      <c r="A491" t="s">
        <v>5804</v>
      </c>
      <c r="B491" t="s">
        <v>5909</v>
      </c>
      <c r="C491">
        <v>55</v>
      </c>
      <c r="D491">
        <v>125</v>
      </c>
      <c r="E491">
        <v>97</v>
      </c>
      <c r="F491" s="22">
        <f>其他战斗玩法!K67</f>
        <v>1.3</v>
      </c>
      <c r="G491" s="22">
        <f>其他战斗玩法!L67</f>
        <v>1.3</v>
      </c>
      <c r="H491" s="22">
        <v>0.384910163479594</v>
      </c>
      <c r="I491" s="22">
        <f>其他战斗玩法!X67</f>
        <v>0.500297894613933</v>
      </c>
      <c r="J491" s="22">
        <f t="shared" si="14"/>
        <v>1.29977834331843</v>
      </c>
      <c r="K491" s="22">
        <v>43.1731951863751</v>
      </c>
      <c r="L491" s="22">
        <f>其他战斗玩法!Y67</f>
        <v>33.7829615215788</v>
      </c>
      <c r="M491" s="22">
        <f t="shared" si="15"/>
        <v>0.782498524275087</v>
      </c>
      <c r="N491" t="s">
        <v>6163</v>
      </c>
    </row>
    <row r="492" spans="1:14">
      <c r="A492" t="s">
        <v>5804</v>
      </c>
      <c r="B492" t="s">
        <v>5912</v>
      </c>
      <c r="C492">
        <v>57</v>
      </c>
      <c r="D492">
        <v>128</v>
      </c>
      <c r="E492">
        <v>99</v>
      </c>
      <c r="F492" s="22">
        <f>其他战斗玩法!K68</f>
        <v>1.3</v>
      </c>
      <c r="G492" s="22">
        <f>其他战斗玩法!L68</f>
        <v>1.3</v>
      </c>
      <c r="H492" s="22">
        <v>0.37708702952377</v>
      </c>
      <c r="I492" s="22">
        <f>其他战斗玩法!X68</f>
        <v>0.48898388050257</v>
      </c>
      <c r="J492" s="22">
        <f t="shared" si="14"/>
        <v>1.29674012155793</v>
      </c>
      <c r="K492" s="22">
        <v>44.0531672399238</v>
      </c>
      <c r="L492" s="22">
        <f>其他战斗玩法!Y68</f>
        <v>34.6755227932853</v>
      </c>
      <c r="M492" s="22">
        <f t="shared" si="15"/>
        <v>0.787128939093854</v>
      </c>
      <c r="N492" t="s">
        <v>6163</v>
      </c>
    </row>
    <row r="493" spans="1:14">
      <c r="A493" t="s">
        <v>5804</v>
      </c>
      <c r="B493" t="s">
        <v>5915</v>
      </c>
      <c r="C493">
        <v>58</v>
      </c>
      <c r="D493">
        <v>131</v>
      </c>
      <c r="E493">
        <v>102</v>
      </c>
      <c r="F493" s="22">
        <f>其他战斗玩法!K69</f>
        <v>1.3</v>
      </c>
      <c r="G493" s="22">
        <f>其他战斗玩法!L69</f>
        <v>1.3</v>
      </c>
      <c r="H493" s="22">
        <v>0.384387748628141</v>
      </c>
      <c r="I493" s="22">
        <f>其他战斗玩法!X69</f>
        <v>0.505160829380606</v>
      </c>
      <c r="J493" s="22">
        <f t="shared" si="14"/>
        <v>1.31419596796073</v>
      </c>
      <c r="K493" s="22">
        <v>43.558325623625</v>
      </c>
      <c r="L493" s="22">
        <f>其他战斗玩法!Y69</f>
        <v>34.1609140252165</v>
      </c>
      <c r="M493" s="22">
        <f t="shared" si="15"/>
        <v>0.784256821999797</v>
      </c>
      <c r="N493" t="s">
        <v>6163</v>
      </c>
    </row>
    <row r="494" spans="1:14">
      <c r="A494" t="s">
        <v>5804</v>
      </c>
      <c r="B494" t="s">
        <v>5918</v>
      </c>
      <c r="C494">
        <v>60</v>
      </c>
      <c r="D494">
        <v>134</v>
      </c>
      <c r="E494">
        <v>104</v>
      </c>
      <c r="F494" s="22">
        <f>其他战斗玩法!K70</f>
        <v>1.3</v>
      </c>
      <c r="G494" s="22">
        <f>其他战斗玩法!L70</f>
        <v>1.3</v>
      </c>
      <c r="H494" s="22">
        <v>0.378407082586889</v>
      </c>
      <c r="I494" s="22">
        <f>其他战斗玩法!X70</f>
        <v>0.494053744786099</v>
      </c>
      <c r="J494" s="22">
        <f t="shared" si="14"/>
        <v>1.30561442298759</v>
      </c>
      <c r="K494" s="22">
        <v>44.2766576748708</v>
      </c>
      <c r="L494" s="22">
        <f>其他战斗玩法!Y70</f>
        <v>35.0357333262166</v>
      </c>
      <c r="M494" s="22">
        <f t="shared" si="15"/>
        <v>0.791291284529391</v>
      </c>
      <c r="N494" t="s">
        <v>6163</v>
      </c>
    </row>
    <row r="495" spans="1:14">
      <c r="A495" t="s">
        <v>5804</v>
      </c>
      <c r="B495" t="s">
        <v>5939</v>
      </c>
      <c r="C495">
        <v>74</v>
      </c>
      <c r="D495">
        <v>160</v>
      </c>
      <c r="E495">
        <v>125</v>
      </c>
      <c r="F495" s="22">
        <f>其他战斗玩法!K77</f>
        <v>1.3</v>
      </c>
      <c r="G495" s="22">
        <f>其他战斗玩法!L77</f>
        <v>1.3</v>
      </c>
      <c r="H495" s="22">
        <v>0.363911410585384</v>
      </c>
      <c r="I495" s="22">
        <f>其他战斗玩法!X77</f>
        <v>0.482196446153083</v>
      </c>
      <c r="J495" s="22">
        <f t="shared" si="14"/>
        <v>1.32503799586121</v>
      </c>
      <c r="K495" s="22">
        <v>49.0418556679711</v>
      </c>
      <c r="L495" s="22">
        <f>其他战斗玩法!Y77</f>
        <v>39.7486102990198</v>
      </c>
      <c r="M495" s="22">
        <f t="shared" si="15"/>
        <v>0.810503798390715</v>
      </c>
      <c r="N495" t="s">
        <v>6163</v>
      </c>
    </row>
    <row r="496" spans="1:14">
      <c r="A496" t="s">
        <v>5804</v>
      </c>
      <c r="B496" t="s">
        <v>5942</v>
      </c>
      <c r="C496">
        <v>76</v>
      </c>
      <c r="D496">
        <v>163</v>
      </c>
      <c r="E496">
        <v>127</v>
      </c>
      <c r="F496" s="22">
        <f>其他战斗玩法!K78</f>
        <v>1.3</v>
      </c>
      <c r="G496" s="22">
        <f>其他战斗玩法!L78</f>
        <v>1.3</v>
      </c>
      <c r="H496" s="22">
        <v>0.360023023588689</v>
      </c>
      <c r="I496" s="22">
        <f>其他战斗玩法!X78</f>
        <v>0.474885892139357</v>
      </c>
      <c r="J496" s="22">
        <f t="shared" si="14"/>
        <v>1.31904311953642</v>
      </c>
      <c r="K496" s="22">
        <v>49.9363667986694</v>
      </c>
      <c r="L496" s="22">
        <f>其他战斗玩法!Y78</f>
        <v>40.7165786030213</v>
      </c>
      <c r="M496" s="22">
        <f t="shared" si="15"/>
        <v>0.815369263190093</v>
      </c>
      <c r="N496" t="s">
        <v>6163</v>
      </c>
    </row>
    <row r="497" spans="1:14">
      <c r="A497" t="s">
        <v>5804</v>
      </c>
      <c r="B497" t="s">
        <v>5945</v>
      </c>
      <c r="C497">
        <v>77</v>
      </c>
      <c r="D497">
        <v>165</v>
      </c>
      <c r="E497">
        <v>129</v>
      </c>
      <c r="F497" s="22">
        <f>其他战斗玩法!K79</f>
        <v>1.3</v>
      </c>
      <c r="G497" s="22">
        <f>其他战斗玩法!L79</f>
        <v>1.3</v>
      </c>
      <c r="H497" s="22">
        <v>0.361434723734176</v>
      </c>
      <c r="I497" s="22">
        <f>其他战斗玩法!X79</f>
        <v>0.480427939834681</v>
      </c>
      <c r="J497" s="22">
        <f t="shared" si="14"/>
        <v>1.32922463805116</v>
      </c>
      <c r="K497" s="22">
        <v>50.0540322232955</v>
      </c>
      <c r="L497" s="22">
        <f>其他战斗玩法!Y79</f>
        <v>40.7228910948501</v>
      </c>
      <c r="M497" s="22">
        <f t="shared" si="15"/>
        <v>0.813578632650046</v>
      </c>
      <c r="N497" t="s">
        <v>6163</v>
      </c>
    </row>
    <row r="498" spans="1:14">
      <c r="A498" t="s">
        <v>5804</v>
      </c>
      <c r="B498" t="s">
        <v>5948</v>
      </c>
      <c r="C498">
        <v>78</v>
      </c>
      <c r="D498">
        <v>167</v>
      </c>
      <c r="E498">
        <v>131</v>
      </c>
      <c r="F498" s="22">
        <f>其他战斗玩法!K80</f>
        <v>1.3</v>
      </c>
      <c r="G498" s="22">
        <f>其他战斗玩法!L80</f>
        <v>1.3</v>
      </c>
      <c r="H498" s="22">
        <v>0.363062762483342</v>
      </c>
      <c r="I498" s="22">
        <f>其他战斗玩法!X80</f>
        <v>0.485996906265706</v>
      </c>
      <c r="J498" s="22">
        <f t="shared" si="14"/>
        <v>1.33860300886133</v>
      </c>
      <c r="K498" s="22">
        <v>50.142848832274</v>
      </c>
      <c r="L498" s="22">
        <f>其他战斗玩法!Y80</f>
        <v>40.724770423771</v>
      </c>
      <c r="M498" s="22">
        <f t="shared" si="15"/>
        <v>0.812175043344543</v>
      </c>
      <c r="N498" t="s">
        <v>6163</v>
      </c>
    </row>
    <row r="499" spans="1:14">
      <c r="A499" t="s">
        <v>5804</v>
      </c>
      <c r="B499" t="s">
        <v>5951</v>
      </c>
      <c r="C499">
        <v>79</v>
      </c>
      <c r="D499">
        <v>169</v>
      </c>
      <c r="E499">
        <v>132</v>
      </c>
      <c r="F499" s="22">
        <f>其他战斗玩法!K81</f>
        <v>1.3</v>
      </c>
      <c r="G499" s="22">
        <f>其他战斗玩法!L81</f>
        <v>1.3</v>
      </c>
      <c r="H499" s="22">
        <v>0.364897941483171</v>
      </c>
      <c r="I499" s="22">
        <f>其他战斗玩法!X81</f>
        <v>0.482470320042237</v>
      </c>
      <c r="J499" s="22">
        <f t="shared" si="14"/>
        <v>1.32220619848163</v>
      </c>
      <c r="K499" s="22">
        <v>50.2071972453721</v>
      </c>
      <c r="L499" s="22">
        <f>其他战斗玩法!Y81</f>
        <v>41.1993762108497</v>
      </c>
      <c r="M499" s="22">
        <f t="shared" si="15"/>
        <v>0.820587056662426</v>
      </c>
      <c r="N499" t="s">
        <v>6163</v>
      </c>
    </row>
    <row r="500" spans="1:14">
      <c r="A500" t="s">
        <v>5804</v>
      </c>
      <c r="B500" t="s">
        <v>5954</v>
      </c>
      <c r="C500">
        <v>81</v>
      </c>
      <c r="D500">
        <v>172</v>
      </c>
      <c r="E500">
        <v>135</v>
      </c>
      <c r="F500" s="22">
        <f>其他战斗玩法!K82</f>
        <v>1.3</v>
      </c>
      <c r="G500" s="22">
        <f>其他战斗玩法!L82</f>
        <v>1.3</v>
      </c>
      <c r="H500" s="22">
        <v>0.363279952219467</v>
      </c>
      <c r="I500" s="22">
        <f>其他战斗玩法!X82</f>
        <v>0.48458432368109</v>
      </c>
      <c r="J500" s="22">
        <f t="shared" si="14"/>
        <v>1.33391430141</v>
      </c>
      <c r="K500" s="22">
        <v>50.8259744074841</v>
      </c>
      <c r="L500" s="22">
        <f>其他战斗玩法!Y82</f>
        <v>41.6685066007258</v>
      </c>
      <c r="M500" s="22">
        <f t="shared" si="15"/>
        <v>0.819827009447164</v>
      </c>
      <c r="N500" t="s">
        <v>6163</v>
      </c>
    </row>
    <row r="501" spans="1:14">
      <c r="A501" t="s">
        <v>5804</v>
      </c>
      <c r="B501" t="s">
        <v>5806</v>
      </c>
      <c r="C501">
        <v>42</v>
      </c>
      <c r="D501">
        <v>96</v>
      </c>
      <c r="E501">
        <v>77</v>
      </c>
      <c r="F501" s="22">
        <f>其他战斗玩法!K89</f>
        <v>1.11351927098001</v>
      </c>
      <c r="G501" s="22">
        <f>其他战斗玩法!L89</f>
        <v>0.759882016946184</v>
      </c>
      <c r="H501" s="22">
        <v>36.1515757283703</v>
      </c>
      <c r="I501" s="22">
        <f>其他战斗玩法!X89</f>
        <v>36.1515757283703</v>
      </c>
      <c r="J501" s="22">
        <f t="shared" si="14"/>
        <v>1</v>
      </c>
      <c r="K501" s="22">
        <v>40.161999857251</v>
      </c>
      <c r="L501" s="22">
        <f>其他战斗玩法!Y89</f>
        <v>40.1619998572511</v>
      </c>
      <c r="M501" s="22">
        <f t="shared" si="15"/>
        <v>1</v>
      </c>
      <c r="N501" t="s">
        <v>6163</v>
      </c>
    </row>
    <row r="502" spans="1:14">
      <c r="A502" t="s">
        <v>5804</v>
      </c>
      <c r="B502" t="s">
        <v>5809</v>
      </c>
      <c r="C502">
        <v>42</v>
      </c>
      <c r="D502">
        <v>96</v>
      </c>
      <c r="E502">
        <v>77</v>
      </c>
      <c r="F502" s="22">
        <f>其他战斗玩法!K90</f>
        <v>1.11351927098001</v>
      </c>
      <c r="G502" s="22">
        <f>其他战斗玩法!L90</f>
        <v>0.759882016946184</v>
      </c>
      <c r="H502" s="22">
        <v>36.1515757283703</v>
      </c>
      <c r="I502" s="22">
        <f>其他战斗玩法!X90</f>
        <v>36.1515757283703</v>
      </c>
      <c r="J502" s="22">
        <f t="shared" si="14"/>
        <v>1</v>
      </c>
      <c r="K502" s="22">
        <v>40.161999857251</v>
      </c>
      <c r="L502" s="22">
        <f>其他战斗玩法!Y90</f>
        <v>40.1619998572511</v>
      </c>
      <c r="M502" s="22">
        <f t="shared" si="15"/>
        <v>1</v>
      </c>
      <c r="N502" t="s">
        <v>6163</v>
      </c>
    </row>
    <row r="503" spans="1:14">
      <c r="A503" t="s">
        <v>5804</v>
      </c>
      <c r="B503" t="s">
        <v>5967</v>
      </c>
      <c r="C503">
        <v>42</v>
      </c>
      <c r="D503">
        <v>96</v>
      </c>
      <c r="E503">
        <v>77</v>
      </c>
      <c r="F503" s="22">
        <f>其他战斗玩法!K91</f>
        <v>1.11351927098001</v>
      </c>
      <c r="G503" s="22">
        <f>其他战斗玩法!L91</f>
        <v>0.759882016946184</v>
      </c>
      <c r="H503" s="22">
        <v>36.1515757283703</v>
      </c>
      <c r="I503" s="22">
        <f>其他战斗玩法!X91</f>
        <v>36.1515757283703</v>
      </c>
      <c r="J503" s="22">
        <f t="shared" si="14"/>
        <v>1</v>
      </c>
      <c r="K503" s="22">
        <v>40.161999857251</v>
      </c>
      <c r="L503" s="22">
        <f>其他战斗玩法!Y91</f>
        <v>40.1619998572511</v>
      </c>
      <c r="M503" s="22">
        <f t="shared" si="15"/>
        <v>1</v>
      </c>
      <c r="N503" t="s">
        <v>6163</v>
      </c>
    </row>
    <row r="504" spans="1:14">
      <c r="A504" t="s">
        <v>5804</v>
      </c>
      <c r="B504" t="s">
        <v>5811</v>
      </c>
      <c r="C504">
        <v>58</v>
      </c>
      <c r="D504">
        <v>130</v>
      </c>
      <c r="E504">
        <v>107</v>
      </c>
      <c r="F504" s="22">
        <f>其他战斗玩法!K92</f>
        <v>1.07208598079181</v>
      </c>
      <c r="G504" s="22">
        <f>其他战斗玩法!L92</f>
        <v>0.801673297083486</v>
      </c>
      <c r="H504" s="22">
        <v>36.3998358068056</v>
      </c>
      <c r="I504" s="22">
        <f>其他战斗玩法!X92</f>
        <v>36.3998358068056</v>
      </c>
      <c r="J504" s="22">
        <f t="shared" si="14"/>
        <v>0.999999999999999</v>
      </c>
      <c r="K504" s="22">
        <v>44.1491600548834</v>
      </c>
      <c r="L504" s="22">
        <f>其他战斗玩法!Y92</f>
        <v>44.1491600548834</v>
      </c>
      <c r="M504" s="22">
        <f t="shared" si="15"/>
        <v>1</v>
      </c>
      <c r="N504" t="s">
        <v>6163</v>
      </c>
    </row>
    <row r="505" spans="1:14">
      <c r="A505" t="s">
        <v>5804</v>
      </c>
      <c r="B505" t="s">
        <v>5814</v>
      </c>
      <c r="C505">
        <v>58</v>
      </c>
      <c r="D505">
        <v>130</v>
      </c>
      <c r="E505">
        <v>107</v>
      </c>
      <c r="F505" s="22">
        <f>其他战斗玩法!K93</f>
        <v>1.07208598079181</v>
      </c>
      <c r="G505" s="22">
        <f>其他战斗玩法!L93</f>
        <v>0.801673297083486</v>
      </c>
      <c r="H505" s="22">
        <v>36.3998358068056</v>
      </c>
      <c r="I505" s="22">
        <f>其他战斗玩法!X93</f>
        <v>36.3998358068056</v>
      </c>
      <c r="J505" s="22">
        <f t="shared" si="14"/>
        <v>0.999999999999999</v>
      </c>
      <c r="K505" s="22">
        <v>44.1491600548834</v>
      </c>
      <c r="L505" s="22">
        <f>其他战斗玩法!Y93</f>
        <v>44.1491600548834</v>
      </c>
      <c r="M505" s="22">
        <f t="shared" si="15"/>
        <v>1</v>
      </c>
      <c r="N505" t="s">
        <v>6163</v>
      </c>
    </row>
    <row r="506" spans="1:14">
      <c r="A506" t="s">
        <v>5804</v>
      </c>
      <c r="B506" t="s">
        <v>5972</v>
      </c>
      <c r="C506">
        <v>58</v>
      </c>
      <c r="D506">
        <v>130</v>
      </c>
      <c r="E506">
        <v>107</v>
      </c>
      <c r="F506" s="22">
        <f>其他战斗玩法!K94</f>
        <v>1.07208598079181</v>
      </c>
      <c r="G506" s="22">
        <f>其他战斗玩法!L94</f>
        <v>0.801673297083486</v>
      </c>
      <c r="H506" s="22">
        <v>36.3998358068056</v>
      </c>
      <c r="I506" s="22">
        <f>其他战斗玩法!X94</f>
        <v>36.3998358068056</v>
      </c>
      <c r="J506" s="22">
        <f t="shared" si="14"/>
        <v>0.999999999999999</v>
      </c>
      <c r="K506" s="22">
        <v>44.1491600548834</v>
      </c>
      <c r="L506" s="22">
        <f>其他战斗玩法!Y94</f>
        <v>44.1491600548834</v>
      </c>
      <c r="M506" s="22">
        <f t="shared" si="15"/>
        <v>1</v>
      </c>
      <c r="N506" t="s">
        <v>6163</v>
      </c>
    </row>
    <row r="507" spans="1:14">
      <c r="A507" t="s">
        <v>5804</v>
      </c>
      <c r="B507" t="s">
        <v>5816</v>
      </c>
      <c r="C507">
        <v>76</v>
      </c>
      <c r="D507">
        <v>163</v>
      </c>
      <c r="E507">
        <v>134</v>
      </c>
      <c r="F507" s="22">
        <f>其他战斗玩法!K95</f>
        <v>1.05973600861176</v>
      </c>
      <c r="G507" s="22">
        <f>其他战斗玩法!L95</f>
        <v>0.844317407687947</v>
      </c>
      <c r="H507" s="22">
        <v>36.5002708617565</v>
      </c>
      <c r="I507" s="22">
        <f>其他战斗玩法!X95</f>
        <v>36.5002708617567</v>
      </c>
      <c r="J507" s="22">
        <f t="shared" si="14"/>
        <v>1.00000000000001</v>
      </c>
      <c r="K507" s="22">
        <v>49.9363667986694</v>
      </c>
      <c r="L507" s="22">
        <f>其他战斗玩法!Y95</f>
        <v>49.9363667986694</v>
      </c>
      <c r="M507" s="22">
        <f t="shared" si="15"/>
        <v>1</v>
      </c>
      <c r="N507" t="s">
        <v>6163</v>
      </c>
    </row>
    <row r="508" spans="1:14">
      <c r="A508" t="s">
        <v>5804</v>
      </c>
      <c r="B508" t="s">
        <v>5819</v>
      </c>
      <c r="C508">
        <v>76</v>
      </c>
      <c r="D508">
        <v>163</v>
      </c>
      <c r="E508">
        <v>134</v>
      </c>
      <c r="F508" s="22">
        <f>其他战斗玩法!K96</f>
        <v>1.05973600861176</v>
      </c>
      <c r="G508" s="22">
        <f>其他战斗玩法!L96</f>
        <v>0.844317407687947</v>
      </c>
      <c r="H508" s="22">
        <v>36.5002708617565</v>
      </c>
      <c r="I508" s="22">
        <f>其他战斗玩法!X96</f>
        <v>36.5002708617567</v>
      </c>
      <c r="J508" s="22">
        <f t="shared" si="14"/>
        <v>1.00000000000001</v>
      </c>
      <c r="K508" s="22">
        <v>49.9363667986694</v>
      </c>
      <c r="L508" s="22">
        <f>其他战斗玩法!Y96</f>
        <v>49.9363667986694</v>
      </c>
      <c r="M508" s="22">
        <f t="shared" si="15"/>
        <v>1</v>
      </c>
      <c r="N508" t="s">
        <v>6163</v>
      </c>
    </row>
    <row r="509" spans="1:14">
      <c r="A509" t="s">
        <v>5804</v>
      </c>
      <c r="B509" t="s">
        <v>5977</v>
      </c>
      <c r="C509">
        <v>76</v>
      </c>
      <c r="D509">
        <v>163</v>
      </c>
      <c r="E509">
        <v>134</v>
      </c>
      <c r="F509" s="22">
        <f>其他战斗玩法!K97</f>
        <v>1.05973600861176</v>
      </c>
      <c r="G509" s="22">
        <f>其他战斗玩法!L97</f>
        <v>0.844317407687947</v>
      </c>
      <c r="H509" s="22">
        <v>36.5002708617565</v>
      </c>
      <c r="I509" s="22">
        <f>其他战斗玩法!X97</f>
        <v>36.5002708617567</v>
      </c>
      <c r="J509" s="22">
        <f t="shared" si="14"/>
        <v>1.00000000000001</v>
      </c>
      <c r="K509" s="22">
        <v>49.9363667986694</v>
      </c>
      <c r="L509" s="22">
        <f>其他战斗玩法!Y97</f>
        <v>49.9363667986694</v>
      </c>
      <c r="M509" s="22">
        <f t="shared" si="15"/>
        <v>1</v>
      </c>
      <c r="N509" t="s">
        <v>6163</v>
      </c>
    </row>
    <row r="510" spans="1:14">
      <c r="A510" t="s">
        <v>5804</v>
      </c>
      <c r="B510" t="s">
        <v>5821</v>
      </c>
      <c r="C510">
        <v>93</v>
      </c>
      <c r="D510">
        <v>188</v>
      </c>
      <c r="E510">
        <v>155</v>
      </c>
      <c r="F510" s="22">
        <f>其他战斗玩法!K98</f>
        <v>1.04748605758338</v>
      </c>
      <c r="G510" s="22">
        <f>其他战斗玩法!L98</f>
        <v>0.875256763021937</v>
      </c>
      <c r="H510" s="22">
        <v>37.3454925150758</v>
      </c>
      <c r="I510" s="22">
        <f>其他战斗玩法!X98</f>
        <v>37.3454925150758</v>
      </c>
      <c r="J510" s="22">
        <f t="shared" si="14"/>
        <v>0.999999999999999</v>
      </c>
      <c r="K510" s="22">
        <v>53.7281339307239</v>
      </c>
      <c r="L510" s="22">
        <f>其他战斗玩法!Y98</f>
        <v>53.7281339307239</v>
      </c>
      <c r="M510" s="22">
        <f t="shared" si="15"/>
        <v>1</v>
      </c>
      <c r="N510" t="s">
        <v>6163</v>
      </c>
    </row>
    <row r="511" spans="1:14">
      <c r="A511" t="s">
        <v>5804</v>
      </c>
      <c r="B511" t="s">
        <v>5824</v>
      </c>
      <c r="C511">
        <v>93</v>
      </c>
      <c r="D511">
        <v>188</v>
      </c>
      <c r="E511">
        <v>155</v>
      </c>
      <c r="F511" s="22">
        <f>其他战斗玩法!K99</f>
        <v>1.04748605758338</v>
      </c>
      <c r="G511" s="22">
        <f>其他战斗玩法!L99</f>
        <v>0.875256763021937</v>
      </c>
      <c r="H511" s="22">
        <v>37.3454925150758</v>
      </c>
      <c r="I511" s="22">
        <f>其他战斗玩法!X99</f>
        <v>37.3454925150758</v>
      </c>
      <c r="J511" s="22">
        <f t="shared" si="14"/>
        <v>0.999999999999999</v>
      </c>
      <c r="K511" s="22">
        <v>53.7281339307239</v>
      </c>
      <c r="L511" s="22">
        <f>其他战斗玩法!Y99</f>
        <v>53.7281339307239</v>
      </c>
      <c r="M511" s="22">
        <f t="shared" si="15"/>
        <v>1</v>
      </c>
      <c r="N511" t="s">
        <v>6163</v>
      </c>
    </row>
    <row r="512" spans="1:14">
      <c r="A512" t="s">
        <v>5804</v>
      </c>
      <c r="B512" t="s">
        <v>5982</v>
      </c>
      <c r="C512">
        <v>93</v>
      </c>
      <c r="D512">
        <v>188</v>
      </c>
      <c r="E512">
        <v>155</v>
      </c>
      <c r="F512" s="22">
        <f>其他战斗玩法!K100</f>
        <v>1.04748605758338</v>
      </c>
      <c r="G512" s="22">
        <f>其他战斗玩法!L100</f>
        <v>0.875256763021937</v>
      </c>
      <c r="H512" s="22">
        <v>37.3454925150758</v>
      </c>
      <c r="I512" s="22">
        <f>其他战斗玩法!X100</f>
        <v>37.3454925150758</v>
      </c>
      <c r="J512" s="22">
        <f t="shared" si="14"/>
        <v>0.999999999999999</v>
      </c>
      <c r="K512" s="22">
        <v>53.7281339307239</v>
      </c>
      <c r="L512" s="22">
        <f>其他战斗玩法!Y100</f>
        <v>53.7281339307239</v>
      </c>
      <c r="M512" s="22">
        <f t="shared" si="15"/>
        <v>1</v>
      </c>
      <c r="N512" t="s">
        <v>6163</v>
      </c>
    </row>
    <row r="513" spans="1:14">
      <c r="A513" t="s">
        <v>5804</v>
      </c>
      <c r="B513" t="s">
        <v>5826</v>
      </c>
      <c r="C513">
        <v>111</v>
      </c>
      <c r="D513">
        <v>214</v>
      </c>
      <c r="E513">
        <v>179</v>
      </c>
      <c r="F513" s="22">
        <f>其他战斗玩法!K101</f>
        <v>1.02996991022019</v>
      </c>
      <c r="G513" s="22">
        <f>其他战斗玩法!L101</f>
        <v>0.914922386614851</v>
      </c>
      <c r="H513" s="22">
        <v>37.8109349293775</v>
      </c>
      <c r="I513" s="22">
        <f>其他战斗玩法!X101</f>
        <v>37.8109349293775</v>
      </c>
      <c r="J513" s="22">
        <f t="shared" si="14"/>
        <v>1</v>
      </c>
      <c r="K513" s="22">
        <v>56.1878735050552</v>
      </c>
      <c r="L513" s="22">
        <f>其他战斗玩法!Y101</f>
        <v>56.1878735050552</v>
      </c>
      <c r="M513" s="22">
        <f t="shared" si="15"/>
        <v>1</v>
      </c>
      <c r="N513" t="s">
        <v>6163</v>
      </c>
    </row>
    <row r="514" spans="1:14">
      <c r="A514" t="s">
        <v>5804</v>
      </c>
      <c r="B514" t="s">
        <v>5829</v>
      </c>
      <c r="C514">
        <v>111</v>
      </c>
      <c r="D514">
        <v>214</v>
      </c>
      <c r="E514">
        <v>179</v>
      </c>
      <c r="F514" s="22">
        <f>其他战斗玩法!K102</f>
        <v>1.02996991022019</v>
      </c>
      <c r="G514" s="22">
        <f>其他战斗玩法!L102</f>
        <v>0.914922386614851</v>
      </c>
      <c r="H514" s="22">
        <v>37.8109349293775</v>
      </c>
      <c r="I514" s="22">
        <f>其他战斗玩法!X102</f>
        <v>37.8109349293775</v>
      </c>
      <c r="J514" s="22">
        <f t="shared" ref="J514:J577" si="16">I514/H514</f>
        <v>1</v>
      </c>
      <c r="K514" s="22">
        <v>56.1878735050552</v>
      </c>
      <c r="L514" s="22">
        <f>其他战斗玩法!Y102</f>
        <v>56.1878735050552</v>
      </c>
      <c r="M514" s="22">
        <f t="shared" ref="M514:M577" si="17">L514/K514</f>
        <v>1</v>
      </c>
      <c r="N514" t="s">
        <v>6163</v>
      </c>
    </row>
    <row r="515" spans="1:14">
      <c r="A515" t="s">
        <v>5804</v>
      </c>
      <c r="B515" t="s">
        <v>5987</v>
      </c>
      <c r="C515">
        <v>111</v>
      </c>
      <c r="D515">
        <v>214</v>
      </c>
      <c r="E515">
        <v>179</v>
      </c>
      <c r="F515" s="22">
        <f>其他战斗玩法!K103</f>
        <v>1.02996991022019</v>
      </c>
      <c r="G515" s="22">
        <f>其他战斗玩法!L103</f>
        <v>0.914922386614851</v>
      </c>
      <c r="H515" s="22">
        <v>37.8109349293775</v>
      </c>
      <c r="I515" s="22">
        <f>其他战斗玩法!X103</f>
        <v>37.8109349293775</v>
      </c>
      <c r="J515" s="22">
        <f t="shared" si="16"/>
        <v>1</v>
      </c>
      <c r="K515" s="22">
        <v>56.1878735050552</v>
      </c>
      <c r="L515" s="22">
        <f>其他战斗玩法!Y103</f>
        <v>56.1878735050552</v>
      </c>
      <c r="M515" s="22">
        <f t="shared" si="17"/>
        <v>1</v>
      </c>
      <c r="N515" t="s">
        <v>6163</v>
      </c>
    </row>
    <row r="516" spans="1:14">
      <c r="A516" t="s">
        <v>5804</v>
      </c>
      <c r="B516" t="s">
        <v>5831</v>
      </c>
      <c r="C516">
        <v>136</v>
      </c>
      <c r="D516">
        <v>244</v>
      </c>
      <c r="E516">
        <v>211</v>
      </c>
      <c r="F516" s="22">
        <f>其他战斗玩法!K104</f>
        <v>1.00582304377939</v>
      </c>
      <c r="G516" s="22">
        <f>其他战斗玩法!L104</f>
        <v>0.96648770744415</v>
      </c>
      <c r="H516" s="22">
        <v>38.9177754768656</v>
      </c>
      <c r="I516" s="22">
        <f>其他战斗玩法!X104</f>
        <v>38.9177754768658</v>
      </c>
      <c r="J516" s="22">
        <f t="shared" si="16"/>
        <v>1.00000000000001</v>
      </c>
      <c r="K516" s="22">
        <v>57.2559533786203</v>
      </c>
      <c r="L516" s="22">
        <f>其他战斗玩法!Y104</f>
        <v>57.2559533786202</v>
      </c>
      <c r="M516" s="22">
        <f t="shared" si="17"/>
        <v>0.999999999999999</v>
      </c>
      <c r="N516" t="s">
        <v>6163</v>
      </c>
    </row>
    <row r="517" spans="1:14">
      <c r="A517" t="s">
        <v>5804</v>
      </c>
      <c r="B517" t="s">
        <v>5834</v>
      </c>
      <c r="C517">
        <v>136</v>
      </c>
      <c r="D517">
        <v>244</v>
      </c>
      <c r="E517">
        <v>211</v>
      </c>
      <c r="F517" s="22">
        <f>其他战斗玩法!K105</f>
        <v>1.00582304377939</v>
      </c>
      <c r="G517" s="22">
        <f>其他战斗玩法!L105</f>
        <v>0.96648770744415</v>
      </c>
      <c r="H517" s="22">
        <v>38.9177754768656</v>
      </c>
      <c r="I517" s="22">
        <f>其他战斗玩法!X105</f>
        <v>38.9177754768658</v>
      </c>
      <c r="J517" s="22">
        <f t="shared" si="16"/>
        <v>1.00000000000001</v>
      </c>
      <c r="K517" s="22">
        <v>57.2559533786203</v>
      </c>
      <c r="L517" s="22">
        <f>其他战斗玩法!Y105</f>
        <v>57.2559533786202</v>
      </c>
      <c r="M517" s="22">
        <f t="shared" si="17"/>
        <v>0.999999999999999</v>
      </c>
      <c r="N517" t="s">
        <v>6163</v>
      </c>
    </row>
    <row r="518" spans="1:14">
      <c r="A518" t="s">
        <v>5804</v>
      </c>
      <c r="B518" t="s">
        <v>5992</v>
      </c>
      <c r="C518">
        <v>136</v>
      </c>
      <c r="D518">
        <v>244</v>
      </c>
      <c r="E518">
        <v>211</v>
      </c>
      <c r="F518" s="22">
        <f>其他战斗玩法!K106</f>
        <v>1.00582304377939</v>
      </c>
      <c r="G518" s="22">
        <f>其他战斗玩法!L106</f>
        <v>0.96648770744415</v>
      </c>
      <c r="H518" s="22">
        <v>38.9177754768656</v>
      </c>
      <c r="I518" s="22">
        <f>其他战斗玩法!X106</f>
        <v>38.9177754768658</v>
      </c>
      <c r="J518" s="22">
        <f t="shared" si="16"/>
        <v>1.00000000000001</v>
      </c>
      <c r="K518" s="22">
        <v>57.2559533786203</v>
      </c>
      <c r="L518" s="22">
        <f>其他战斗玩法!Y106</f>
        <v>57.2559533786202</v>
      </c>
      <c r="M518" s="22">
        <f t="shared" si="17"/>
        <v>0.999999999999999</v>
      </c>
      <c r="N518" t="s">
        <v>6163</v>
      </c>
    </row>
    <row r="519" spans="1:14">
      <c r="A519" t="s">
        <v>5804</v>
      </c>
      <c r="B519" t="s">
        <v>5836</v>
      </c>
      <c r="C519">
        <v>164</v>
      </c>
      <c r="D519">
        <v>266</v>
      </c>
      <c r="E519">
        <v>238</v>
      </c>
      <c r="F519" s="22">
        <f>其他战斗玩法!K107</f>
        <v>1.00120134320404</v>
      </c>
      <c r="G519" s="22">
        <f>其他战斗玩法!L107</f>
        <v>1.01662924400369</v>
      </c>
      <c r="H519" s="22">
        <v>40.7971797866134</v>
      </c>
      <c r="I519" s="22">
        <f>其他战斗玩法!X107</f>
        <v>40.7971797866135</v>
      </c>
      <c r="J519" s="22">
        <f t="shared" si="16"/>
        <v>1</v>
      </c>
      <c r="K519" s="22">
        <v>56.8249148432927</v>
      </c>
      <c r="L519" s="22">
        <f>其他战斗玩法!Y107</f>
        <v>56.8249148432928</v>
      </c>
      <c r="M519" s="22">
        <f t="shared" si="17"/>
        <v>1</v>
      </c>
      <c r="N519" t="s">
        <v>6163</v>
      </c>
    </row>
    <row r="520" spans="1:14">
      <c r="A520" t="s">
        <v>5804</v>
      </c>
      <c r="B520" t="s">
        <v>5839</v>
      </c>
      <c r="C520">
        <v>164</v>
      </c>
      <c r="D520">
        <v>266</v>
      </c>
      <c r="E520">
        <v>238</v>
      </c>
      <c r="F520" s="22">
        <f>其他战斗玩法!K108</f>
        <v>1.00120134320404</v>
      </c>
      <c r="G520" s="22">
        <f>其他战斗玩法!L108</f>
        <v>1.01662924400369</v>
      </c>
      <c r="H520" s="22">
        <v>40.7971797866134</v>
      </c>
      <c r="I520" s="22">
        <f>其他战斗玩法!X108</f>
        <v>40.7971797866135</v>
      </c>
      <c r="J520" s="22">
        <f t="shared" si="16"/>
        <v>1</v>
      </c>
      <c r="K520" s="22">
        <v>56.8249148432927</v>
      </c>
      <c r="L520" s="22">
        <f>其他战斗玩法!Y108</f>
        <v>56.8249148432928</v>
      </c>
      <c r="M520" s="22">
        <f t="shared" si="17"/>
        <v>1</v>
      </c>
      <c r="N520" t="s">
        <v>6163</v>
      </c>
    </row>
    <row r="521" spans="1:14">
      <c r="A521" t="s">
        <v>5804</v>
      </c>
      <c r="B521" t="s">
        <v>5997</v>
      </c>
      <c r="C521">
        <v>164</v>
      </c>
      <c r="D521">
        <v>266</v>
      </c>
      <c r="E521">
        <v>238</v>
      </c>
      <c r="F521" s="22">
        <f>其他战斗玩法!K109</f>
        <v>1.00120134320404</v>
      </c>
      <c r="G521" s="22">
        <f>其他战斗玩法!L109</f>
        <v>1.01662924400369</v>
      </c>
      <c r="H521" s="22">
        <v>40.7971797866134</v>
      </c>
      <c r="I521" s="22">
        <f>其他战斗玩法!X109</f>
        <v>40.7971797866135</v>
      </c>
      <c r="J521" s="22">
        <f t="shared" si="16"/>
        <v>1</v>
      </c>
      <c r="K521" s="22">
        <v>56.8249148432927</v>
      </c>
      <c r="L521" s="22">
        <f>其他战斗玩法!Y109</f>
        <v>56.8249148432928</v>
      </c>
      <c r="M521" s="22">
        <f t="shared" si="17"/>
        <v>1</v>
      </c>
      <c r="N521" t="s">
        <v>6163</v>
      </c>
    </row>
    <row r="522" spans="1:14">
      <c r="A522" t="s">
        <v>5804</v>
      </c>
      <c r="B522" t="s">
        <v>5841</v>
      </c>
      <c r="C522">
        <v>202</v>
      </c>
      <c r="D522">
        <v>285</v>
      </c>
      <c r="E522">
        <v>268</v>
      </c>
      <c r="F522" s="22">
        <f>其他战斗玩法!K110</f>
        <v>0.983050773692478</v>
      </c>
      <c r="G522" s="22">
        <f>其他战斗玩法!L110</f>
        <v>1.06053240089147</v>
      </c>
      <c r="H522" s="22">
        <v>43.9448192974819</v>
      </c>
      <c r="I522" s="22">
        <f>其他战斗玩法!X110</f>
        <v>43.9448192974818</v>
      </c>
      <c r="J522" s="22">
        <f t="shared" si="16"/>
        <v>0.999999999999997</v>
      </c>
      <c r="K522" s="22">
        <v>55.106174818668</v>
      </c>
      <c r="L522" s="22">
        <f>其他战斗玩法!Y110</f>
        <v>55.1061748186683</v>
      </c>
      <c r="M522" s="22">
        <f t="shared" si="17"/>
        <v>1</v>
      </c>
      <c r="N522" t="s">
        <v>6163</v>
      </c>
    </row>
    <row r="523" spans="1:14">
      <c r="A523" t="s">
        <v>5804</v>
      </c>
      <c r="B523" t="s">
        <v>5844</v>
      </c>
      <c r="C523">
        <v>202</v>
      </c>
      <c r="D523">
        <v>285</v>
      </c>
      <c r="E523">
        <v>268</v>
      </c>
      <c r="F523" s="22">
        <f>其他战斗玩法!K111</f>
        <v>0.983050773692478</v>
      </c>
      <c r="G523" s="22">
        <f>其他战斗玩法!L111</f>
        <v>1.06053240089147</v>
      </c>
      <c r="H523" s="22">
        <v>43.9448192974819</v>
      </c>
      <c r="I523" s="22">
        <f>其他战斗玩法!X111</f>
        <v>43.9448192974818</v>
      </c>
      <c r="J523" s="22">
        <f t="shared" si="16"/>
        <v>0.999999999999997</v>
      </c>
      <c r="K523" s="22">
        <v>55.106174818668</v>
      </c>
      <c r="L523" s="22">
        <f>其他战斗玩法!Y111</f>
        <v>55.1061748186683</v>
      </c>
      <c r="M523" s="22">
        <f t="shared" si="17"/>
        <v>1</v>
      </c>
      <c r="N523" t="s">
        <v>6163</v>
      </c>
    </row>
    <row r="524" spans="1:14">
      <c r="A524" t="s">
        <v>5804</v>
      </c>
      <c r="B524" t="s">
        <v>6002</v>
      </c>
      <c r="C524">
        <v>202</v>
      </c>
      <c r="D524">
        <v>285</v>
      </c>
      <c r="E524">
        <v>268</v>
      </c>
      <c r="F524" s="22">
        <f>其他战斗玩法!K112</f>
        <v>0.983050773692478</v>
      </c>
      <c r="G524" s="22">
        <f>其他战斗玩法!L112</f>
        <v>1.06053240089147</v>
      </c>
      <c r="H524" s="22">
        <v>43.9448192974819</v>
      </c>
      <c r="I524" s="22">
        <f>其他战斗玩法!X112</f>
        <v>43.9448192974818</v>
      </c>
      <c r="J524" s="22">
        <f t="shared" si="16"/>
        <v>0.999999999999997</v>
      </c>
      <c r="K524" s="22">
        <v>55.106174818668</v>
      </c>
      <c r="L524" s="22">
        <f>其他战斗玩法!Y112</f>
        <v>55.1061748186683</v>
      </c>
      <c r="M524" s="22">
        <f t="shared" si="17"/>
        <v>1</v>
      </c>
      <c r="N524" t="s">
        <v>6163</v>
      </c>
    </row>
    <row r="525" spans="1:14">
      <c r="A525" t="s">
        <v>5804</v>
      </c>
      <c r="B525" t="s">
        <v>5846</v>
      </c>
      <c r="C525">
        <v>247</v>
      </c>
      <c r="D525">
        <v>302</v>
      </c>
      <c r="E525">
        <v>300</v>
      </c>
      <c r="F525" s="22">
        <f>其他战斗玩法!K113</f>
        <v>0.96623695725778</v>
      </c>
      <c r="G525" s="22">
        <f>其他战斗玩法!L113</f>
        <v>1.10386827731758</v>
      </c>
      <c r="H525" s="22">
        <v>49.7664468024278</v>
      </c>
      <c r="I525" s="22">
        <f>其他战斗玩法!X113</f>
        <v>49.7664468024278</v>
      </c>
      <c r="J525" s="22">
        <f t="shared" si="16"/>
        <v>1</v>
      </c>
      <c r="K525" s="22">
        <v>51.4814131650759</v>
      </c>
      <c r="L525" s="22">
        <f>其他战斗玩法!Y113</f>
        <v>51.4814131650757</v>
      </c>
      <c r="M525" s="22">
        <f t="shared" si="17"/>
        <v>0.999999999999996</v>
      </c>
      <c r="N525" t="s">
        <v>6163</v>
      </c>
    </row>
    <row r="526" spans="1:14">
      <c r="A526" t="s">
        <v>5804</v>
      </c>
      <c r="B526" t="s">
        <v>5849</v>
      </c>
      <c r="C526">
        <v>247</v>
      </c>
      <c r="D526">
        <v>302</v>
      </c>
      <c r="E526">
        <v>300</v>
      </c>
      <c r="F526" s="22">
        <f>其他战斗玩法!K114</f>
        <v>0.96623695725778</v>
      </c>
      <c r="G526" s="22">
        <f>其他战斗玩法!L114</f>
        <v>1.10386827731758</v>
      </c>
      <c r="H526" s="22">
        <v>49.7664468024278</v>
      </c>
      <c r="I526" s="22">
        <f>其他战斗玩法!X114</f>
        <v>49.7664468024278</v>
      </c>
      <c r="J526" s="22">
        <f t="shared" si="16"/>
        <v>1</v>
      </c>
      <c r="K526" s="22">
        <v>51.4814131650759</v>
      </c>
      <c r="L526" s="22">
        <f>其他战斗玩法!Y114</f>
        <v>51.4814131650757</v>
      </c>
      <c r="M526" s="22">
        <f t="shared" si="17"/>
        <v>0.999999999999996</v>
      </c>
      <c r="N526" t="s">
        <v>6163</v>
      </c>
    </row>
    <row r="527" spans="1:14">
      <c r="A527" t="s">
        <v>5804</v>
      </c>
      <c r="B527" t="s">
        <v>6007</v>
      </c>
      <c r="C527">
        <v>247</v>
      </c>
      <c r="D527">
        <v>302</v>
      </c>
      <c r="E527">
        <v>300</v>
      </c>
      <c r="F527" s="22">
        <f>其他战斗玩法!K115</f>
        <v>0.96623695725778</v>
      </c>
      <c r="G527" s="22">
        <f>其他战斗玩法!L115</f>
        <v>1.10386827731758</v>
      </c>
      <c r="H527" s="22">
        <v>49.7664468024278</v>
      </c>
      <c r="I527" s="22">
        <f>其他战斗玩法!X115</f>
        <v>49.7664468024278</v>
      </c>
      <c r="J527" s="22">
        <f t="shared" si="16"/>
        <v>1</v>
      </c>
      <c r="K527" s="22">
        <v>51.4814131650759</v>
      </c>
      <c r="L527" s="22">
        <f>其他战斗玩法!Y115</f>
        <v>51.4814131650757</v>
      </c>
      <c r="M527" s="22">
        <f t="shared" si="17"/>
        <v>0.999999999999996</v>
      </c>
      <c r="N527" t="s">
        <v>6163</v>
      </c>
    </row>
    <row r="528" spans="1:14">
      <c r="A528" t="s">
        <v>5804</v>
      </c>
      <c r="B528" t="s">
        <v>5851</v>
      </c>
      <c r="C528">
        <v>278</v>
      </c>
      <c r="D528">
        <v>318</v>
      </c>
      <c r="E528">
        <v>327</v>
      </c>
      <c r="F528" s="22">
        <f>其他战斗玩法!K116</f>
        <v>0.957089165688218</v>
      </c>
      <c r="G528" s="22">
        <f>其他战斗玩法!L116</f>
        <v>1.13626378920316</v>
      </c>
      <c r="H528" s="22">
        <v>58.7862851553518</v>
      </c>
      <c r="I528" s="22">
        <f>其他战斗玩法!X116</f>
        <v>58.7862851553518</v>
      </c>
      <c r="J528" s="22">
        <f t="shared" si="16"/>
        <v>1</v>
      </c>
      <c r="K528" s="22">
        <v>46.6196272829311</v>
      </c>
      <c r="L528" s="22">
        <f>其他战斗玩法!Y116</f>
        <v>46.6196272829311</v>
      </c>
      <c r="M528" s="22">
        <f t="shared" si="17"/>
        <v>1</v>
      </c>
      <c r="N528" t="s">
        <v>6163</v>
      </c>
    </row>
    <row r="529" spans="1:14">
      <c r="A529" t="s">
        <v>5804</v>
      </c>
      <c r="B529" t="s">
        <v>6011</v>
      </c>
      <c r="C529">
        <v>278</v>
      </c>
      <c r="D529">
        <v>318</v>
      </c>
      <c r="E529">
        <v>327</v>
      </c>
      <c r="F529" s="22">
        <f>其他战斗玩法!K117</f>
        <v>0.957089165688218</v>
      </c>
      <c r="G529" s="22">
        <f>其他战斗玩法!L117</f>
        <v>1.13626378920316</v>
      </c>
      <c r="H529" s="22">
        <v>58.7862851553518</v>
      </c>
      <c r="I529" s="22">
        <f>其他战斗玩法!X117</f>
        <v>58.7862851553518</v>
      </c>
      <c r="J529" s="22">
        <f t="shared" si="16"/>
        <v>1</v>
      </c>
      <c r="K529" s="22">
        <v>46.6196272829311</v>
      </c>
      <c r="L529" s="22">
        <f>其他战斗玩法!Y117</f>
        <v>46.6196272829311</v>
      </c>
      <c r="M529" s="22">
        <f t="shared" si="17"/>
        <v>1</v>
      </c>
      <c r="N529" t="s">
        <v>6163</v>
      </c>
    </row>
    <row r="530" spans="1:14">
      <c r="A530" t="s">
        <v>5804</v>
      </c>
      <c r="B530" t="s">
        <v>6013</v>
      </c>
      <c r="C530">
        <v>278</v>
      </c>
      <c r="D530">
        <v>318</v>
      </c>
      <c r="E530">
        <v>327</v>
      </c>
      <c r="F530" s="22">
        <f>其他战斗玩法!K118</f>
        <v>0.957089165688218</v>
      </c>
      <c r="G530" s="22">
        <f>其他战斗玩法!L118</f>
        <v>1.13626378920316</v>
      </c>
      <c r="H530" s="22">
        <v>58.7862851553518</v>
      </c>
      <c r="I530" s="22">
        <f>其他战斗玩法!X118</f>
        <v>58.7862851553518</v>
      </c>
      <c r="J530" s="22">
        <f t="shared" si="16"/>
        <v>1</v>
      </c>
      <c r="K530" s="22">
        <v>46.6196272829311</v>
      </c>
      <c r="L530" s="22">
        <f>其他战斗玩法!Y118</f>
        <v>46.6196272829311</v>
      </c>
      <c r="M530" s="22">
        <f t="shared" si="17"/>
        <v>1</v>
      </c>
      <c r="N530" t="s">
        <v>6163</v>
      </c>
    </row>
    <row r="531" spans="1:14">
      <c r="A531" t="s">
        <v>5804</v>
      </c>
      <c r="B531" t="s">
        <v>6015</v>
      </c>
      <c r="C531">
        <v>278</v>
      </c>
      <c r="D531">
        <v>318</v>
      </c>
      <c r="E531">
        <v>327</v>
      </c>
      <c r="F531" s="22">
        <f>其他战斗玩法!K119</f>
        <v>0.957089165688218</v>
      </c>
      <c r="G531" s="22">
        <f>其他战斗玩法!L119</f>
        <v>1.13626378920316</v>
      </c>
      <c r="H531" s="22">
        <v>58.7862851553518</v>
      </c>
      <c r="I531" s="22">
        <f>其他战斗玩法!X119</f>
        <v>58.7862851553518</v>
      </c>
      <c r="J531" s="22">
        <f t="shared" si="16"/>
        <v>1</v>
      </c>
      <c r="K531" s="22">
        <v>46.6196272829311</v>
      </c>
      <c r="L531" s="22">
        <f>其他战斗玩法!Y119</f>
        <v>46.6196272829311</v>
      </c>
      <c r="M531" s="22">
        <f t="shared" si="17"/>
        <v>1</v>
      </c>
      <c r="N531" t="s">
        <v>6163</v>
      </c>
    </row>
    <row r="532" spans="1:14">
      <c r="A532" t="s">
        <v>5804</v>
      </c>
      <c r="B532" t="s">
        <v>6017</v>
      </c>
      <c r="C532">
        <v>278</v>
      </c>
      <c r="D532">
        <v>318</v>
      </c>
      <c r="E532">
        <v>327</v>
      </c>
      <c r="F532" s="22">
        <f>其他战斗玩法!K120</f>
        <v>0.957089165688218</v>
      </c>
      <c r="G532" s="22">
        <f>其他战斗玩法!L120</f>
        <v>1.13626378920316</v>
      </c>
      <c r="H532" s="22">
        <v>58.7862851553518</v>
      </c>
      <c r="I532" s="22">
        <f>其他战斗玩法!X120</f>
        <v>58.7862851553518</v>
      </c>
      <c r="J532" s="22">
        <f t="shared" si="16"/>
        <v>1</v>
      </c>
      <c r="K532" s="22">
        <v>46.6196272829311</v>
      </c>
      <c r="L532" s="22">
        <f>其他战斗玩法!Y120</f>
        <v>46.6196272829311</v>
      </c>
      <c r="M532" s="22">
        <f t="shared" si="17"/>
        <v>1</v>
      </c>
      <c r="N532" t="s">
        <v>6163</v>
      </c>
    </row>
    <row r="533" spans="1:14">
      <c r="A533" t="s">
        <v>5804</v>
      </c>
      <c r="B533" t="s">
        <v>6019</v>
      </c>
      <c r="C533">
        <v>278</v>
      </c>
      <c r="D533">
        <v>318</v>
      </c>
      <c r="E533">
        <v>327</v>
      </c>
      <c r="F533" s="22">
        <f>其他战斗玩法!K121</f>
        <v>0.957089165688218</v>
      </c>
      <c r="G533" s="22">
        <f>其他战斗玩法!L121</f>
        <v>1.13626378920316</v>
      </c>
      <c r="H533" s="22">
        <v>58.7862851553518</v>
      </c>
      <c r="I533" s="22">
        <f>其他战斗玩法!X121</f>
        <v>58.7862851553518</v>
      </c>
      <c r="J533" s="22">
        <f t="shared" si="16"/>
        <v>1</v>
      </c>
      <c r="K533" s="22">
        <v>46.6196272829311</v>
      </c>
      <c r="L533" s="22">
        <f>其他战斗玩法!Y121</f>
        <v>46.6196272829311</v>
      </c>
      <c r="M533" s="22">
        <f t="shared" si="17"/>
        <v>1</v>
      </c>
      <c r="N533" t="s">
        <v>6163</v>
      </c>
    </row>
    <row r="534" spans="1:14">
      <c r="A534" t="s">
        <v>5804</v>
      </c>
      <c r="B534" t="s">
        <v>6021</v>
      </c>
      <c r="C534">
        <v>278</v>
      </c>
      <c r="D534">
        <v>318</v>
      </c>
      <c r="E534">
        <v>327</v>
      </c>
      <c r="F534" s="22">
        <f>其他战斗玩法!K122</f>
        <v>0.957089165688218</v>
      </c>
      <c r="G534" s="22">
        <f>其他战斗玩法!L122</f>
        <v>1.13626378920316</v>
      </c>
      <c r="H534" s="22">
        <v>58.7862851553518</v>
      </c>
      <c r="I534" s="22">
        <f>其他战斗玩法!X122</f>
        <v>58.7862851553518</v>
      </c>
      <c r="J534" s="22">
        <f t="shared" si="16"/>
        <v>1</v>
      </c>
      <c r="K534" s="22">
        <v>46.6196272829311</v>
      </c>
      <c r="L534" s="22">
        <f>其他战斗玩法!Y122</f>
        <v>46.6196272829311</v>
      </c>
      <c r="M534" s="22">
        <f t="shared" si="17"/>
        <v>1</v>
      </c>
      <c r="N534" t="s">
        <v>6163</v>
      </c>
    </row>
    <row r="535" spans="1:14">
      <c r="A535" t="s">
        <v>5804</v>
      </c>
      <c r="B535" t="s">
        <v>6023</v>
      </c>
      <c r="C535">
        <v>278</v>
      </c>
      <c r="D535">
        <v>318</v>
      </c>
      <c r="E535">
        <v>327</v>
      </c>
      <c r="F535" s="22">
        <f>其他战斗玩法!K123</f>
        <v>0.957089165688218</v>
      </c>
      <c r="G535" s="22">
        <f>其他战斗玩法!L123</f>
        <v>1.13626378920316</v>
      </c>
      <c r="H535" s="22">
        <v>58.7862851553518</v>
      </c>
      <c r="I535" s="22">
        <f>其他战斗玩法!X123</f>
        <v>58.7862851553518</v>
      </c>
      <c r="J535" s="22">
        <f t="shared" si="16"/>
        <v>1</v>
      </c>
      <c r="K535" s="22">
        <v>46.6196272829311</v>
      </c>
      <c r="L535" s="22">
        <f>其他战斗玩法!Y123</f>
        <v>46.6196272829311</v>
      </c>
      <c r="M535" s="22">
        <f t="shared" si="17"/>
        <v>1</v>
      </c>
      <c r="N535" t="s">
        <v>6163</v>
      </c>
    </row>
    <row r="536" spans="1:14">
      <c r="A536" t="s">
        <v>5804</v>
      </c>
      <c r="B536" t="s">
        <v>6025</v>
      </c>
      <c r="C536">
        <v>278</v>
      </c>
      <c r="D536">
        <v>318</v>
      </c>
      <c r="E536">
        <v>327</v>
      </c>
      <c r="F536" s="22">
        <f>其他战斗玩法!K124</f>
        <v>0.957089165688218</v>
      </c>
      <c r="G536" s="22">
        <f>其他战斗玩法!L124</f>
        <v>1.13626378920316</v>
      </c>
      <c r="H536" s="22">
        <v>58.7862851553518</v>
      </c>
      <c r="I536" s="22">
        <f>其他战斗玩法!X124</f>
        <v>58.7862851553518</v>
      </c>
      <c r="J536" s="22">
        <f t="shared" si="16"/>
        <v>1</v>
      </c>
      <c r="K536" s="22">
        <v>46.6196272829311</v>
      </c>
      <c r="L536" s="22">
        <f>其他战斗玩法!Y124</f>
        <v>46.6196272829311</v>
      </c>
      <c r="M536" s="22">
        <f t="shared" si="17"/>
        <v>1</v>
      </c>
      <c r="N536" t="s">
        <v>6163</v>
      </c>
    </row>
    <row r="537" spans="1:14">
      <c r="A537" t="s">
        <v>5804</v>
      </c>
      <c r="B537" t="s">
        <v>6027</v>
      </c>
      <c r="C537">
        <v>278</v>
      </c>
      <c r="D537">
        <v>318</v>
      </c>
      <c r="E537">
        <v>327</v>
      </c>
      <c r="F537" s="22">
        <f>其他战斗玩法!K125</f>
        <v>0.957089165688218</v>
      </c>
      <c r="G537" s="22">
        <f>其他战斗玩法!L125</f>
        <v>1.13626378920316</v>
      </c>
      <c r="H537" s="22">
        <v>58.7862851553518</v>
      </c>
      <c r="I537" s="22">
        <f>其他战斗玩法!X125</f>
        <v>58.7862851553518</v>
      </c>
      <c r="J537" s="22">
        <f t="shared" si="16"/>
        <v>1</v>
      </c>
      <c r="K537" s="22">
        <v>46.6196272829311</v>
      </c>
      <c r="L537" s="22">
        <f>其他战斗玩法!Y125</f>
        <v>46.6196272829311</v>
      </c>
      <c r="M537" s="22">
        <f t="shared" si="17"/>
        <v>1</v>
      </c>
      <c r="N537" t="s">
        <v>6163</v>
      </c>
    </row>
    <row r="538" spans="1:14">
      <c r="A538" t="s">
        <v>5804</v>
      </c>
      <c r="B538" t="s">
        <v>6029</v>
      </c>
      <c r="C538">
        <v>278</v>
      </c>
      <c r="D538">
        <v>318</v>
      </c>
      <c r="E538">
        <v>327</v>
      </c>
      <c r="F538" s="22">
        <f>其他战斗玩法!K126</f>
        <v>0.957089165688218</v>
      </c>
      <c r="G538" s="22">
        <f>其他战斗玩法!L126</f>
        <v>1.13626378920316</v>
      </c>
      <c r="H538" s="22">
        <v>58.7862851553518</v>
      </c>
      <c r="I538" s="22">
        <f>其他战斗玩法!X126</f>
        <v>58.7862851553518</v>
      </c>
      <c r="J538" s="22">
        <f t="shared" si="16"/>
        <v>1</v>
      </c>
      <c r="K538" s="22">
        <v>46.6196272829311</v>
      </c>
      <c r="L538" s="22">
        <f>其他战斗玩法!Y126</f>
        <v>46.6196272829311</v>
      </c>
      <c r="M538" s="22">
        <f t="shared" si="17"/>
        <v>1</v>
      </c>
      <c r="N538" t="s">
        <v>6163</v>
      </c>
    </row>
    <row r="539" spans="1:14">
      <c r="A539" t="s">
        <v>5804</v>
      </c>
      <c r="B539" t="s">
        <v>5854</v>
      </c>
      <c r="C539">
        <v>278</v>
      </c>
      <c r="D539">
        <v>318</v>
      </c>
      <c r="E539">
        <v>327</v>
      </c>
      <c r="F539" s="22">
        <f>其他战斗玩法!K127</f>
        <v>0.957089165688218</v>
      </c>
      <c r="G539" s="22">
        <f>其他战斗玩法!L127</f>
        <v>1.13626378920316</v>
      </c>
      <c r="H539" s="22">
        <v>58.7862851553518</v>
      </c>
      <c r="I539" s="22">
        <f>其他战斗玩法!X127</f>
        <v>58.7862851553518</v>
      </c>
      <c r="J539" s="22">
        <f t="shared" si="16"/>
        <v>1</v>
      </c>
      <c r="K539" s="22">
        <v>46.6196272829311</v>
      </c>
      <c r="L539" s="22">
        <f>其他战斗玩法!Y127</f>
        <v>46.6196272829311</v>
      </c>
      <c r="M539" s="22">
        <f t="shared" si="17"/>
        <v>1</v>
      </c>
      <c r="N539" t="s">
        <v>6163</v>
      </c>
    </row>
    <row r="540" spans="1:14">
      <c r="A540" t="s">
        <v>5804</v>
      </c>
      <c r="B540" t="s">
        <v>6032</v>
      </c>
      <c r="C540">
        <v>278</v>
      </c>
      <c r="D540">
        <v>318</v>
      </c>
      <c r="E540">
        <v>327</v>
      </c>
      <c r="F540" s="22">
        <f>其他战斗玩法!K128</f>
        <v>0.957089165688218</v>
      </c>
      <c r="G540" s="22">
        <f>其他战斗玩法!L128</f>
        <v>1.13626378920316</v>
      </c>
      <c r="H540" s="22">
        <v>58.7862851553518</v>
      </c>
      <c r="I540" s="22">
        <f>其他战斗玩法!X128</f>
        <v>58.7862851553518</v>
      </c>
      <c r="J540" s="22">
        <f t="shared" si="16"/>
        <v>1</v>
      </c>
      <c r="K540" s="22">
        <v>46.6196272829311</v>
      </c>
      <c r="L540" s="22">
        <f>其他战斗玩法!Y128</f>
        <v>46.6196272829311</v>
      </c>
      <c r="M540" s="22">
        <f t="shared" si="17"/>
        <v>1</v>
      </c>
      <c r="N540" t="s">
        <v>6163</v>
      </c>
    </row>
    <row r="541" spans="1:14">
      <c r="A541" t="s">
        <v>5804</v>
      </c>
      <c r="B541" t="s">
        <v>6034</v>
      </c>
      <c r="C541">
        <v>278</v>
      </c>
      <c r="D541">
        <v>318</v>
      </c>
      <c r="E541">
        <v>327</v>
      </c>
      <c r="F541" s="22">
        <f>其他战斗玩法!K129</f>
        <v>0.957089165688218</v>
      </c>
      <c r="G541" s="22">
        <f>其他战斗玩法!L129</f>
        <v>1.13626378920316</v>
      </c>
      <c r="H541" s="22">
        <v>58.7862851553518</v>
      </c>
      <c r="I541" s="22">
        <f>其他战斗玩法!X129</f>
        <v>58.7862851553518</v>
      </c>
      <c r="J541" s="22">
        <f t="shared" si="16"/>
        <v>1</v>
      </c>
      <c r="K541" s="22">
        <v>46.6196272829311</v>
      </c>
      <c r="L541" s="22">
        <f>其他战斗玩法!Y129</f>
        <v>46.6196272829311</v>
      </c>
      <c r="M541" s="22">
        <f t="shared" si="17"/>
        <v>1</v>
      </c>
      <c r="N541" t="s">
        <v>6163</v>
      </c>
    </row>
    <row r="542" spans="1:14">
      <c r="A542" t="s">
        <v>5804</v>
      </c>
      <c r="B542" t="s">
        <v>6036</v>
      </c>
      <c r="C542">
        <v>278</v>
      </c>
      <c r="D542">
        <v>318</v>
      </c>
      <c r="E542">
        <v>327</v>
      </c>
      <c r="F542" s="22">
        <f>其他战斗玩法!K130</f>
        <v>0.957089165688218</v>
      </c>
      <c r="G542" s="22">
        <f>其他战斗玩法!L130</f>
        <v>1.13626378920316</v>
      </c>
      <c r="H542" s="22">
        <v>58.7862851553518</v>
      </c>
      <c r="I542" s="22">
        <f>其他战斗玩法!X130</f>
        <v>58.7862851553518</v>
      </c>
      <c r="J542" s="22">
        <f t="shared" si="16"/>
        <v>1</v>
      </c>
      <c r="K542" s="22">
        <v>46.6196272829311</v>
      </c>
      <c r="L542" s="22">
        <f>其他战斗玩法!Y130</f>
        <v>46.6196272829311</v>
      </c>
      <c r="M542" s="22">
        <f t="shared" si="17"/>
        <v>1</v>
      </c>
      <c r="N542" t="s">
        <v>6163</v>
      </c>
    </row>
    <row r="543" spans="1:14">
      <c r="A543" t="s">
        <v>5804</v>
      </c>
      <c r="B543" t="s">
        <v>6038</v>
      </c>
      <c r="C543">
        <v>278</v>
      </c>
      <c r="D543">
        <v>318</v>
      </c>
      <c r="E543">
        <v>327</v>
      </c>
      <c r="F543" s="22">
        <f>其他战斗玩法!K131</f>
        <v>0.957089165688218</v>
      </c>
      <c r="G543" s="22">
        <f>其他战斗玩法!L131</f>
        <v>1.13626378920316</v>
      </c>
      <c r="H543" s="22">
        <v>58.7862851553518</v>
      </c>
      <c r="I543" s="22">
        <f>其他战斗玩法!X131</f>
        <v>58.7862851553518</v>
      </c>
      <c r="J543" s="22">
        <f t="shared" si="16"/>
        <v>1</v>
      </c>
      <c r="K543" s="22">
        <v>46.6196272829311</v>
      </c>
      <c r="L543" s="22">
        <f>其他战斗玩法!Y131</f>
        <v>46.6196272829311</v>
      </c>
      <c r="M543" s="22">
        <f t="shared" si="17"/>
        <v>1</v>
      </c>
      <c r="N543" t="s">
        <v>6163</v>
      </c>
    </row>
    <row r="544" spans="1:14">
      <c r="A544" t="s">
        <v>5804</v>
      </c>
      <c r="B544" t="s">
        <v>6040</v>
      </c>
      <c r="C544">
        <v>278</v>
      </c>
      <c r="D544">
        <v>318</v>
      </c>
      <c r="E544">
        <v>327</v>
      </c>
      <c r="F544" s="22">
        <f>其他战斗玩法!K132</f>
        <v>0.957089165688218</v>
      </c>
      <c r="G544" s="22">
        <f>其他战斗玩法!L132</f>
        <v>1.13626378920316</v>
      </c>
      <c r="H544" s="22">
        <v>58.7862851553518</v>
      </c>
      <c r="I544" s="22">
        <f>其他战斗玩法!X132</f>
        <v>58.7862851553518</v>
      </c>
      <c r="J544" s="22">
        <f t="shared" si="16"/>
        <v>1</v>
      </c>
      <c r="K544" s="22">
        <v>46.6196272829311</v>
      </c>
      <c r="L544" s="22">
        <f>其他战斗玩法!Y132</f>
        <v>46.6196272829311</v>
      </c>
      <c r="M544" s="22">
        <f t="shared" si="17"/>
        <v>1</v>
      </c>
      <c r="N544" t="s">
        <v>6163</v>
      </c>
    </row>
    <row r="545" spans="1:14">
      <c r="A545" t="s">
        <v>5804</v>
      </c>
      <c r="B545" t="s">
        <v>6042</v>
      </c>
      <c r="C545">
        <v>278</v>
      </c>
      <c r="D545">
        <v>318</v>
      </c>
      <c r="E545">
        <v>327</v>
      </c>
      <c r="F545" s="22">
        <f>其他战斗玩法!K133</f>
        <v>0.957089165688218</v>
      </c>
      <c r="G545" s="22">
        <f>其他战斗玩法!L133</f>
        <v>1.13626378920316</v>
      </c>
      <c r="H545" s="22">
        <v>58.7862851553518</v>
      </c>
      <c r="I545" s="22">
        <f>其他战斗玩法!X133</f>
        <v>58.7862851553518</v>
      </c>
      <c r="J545" s="22">
        <f t="shared" si="16"/>
        <v>1</v>
      </c>
      <c r="K545" s="22">
        <v>46.6196272829311</v>
      </c>
      <c r="L545" s="22">
        <f>其他战斗玩法!Y133</f>
        <v>46.6196272829311</v>
      </c>
      <c r="M545" s="22">
        <f t="shared" si="17"/>
        <v>1</v>
      </c>
      <c r="N545" t="s">
        <v>6163</v>
      </c>
    </row>
    <row r="546" spans="1:14">
      <c r="A546" t="s">
        <v>5804</v>
      </c>
      <c r="B546" t="s">
        <v>6044</v>
      </c>
      <c r="C546">
        <v>278</v>
      </c>
      <c r="D546">
        <v>318</v>
      </c>
      <c r="E546">
        <v>327</v>
      </c>
      <c r="F546" s="22">
        <f>其他战斗玩法!K134</f>
        <v>0.957089165688218</v>
      </c>
      <c r="G546" s="22">
        <f>其他战斗玩法!L134</f>
        <v>1.13626378920316</v>
      </c>
      <c r="H546" s="22">
        <v>58.7862851553518</v>
      </c>
      <c r="I546" s="22">
        <f>其他战斗玩法!X134</f>
        <v>58.7862851553518</v>
      </c>
      <c r="J546" s="22">
        <f t="shared" si="16"/>
        <v>1</v>
      </c>
      <c r="K546" s="22">
        <v>46.6196272829311</v>
      </c>
      <c r="L546" s="22">
        <f>其他战斗玩法!Y134</f>
        <v>46.6196272829311</v>
      </c>
      <c r="M546" s="22">
        <f t="shared" si="17"/>
        <v>1</v>
      </c>
      <c r="N546" t="s">
        <v>6163</v>
      </c>
    </row>
    <row r="547" spans="1:14">
      <c r="A547" t="s">
        <v>5804</v>
      </c>
      <c r="B547" t="s">
        <v>6046</v>
      </c>
      <c r="C547">
        <v>278</v>
      </c>
      <c r="D547">
        <v>318</v>
      </c>
      <c r="E547">
        <v>327</v>
      </c>
      <c r="F547" s="22">
        <f>其他战斗玩法!K135</f>
        <v>0.957089165688218</v>
      </c>
      <c r="G547" s="22">
        <f>其他战斗玩法!L135</f>
        <v>1.13626378920316</v>
      </c>
      <c r="H547" s="22">
        <v>58.7862851553518</v>
      </c>
      <c r="I547" s="22">
        <f>其他战斗玩法!X135</f>
        <v>58.7862851553518</v>
      </c>
      <c r="J547" s="22">
        <f t="shared" si="16"/>
        <v>1</v>
      </c>
      <c r="K547" s="22">
        <v>46.6196272829311</v>
      </c>
      <c r="L547" s="22">
        <f>其他战斗玩法!Y135</f>
        <v>46.6196272829311</v>
      </c>
      <c r="M547" s="22">
        <f t="shared" si="17"/>
        <v>1</v>
      </c>
      <c r="N547" t="s">
        <v>6163</v>
      </c>
    </row>
    <row r="548" spans="1:14">
      <c r="A548" t="s">
        <v>5804</v>
      </c>
      <c r="B548" t="s">
        <v>6048</v>
      </c>
      <c r="C548">
        <v>278</v>
      </c>
      <c r="D548">
        <v>318</v>
      </c>
      <c r="E548">
        <v>327</v>
      </c>
      <c r="F548" s="22">
        <f>其他战斗玩法!K136</f>
        <v>0.957089165688218</v>
      </c>
      <c r="G548" s="22">
        <f>其他战斗玩法!L136</f>
        <v>1.13626378920316</v>
      </c>
      <c r="H548" s="22">
        <v>58.7862851553518</v>
      </c>
      <c r="I548" s="22">
        <f>其他战斗玩法!X136</f>
        <v>58.7862851553518</v>
      </c>
      <c r="J548" s="22">
        <f t="shared" si="16"/>
        <v>1</v>
      </c>
      <c r="K548" s="22">
        <v>46.6196272829311</v>
      </c>
      <c r="L548" s="22">
        <f>其他战斗玩法!Y136</f>
        <v>46.6196272829311</v>
      </c>
      <c r="M548" s="22">
        <f t="shared" si="17"/>
        <v>1</v>
      </c>
      <c r="N548" t="s">
        <v>6163</v>
      </c>
    </row>
    <row r="549" spans="1:14">
      <c r="A549" t="s">
        <v>5804</v>
      </c>
      <c r="B549" t="s">
        <v>6050</v>
      </c>
      <c r="C549">
        <v>278</v>
      </c>
      <c r="D549">
        <v>318</v>
      </c>
      <c r="E549">
        <v>327</v>
      </c>
      <c r="F549" s="22">
        <f>其他战斗玩法!K137</f>
        <v>0.957089165688218</v>
      </c>
      <c r="G549" s="22">
        <f>其他战斗玩法!L137</f>
        <v>1.13626378920316</v>
      </c>
      <c r="H549" s="22">
        <v>58.7862851553518</v>
      </c>
      <c r="I549" s="22">
        <f>其他战斗玩法!X137</f>
        <v>58.7862851553518</v>
      </c>
      <c r="J549" s="22">
        <f t="shared" si="16"/>
        <v>1</v>
      </c>
      <c r="K549" s="22">
        <v>46.6196272829311</v>
      </c>
      <c r="L549" s="22">
        <f>其他战斗玩法!Y137</f>
        <v>46.6196272829311</v>
      </c>
      <c r="M549" s="22">
        <f t="shared" si="17"/>
        <v>1</v>
      </c>
      <c r="N549" t="s">
        <v>6163</v>
      </c>
    </row>
    <row r="550" spans="1:14">
      <c r="A550" t="s">
        <v>5804</v>
      </c>
      <c r="B550" t="s">
        <v>6052</v>
      </c>
      <c r="C550">
        <v>278</v>
      </c>
      <c r="D550">
        <v>318</v>
      </c>
      <c r="E550">
        <v>327</v>
      </c>
      <c r="F550" s="22">
        <f>其他战斗玩法!K138</f>
        <v>0.957089165688218</v>
      </c>
      <c r="G550" s="22">
        <f>其他战斗玩法!L138</f>
        <v>1.13626378920316</v>
      </c>
      <c r="H550" s="22">
        <v>58.7862851553518</v>
      </c>
      <c r="I550" s="22">
        <f>其他战斗玩法!X138</f>
        <v>58.7862851553518</v>
      </c>
      <c r="J550" s="22">
        <f t="shared" si="16"/>
        <v>1</v>
      </c>
      <c r="K550" s="22">
        <v>46.6196272829311</v>
      </c>
      <c r="L550" s="22">
        <f>其他战斗玩法!Y138</f>
        <v>46.6196272829311</v>
      </c>
      <c r="M550" s="22">
        <f t="shared" si="17"/>
        <v>1</v>
      </c>
      <c r="N550" t="s">
        <v>6163</v>
      </c>
    </row>
    <row r="551" spans="1:14">
      <c r="A551" t="s">
        <v>5804</v>
      </c>
      <c r="B551" t="s">
        <v>6054</v>
      </c>
      <c r="C551">
        <v>278</v>
      </c>
      <c r="D551">
        <v>318</v>
      </c>
      <c r="E551">
        <v>327</v>
      </c>
      <c r="F551" s="22">
        <f>其他战斗玩法!K139</f>
        <v>0.957089165688218</v>
      </c>
      <c r="G551" s="22">
        <f>其他战斗玩法!L139</f>
        <v>1.13626378920316</v>
      </c>
      <c r="H551" s="22">
        <v>58.7862851553518</v>
      </c>
      <c r="I551" s="22">
        <f>其他战斗玩法!X139</f>
        <v>58.7862851553518</v>
      </c>
      <c r="J551" s="22">
        <f t="shared" si="16"/>
        <v>1</v>
      </c>
      <c r="K551" s="22">
        <v>46.6196272829311</v>
      </c>
      <c r="L551" s="22">
        <f>其他战斗玩法!Y139</f>
        <v>46.6196272829311</v>
      </c>
      <c r="M551" s="22">
        <f t="shared" si="17"/>
        <v>1</v>
      </c>
      <c r="N551" t="s">
        <v>6163</v>
      </c>
    </row>
    <row r="552" spans="1:14">
      <c r="A552" t="s">
        <v>5804</v>
      </c>
      <c r="B552" t="s">
        <v>6056</v>
      </c>
      <c r="C552">
        <v>278</v>
      </c>
      <c r="D552">
        <v>318</v>
      </c>
      <c r="E552">
        <v>327</v>
      </c>
      <c r="F552" s="22">
        <f>其他战斗玩法!K140</f>
        <v>0.957089165688218</v>
      </c>
      <c r="G552" s="22">
        <f>其他战斗玩法!L140</f>
        <v>1.13626378920316</v>
      </c>
      <c r="H552" s="22">
        <v>58.7862851553518</v>
      </c>
      <c r="I552" s="22">
        <f>其他战斗玩法!X140</f>
        <v>58.7862851553518</v>
      </c>
      <c r="J552" s="22">
        <f t="shared" si="16"/>
        <v>1</v>
      </c>
      <c r="K552" s="22">
        <v>46.6196272829311</v>
      </c>
      <c r="L552" s="22">
        <f>其他战斗玩法!Y140</f>
        <v>46.6196272829311</v>
      </c>
      <c r="M552" s="22">
        <f t="shared" si="17"/>
        <v>1</v>
      </c>
      <c r="N552" t="s">
        <v>6163</v>
      </c>
    </row>
    <row r="553" spans="1:14">
      <c r="A553" t="s">
        <v>5804</v>
      </c>
      <c r="B553" t="s">
        <v>6058</v>
      </c>
      <c r="C553">
        <v>278</v>
      </c>
      <c r="D553">
        <v>318</v>
      </c>
      <c r="E553">
        <v>327</v>
      </c>
      <c r="F553" s="22">
        <f>其他战斗玩法!K141</f>
        <v>0.957089165688218</v>
      </c>
      <c r="G553" s="22">
        <f>其他战斗玩法!L141</f>
        <v>1.13626378920316</v>
      </c>
      <c r="H553" s="22">
        <v>58.7862851553518</v>
      </c>
      <c r="I553" s="22">
        <f>其他战斗玩法!X141</f>
        <v>58.7862851553518</v>
      </c>
      <c r="J553" s="22">
        <f t="shared" si="16"/>
        <v>1</v>
      </c>
      <c r="K553" s="22">
        <v>46.6196272829311</v>
      </c>
      <c r="L553" s="22">
        <f>其他战斗玩法!Y141</f>
        <v>46.6196272829311</v>
      </c>
      <c r="M553" s="22">
        <f t="shared" si="17"/>
        <v>1</v>
      </c>
      <c r="N553" t="s">
        <v>6163</v>
      </c>
    </row>
    <row r="554" spans="1:14">
      <c r="A554" t="s">
        <v>5804</v>
      </c>
      <c r="B554" t="s">
        <v>6060</v>
      </c>
      <c r="C554">
        <v>278</v>
      </c>
      <c r="D554">
        <v>318</v>
      </c>
      <c r="E554">
        <v>327</v>
      </c>
      <c r="F554" s="22">
        <f>其他战斗玩法!K142</f>
        <v>0.957089165688218</v>
      </c>
      <c r="G554" s="22">
        <f>其他战斗玩法!L142</f>
        <v>1.13626378920316</v>
      </c>
      <c r="H554" s="22">
        <v>58.7862851553518</v>
      </c>
      <c r="I554" s="22">
        <f>其他战斗玩法!X142</f>
        <v>58.7862851553518</v>
      </c>
      <c r="J554" s="22">
        <f t="shared" si="16"/>
        <v>1</v>
      </c>
      <c r="K554" s="22">
        <v>46.6196272829311</v>
      </c>
      <c r="L554" s="22">
        <f>其他战斗玩法!Y142</f>
        <v>46.6196272829311</v>
      </c>
      <c r="M554" s="22">
        <f t="shared" si="17"/>
        <v>1</v>
      </c>
      <c r="N554" t="s">
        <v>6163</v>
      </c>
    </row>
    <row r="555" spans="1:14">
      <c r="A555" t="s">
        <v>5804</v>
      </c>
      <c r="B555" t="s">
        <v>6062</v>
      </c>
      <c r="C555">
        <v>278</v>
      </c>
      <c r="D555">
        <v>318</v>
      </c>
      <c r="E555">
        <v>327</v>
      </c>
      <c r="F555" s="22">
        <f>其他战斗玩法!K143</f>
        <v>0.957089165688218</v>
      </c>
      <c r="G555" s="22">
        <f>其他战斗玩法!L143</f>
        <v>1.13626378920316</v>
      </c>
      <c r="H555" s="22">
        <v>58.7862851553518</v>
      </c>
      <c r="I555" s="22">
        <f>其他战斗玩法!X143</f>
        <v>58.7862851553518</v>
      </c>
      <c r="J555" s="22">
        <f t="shared" si="16"/>
        <v>1</v>
      </c>
      <c r="K555" s="22">
        <v>46.6196272829311</v>
      </c>
      <c r="L555" s="22">
        <f>其他战斗玩法!Y143</f>
        <v>46.6196272829311</v>
      </c>
      <c r="M555" s="22">
        <f t="shared" si="17"/>
        <v>1</v>
      </c>
      <c r="N555" t="s">
        <v>6163</v>
      </c>
    </row>
    <row r="556" spans="1:14">
      <c r="A556" t="s">
        <v>5804</v>
      </c>
      <c r="B556" t="s">
        <v>6064</v>
      </c>
      <c r="C556">
        <v>278</v>
      </c>
      <c r="D556">
        <v>318</v>
      </c>
      <c r="E556">
        <v>327</v>
      </c>
      <c r="F556" s="22">
        <f>其他战斗玩法!K144</f>
        <v>0.957089165688218</v>
      </c>
      <c r="G556" s="22">
        <f>其他战斗玩法!L144</f>
        <v>1.13626378920316</v>
      </c>
      <c r="H556" s="22">
        <v>58.7862851553518</v>
      </c>
      <c r="I556" s="22">
        <f>其他战斗玩法!X144</f>
        <v>58.7862851553518</v>
      </c>
      <c r="J556" s="22">
        <f t="shared" si="16"/>
        <v>1</v>
      </c>
      <c r="K556" s="22">
        <v>46.6196272829311</v>
      </c>
      <c r="L556" s="22">
        <f>其他战斗玩法!Y144</f>
        <v>46.6196272829311</v>
      </c>
      <c r="M556" s="22">
        <f t="shared" si="17"/>
        <v>1</v>
      </c>
      <c r="N556" t="s">
        <v>6163</v>
      </c>
    </row>
    <row r="557" spans="1:14">
      <c r="A557" t="s">
        <v>5804</v>
      </c>
      <c r="B557" t="s">
        <v>6066</v>
      </c>
      <c r="C557">
        <v>278</v>
      </c>
      <c r="D557">
        <v>318</v>
      </c>
      <c r="E557">
        <v>327</v>
      </c>
      <c r="F557" s="22">
        <f>其他战斗玩法!K145</f>
        <v>0.957089165688218</v>
      </c>
      <c r="G557" s="22">
        <f>其他战斗玩法!L145</f>
        <v>1.13626378920316</v>
      </c>
      <c r="H557" s="22">
        <v>58.7862851553518</v>
      </c>
      <c r="I557" s="22">
        <f>其他战斗玩法!X145</f>
        <v>58.7862851553518</v>
      </c>
      <c r="J557" s="22">
        <f t="shared" si="16"/>
        <v>1</v>
      </c>
      <c r="K557" s="22">
        <v>46.6196272829311</v>
      </c>
      <c r="L557" s="22">
        <f>其他战斗玩法!Y145</f>
        <v>46.6196272829311</v>
      </c>
      <c r="M557" s="22">
        <f t="shared" si="17"/>
        <v>1</v>
      </c>
      <c r="N557" t="s">
        <v>6163</v>
      </c>
    </row>
    <row r="558" spans="1:14">
      <c r="A558" t="s">
        <v>5804</v>
      </c>
      <c r="B558" t="s">
        <v>6068</v>
      </c>
      <c r="C558">
        <v>278</v>
      </c>
      <c r="D558">
        <v>318</v>
      </c>
      <c r="E558">
        <v>327</v>
      </c>
      <c r="F558" s="22">
        <f>其他战斗玩法!K146</f>
        <v>0.957089165688218</v>
      </c>
      <c r="G558" s="22">
        <f>其他战斗玩法!L146</f>
        <v>1.13626378920316</v>
      </c>
      <c r="H558" s="22">
        <v>58.7862851553518</v>
      </c>
      <c r="I558" s="22">
        <f>其他战斗玩法!X146</f>
        <v>58.7862851553518</v>
      </c>
      <c r="J558" s="22">
        <f t="shared" si="16"/>
        <v>1</v>
      </c>
      <c r="K558" s="22">
        <v>46.6196272829311</v>
      </c>
      <c r="L558" s="22">
        <f>其他战斗玩法!Y146</f>
        <v>46.6196272829311</v>
      </c>
      <c r="M558" s="22">
        <f t="shared" si="17"/>
        <v>1</v>
      </c>
      <c r="N558" t="s">
        <v>6163</v>
      </c>
    </row>
    <row r="559" spans="1:14">
      <c r="A559" t="s">
        <v>5804</v>
      </c>
      <c r="B559" t="s">
        <v>6070</v>
      </c>
      <c r="C559">
        <v>278</v>
      </c>
      <c r="D559">
        <v>318</v>
      </c>
      <c r="E559">
        <v>327</v>
      </c>
      <c r="F559" s="22">
        <f>其他战斗玩法!K147</f>
        <v>0.957089165688218</v>
      </c>
      <c r="G559" s="22">
        <f>其他战斗玩法!L147</f>
        <v>1.13626378920316</v>
      </c>
      <c r="H559" s="22">
        <v>58.7862851553518</v>
      </c>
      <c r="I559" s="22">
        <f>其他战斗玩法!X147</f>
        <v>58.7862851553518</v>
      </c>
      <c r="J559" s="22">
        <f t="shared" si="16"/>
        <v>1</v>
      </c>
      <c r="K559" s="22">
        <v>46.6196272829311</v>
      </c>
      <c r="L559" s="22">
        <f>其他战斗玩法!Y147</f>
        <v>46.6196272829311</v>
      </c>
      <c r="M559" s="22">
        <f t="shared" si="17"/>
        <v>1</v>
      </c>
      <c r="N559" t="s">
        <v>6163</v>
      </c>
    </row>
    <row r="560" spans="1:14">
      <c r="A560" t="s">
        <v>5804</v>
      </c>
      <c r="B560" t="s">
        <v>6072</v>
      </c>
      <c r="C560">
        <v>278</v>
      </c>
      <c r="D560">
        <v>318</v>
      </c>
      <c r="E560">
        <v>327</v>
      </c>
      <c r="F560" s="22">
        <f>其他战斗玩法!K148</f>
        <v>0.957089165688218</v>
      </c>
      <c r="G560" s="22">
        <f>其他战斗玩法!L148</f>
        <v>1.13626378920316</v>
      </c>
      <c r="H560" s="22">
        <v>58.7862851553518</v>
      </c>
      <c r="I560" s="22">
        <f>其他战斗玩法!X148</f>
        <v>58.7862851553518</v>
      </c>
      <c r="J560" s="22">
        <f t="shared" si="16"/>
        <v>1</v>
      </c>
      <c r="K560" s="22">
        <v>46.6196272829311</v>
      </c>
      <c r="L560" s="22">
        <f>其他战斗玩法!Y148</f>
        <v>46.6196272829311</v>
      </c>
      <c r="M560" s="22">
        <f t="shared" si="17"/>
        <v>1</v>
      </c>
      <c r="N560" t="s">
        <v>6163</v>
      </c>
    </row>
    <row r="561" spans="1:14">
      <c r="A561" t="s">
        <v>5804</v>
      </c>
      <c r="B561" t="s">
        <v>5866</v>
      </c>
      <c r="C561">
        <v>14</v>
      </c>
      <c r="D561">
        <v>27</v>
      </c>
      <c r="E561">
        <v>25</v>
      </c>
      <c r="F561" s="22">
        <f>其他战斗玩法!K149</f>
        <v>1.1</v>
      </c>
      <c r="G561" s="22">
        <f>其他战斗玩法!L149</f>
        <v>1.1</v>
      </c>
      <c r="H561" s="22">
        <v>0.43158465215541</v>
      </c>
      <c r="I561" s="22">
        <f>其他战斗玩法!X149</f>
        <v>0.217699194020981</v>
      </c>
      <c r="J561" s="22">
        <f t="shared" si="16"/>
        <v>0.504418294148676</v>
      </c>
      <c r="K561" s="22">
        <v>35.5887438385536</v>
      </c>
      <c r="L561" s="22">
        <f>其他战斗玩法!Y149</f>
        <v>49.3790952550402</v>
      </c>
      <c r="M561" s="22">
        <f t="shared" si="17"/>
        <v>1.38749194068343</v>
      </c>
      <c r="N561" t="s">
        <v>6163</v>
      </c>
    </row>
    <row r="562" spans="1:14">
      <c r="A562" t="s">
        <v>5804</v>
      </c>
      <c r="B562" t="s">
        <v>5866</v>
      </c>
      <c r="C562">
        <v>14</v>
      </c>
      <c r="D562">
        <v>27</v>
      </c>
      <c r="E562">
        <v>25</v>
      </c>
      <c r="F562" s="22">
        <f>其他战斗玩法!K150</f>
        <v>1.1</v>
      </c>
      <c r="G562" s="22">
        <f>其他战斗玩法!L150</f>
        <v>1.1</v>
      </c>
      <c r="H562" s="22">
        <v>0.43158465215541</v>
      </c>
      <c r="I562" s="22">
        <f>其他战斗玩法!X150</f>
        <v>0.369280902009517</v>
      </c>
      <c r="J562" s="22">
        <f t="shared" si="16"/>
        <v>0.855639560316297</v>
      </c>
      <c r="K562" s="22">
        <v>35.5887438385536</v>
      </c>
      <c r="L562" s="22">
        <f>其他战斗玩法!Y150</f>
        <v>32.7182914988753</v>
      </c>
      <c r="M562" s="22">
        <f t="shared" si="17"/>
        <v>0.919343814080657</v>
      </c>
      <c r="N562" t="s">
        <v>6163</v>
      </c>
    </row>
    <row r="563" spans="1:14">
      <c r="A563" t="s">
        <v>5804</v>
      </c>
      <c r="B563" t="s">
        <v>5866</v>
      </c>
      <c r="C563">
        <v>14</v>
      </c>
      <c r="D563">
        <v>27</v>
      </c>
      <c r="E563">
        <v>25</v>
      </c>
      <c r="F563" s="22">
        <f>其他战斗玩法!K151</f>
        <v>1.1</v>
      </c>
      <c r="G563" s="22">
        <f>其他战斗玩法!L151</f>
        <v>1.1</v>
      </c>
      <c r="H563" s="22">
        <v>0.43158465215541</v>
      </c>
      <c r="I563" s="22">
        <f>其他战斗玩法!X151</f>
        <v>0.583604124710936</v>
      </c>
      <c r="J563" s="22">
        <f t="shared" si="16"/>
        <v>1.35223558529321</v>
      </c>
      <c r="K563" s="22">
        <v>35.5887438385536</v>
      </c>
      <c r="L563" s="22">
        <f>其他战斗玩法!Y151</f>
        <v>23.2081747698689</v>
      </c>
      <c r="M563" s="22">
        <f t="shared" si="17"/>
        <v>0.652121212121213</v>
      </c>
      <c r="N563" t="s">
        <v>6163</v>
      </c>
    </row>
    <row r="564" spans="1:14">
      <c r="A564" t="s">
        <v>5804</v>
      </c>
      <c r="B564" t="s">
        <v>5866</v>
      </c>
      <c r="C564">
        <v>14</v>
      </c>
      <c r="D564">
        <v>27</v>
      </c>
      <c r="E564">
        <v>25</v>
      </c>
      <c r="F564" s="22">
        <f>其他战斗玩法!K152</f>
        <v>1.1</v>
      </c>
      <c r="G564" s="22">
        <f>其他战斗玩法!L152</f>
        <v>1.1</v>
      </c>
      <c r="H564" s="22">
        <v>0.43158465215541</v>
      </c>
      <c r="I564" s="22">
        <f>其他战斗玩法!X152</f>
        <v>1.28823214468862</v>
      </c>
      <c r="J564" s="22">
        <f t="shared" si="16"/>
        <v>2.98488868465309</v>
      </c>
      <c r="K564" s="22">
        <v>35.5887438385536</v>
      </c>
      <c r="L564" s="22">
        <f>其他战斗玩法!Y152</f>
        <v>13.1515912938434</v>
      </c>
      <c r="M564" s="22">
        <f t="shared" si="17"/>
        <v>0.36954356561459</v>
      </c>
      <c r="N564" t="s">
        <v>6163</v>
      </c>
    </row>
    <row r="565" spans="1:14">
      <c r="A565" t="s">
        <v>5804</v>
      </c>
      <c r="B565" t="s">
        <v>5866</v>
      </c>
      <c r="C565">
        <v>14</v>
      </c>
      <c r="D565">
        <v>27</v>
      </c>
      <c r="E565">
        <v>25</v>
      </c>
      <c r="F565" s="22">
        <f>其他战斗玩法!K153</f>
        <v>1.1</v>
      </c>
      <c r="G565" s="22">
        <f>其他战斗玩法!L153</f>
        <v>1.1</v>
      </c>
      <c r="H565" s="22">
        <v>0.43158465215541</v>
      </c>
      <c r="I565" s="22">
        <f>其他战斗玩法!X153</f>
        <v>1.78731936644825</v>
      </c>
      <c r="J565" s="22">
        <f t="shared" si="16"/>
        <v>4.1412950101957</v>
      </c>
      <c r="K565" s="22">
        <v>35.5887438385536</v>
      </c>
      <c r="L565" s="22">
        <f>其他战斗玩法!Y153</f>
        <v>10.4887804021703</v>
      </c>
      <c r="M565" s="22">
        <f t="shared" si="17"/>
        <v>0.294721849406996</v>
      </c>
      <c r="N565" t="s">
        <v>6163</v>
      </c>
    </row>
    <row r="566" spans="1:14">
      <c r="A566" t="s">
        <v>5804</v>
      </c>
      <c r="B566" t="s">
        <v>5866</v>
      </c>
      <c r="C566">
        <v>14</v>
      </c>
      <c r="D566">
        <v>27</v>
      </c>
      <c r="E566">
        <v>25</v>
      </c>
      <c r="F566" s="22">
        <f>其他战斗玩法!K154</f>
        <v>1.1</v>
      </c>
      <c r="G566" s="22">
        <f>其他战斗玩法!L154</f>
        <v>1.1</v>
      </c>
      <c r="H566" s="22">
        <v>0.43158465215541</v>
      </c>
      <c r="I566" s="22">
        <f>其他战斗玩法!X154</f>
        <v>2.45789288021938</v>
      </c>
      <c r="J566" s="22">
        <f t="shared" si="16"/>
        <v>5.69504236989018</v>
      </c>
      <c r="K566" s="22">
        <v>35.5887438385536</v>
      </c>
      <c r="L566" s="22">
        <f>其他战斗玩法!Y154</f>
        <v>8.45984499509195</v>
      </c>
      <c r="M566" s="22">
        <f t="shared" si="17"/>
        <v>0.237711255937259</v>
      </c>
      <c r="N566" t="s">
        <v>6163</v>
      </c>
    </row>
    <row r="567" spans="1:14">
      <c r="A567" t="s">
        <v>5804</v>
      </c>
      <c r="B567" t="s">
        <v>5866</v>
      </c>
      <c r="C567">
        <v>14</v>
      </c>
      <c r="D567">
        <v>27</v>
      </c>
      <c r="E567">
        <v>25</v>
      </c>
      <c r="F567" s="22">
        <f>其他战斗玩法!K155</f>
        <v>1.1</v>
      </c>
      <c r="G567" s="22">
        <f>其他战斗玩法!L155</f>
        <v>1.1</v>
      </c>
      <c r="H567" s="22">
        <v>0.43158465215541</v>
      </c>
      <c r="I567" s="22">
        <f>其他战斗玩法!X155</f>
        <v>3.4420251246107</v>
      </c>
      <c r="J567" s="22">
        <f t="shared" si="16"/>
        <v>7.97531864819709</v>
      </c>
      <c r="K567" s="22">
        <v>35.5887438385536</v>
      </c>
      <c r="L567" s="22">
        <f>其他战斗玩法!Y155</f>
        <v>6.77545001066628</v>
      </c>
      <c r="M567" s="22">
        <f t="shared" si="17"/>
        <v>0.19038182525921</v>
      </c>
      <c r="N567" t="s">
        <v>6163</v>
      </c>
    </row>
    <row r="568" spans="1:14">
      <c r="A568" t="s">
        <v>5804</v>
      </c>
      <c r="B568" t="s">
        <v>5866</v>
      </c>
      <c r="C568">
        <v>14</v>
      </c>
      <c r="D568">
        <v>27</v>
      </c>
      <c r="E568">
        <v>25</v>
      </c>
      <c r="F568" s="22">
        <f>其他战斗玩法!K156</f>
        <v>1.1</v>
      </c>
      <c r="G568" s="22">
        <f>其他战斗玩法!L156</f>
        <v>1.1</v>
      </c>
      <c r="H568" s="22">
        <v>0.43158465215541</v>
      </c>
      <c r="I568" s="22">
        <f>其他战斗玩法!X156</f>
        <v>4.46443658999879</v>
      </c>
      <c r="J568" s="22">
        <f t="shared" si="16"/>
        <v>10.3442895100709</v>
      </c>
      <c r="K568" s="22">
        <v>35.5887438385536</v>
      </c>
      <c r="L568" s="22">
        <f>其他战斗玩法!Y156</f>
        <v>5.72664289435818</v>
      </c>
      <c r="M568" s="22">
        <f t="shared" si="17"/>
        <v>0.160911633193259</v>
      </c>
      <c r="N568" t="s">
        <v>6163</v>
      </c>
    </row>
    <row r="569" spans="1:14">
      <c r="A569" t="s">
        <v>5804</v>
      </c>
      <c r="B569" t="s">
        <v>5866</v>
      </c>
      <c r="C569">
        <v>14</v>
      </c>
      <c r="D569">
        <v>27</v>
      </c>
      <c r="E569">
        <v>25</v>
      </c>
      <c r="F569" s="22">
        <f>其他战斗玩法!K157</f>
        <v>1.1</v>
      </c>
      <c r="G569" s="22">
        <f>其他战斗玩法!L157</f>
        <v>1.1</v>
      </c>
      <c r="H569" s="22">
        <v>0.43158465215541</v>
      </c>
      <c r="I569" s="22">
        <f>其他战斗玩法!X157</f>
        <v>5.68966162367535</v>
      </c>
      <c r="J569" s="22">
        <f t="shared" si="16"/>
        <v>13.1831880379902</v>
      </c>
      <c r="K569" s="22">
        <v>35.5887438385536</v>
      </c>
      <c r="L569" s="22">
        <f>其他战斗玩法!Y157</f>
        <v>4.90935864543835</v>
      </c>
      <c r="M569" s="22">
        <f t="shared" si="17"/>
        <v>0.137946949398085</v>
      </c>
      <c r="N569" t="s">
        <v>6163</v>
      </c>
    </row>
    <row r="570" spans="1:14">
      <c r="A570" t="s">
        <v>5804</v>
      </c>
      <c r="B570" t="s">
        <v>5866</v>
      </c>
      <c r="C570">
        <v>14</v>
      </c>
      <c r="D570">
        <v>27</v>
      </c>
      <c r="E570">
        <v>25</v>
      </c>
      <c r="F570" s="22">
        <f>其他战斗玩法!K158</f>
        <v>1.1</v>
      </c>
      <c r="G570" s="22">
        <f>其他战斗玩法!L158</f>
        <v>1.1</v>
      </c>
      <c r="H570" s="22">
        <v>0.43158465215541</v>
      </c>
      <c r="I570" s="22">
        <f>其他战斗玩法!X158</f>
        <v>7.00488080314282</v>
      </c>
      <c r="J570" s="22">
        <f t="shared" si="16"/>
        <v>16.2306068303384</v>
      </c>
      <c r="K570" s="22">
        <v>35.5887438385536</v>
      </c>
      <c r="L570" s="22">
        <f>其他战斗玩法!Y158</f>
        <v>4.31004855203706</v>
      </c>
      <c r="M570" s="22">
        <f t="shared" si="17"/>
        <v>0.121107071707542</v>
      </c>
      <c r="N570" t="s">
        <v>6163</v>
      </c>
    </row>
    <row r="571" spans="1:14">
      <c r="A571" t="s">
        <v>5804</v>
      </c>
      <c r="B571" t="s">
        <v>5866</v>
      </c>
      <c r="C571">
        <v>14</v>
      </c>
      <c r="D571">
        <v>27</v>
      </c>
      <c r="E571">
        <v>25</v>
      </c>
      <c r="F571" s="22">
        <f>其他战斗玩法!K159</f>
        <v>1.1</v>
      </c>
      <c r="G571" s="22">
        <f>其他战斗玩法!L159</f>
        <v>1.1</v>
      </c>
      <c r="H571" s="22">
        <v>0.43158465215541</v>
      </c>
      <c r="I571" s="22">
        <f>其他战斗玩法!X159</f>
        <v>8.53851563898616</v>
      </c>
      <c r="J571" s="22">
        <f t="shared" si="16"/>
        <v>19.7841039905921</v>
      </c>
      <c r="K571" s="22">
        <v>35.5887438385536</v>
      </c>
      <c r="L571" s="22">
        <f>其他战斗玩法!Y159</f>
        <v>3.81295313853268</v>
      </c>
      <c r="M571" s="22">
        <f t="shared" si="17"/>
        <v>0.107139301005676</v>
      </c>
      <c r="N571" t="s">
        <v>6163</v>
      </c>
    </row>
    <row r="572" spans="1:14">
      <c r="A572" t="s">
        <v>5804</v>
      </c>
      <c r="B572" t="s">
        <v>5866</v>
      </c>
      <c r="C572">
        <v>14</v>
      </c>
      <c r="D572">
        <v>27</v>
      </c>
      <c r="E572">
        <v>25</v>
      </c>
      <c r="F572" s="22">
        <f>其他战斗玩法!K160</f>
        <v>1.1</v>
      </c>
      <c r="G572" s="22">
        <f>其他战斗玩法!L160</f>
        <v>1.1</v>
      </c>
      <c r="H572" s="22">
        <v>0.43158465215541</v>
      </c>
      <c r="I572" s="22">
        <f>其他战斗玩法!X160</f>
        <v>9.94082277781356</v>
      </c>
      <c r="J572" s="22">
        <f t="shared" si="16"/>
        <v>23.0333092897705</v>
      </c>
      <c r="K572" s="22">
        <v>35.5887438385536</v>
      </c>
      <c r="L572" s="22">
        <f>其他战斗玩法!Y160</f>
        <v>3.47358432995444</v>
      </c>
      <c r="M572" s="22">
        <f t="shared" si="17"/>
        <v>0.0976034542189003</v>
      </c>
      <c r="N572" t="s">
        <v>6163</v>
      </c>
    </row>
    <row r="573" spans="1:14">
      <c r="A573" t="s">
        <v>5804</v>
      </c>
      <c r="B573" t="s">
        <v>5866</v>
      </c>
      <c r="C573">
        <v>14</v>
      </c>
      <c r="D573">
        <v>27</v>
      </c>
      <c r="E573">
        <v>25</v>
      </c>
      <c r="F573" s="22">
        <f>其他战斗玩法!K161</f>
        <v>1.1</v>
      </c>
      <c r="G573" s="22">
        <f>其他战斗玩法!L161</f>
        <v>1.1</v>
      </c>
      <c r="H573" s="22">
        <v>0.43158465215541</v>
      </c>
      <c r="I573" s="22">
        <f>其他战斗玩法!X161</f>
        <v>11.515787815675</v>
      </c>
      <c r="J573" s="22">
        <f t="shared" si="16"/>
        <v>26.6825702864156</v>
      </c>
      <c r="K573" s="22">
        <v>35.5887438385536</v>
      </c>
      <c r="L573" s="22">
        <f>其他战斗玩法!Y161</f>
        <v>3.17601150942463</v>
      </c>
      <c r="M573" s="22">
        <f t="shared" si="17"/>
        <v>0.0892420233721211</v>
      </c>
      <c r="N573" t="s">
        <v>6163</v>
      </c>
    </row>
    <row r="574" spans="1:14">
      <c r="A574" t="s">
        <v>5804</v>
      </c>
      <c r="B574" t="s">
        <v>6090</v>
      </c>
      <c r="C574">
        <v>7</v>
      </c>
      <c r="D574">
        <v>15</v>
      </c>
      <c r="E574">
        <v>14</v>
      </c>
      <c r="F574" s="22">
        <f>其他战斗玩法!K162</f>
        <v>1.04759016676984</v>
      </c>
      <c r="G574" s="22">
        <f>其他战斗玩法!L162</f>
        <v>0.82469512195122</v>
      </c>
      <c r="H574" s="22">
        <v>0.418858868567819</v>
      </c>
      <c r="I574" s="22">
        <f>其他战斗玩法!X162</f>
        <v>0.418858868567821</v>
      </c>
      <c r="J574" s="22">
        <f t="shared" si="16"/>
        <v>1</v>
      </c>
      <c r="K574" s="22">
        <v>31.4757107307228</v>
      </c>
      <c r="L574" s="22">
        <f>其他战斗玩法!Y162</f>
        <v>31.4757107307229</v>
      </c>
      <c r="M574" s="22">
        <f t="shared" si="17"/>
        <v>1</v>
      </c>
      <c r="N574" t="s">
        <v>6163</v>
      </c>
    </row>
    <row r="575" spans="1:14">
      <c r="A575" t="s">
        <v>5804</v>
      </c>
      <c r="B575" t="s">
        <v>6090</v>
      </c>
      <c r="C575">
        <v>7</v>
      </c>
      <c r="D575">
        <v>15</v>
      </c>
      <c r="E575">
        <v>14</v>
      </c>
      <c r="F575" s="22">
        <f>其他战斗玩法!K163</f>
        <v>1.04759016676984</v>
      </c>
      <c r="G575" s="22">
        <f>其他战斗玩法!L163</f>
        <v>0.82469512195122</v>
      </c>
      <c r="H575" s="22">
        <v>0.418858868567819</v>
      </c>
      <c r="I575" s="22">
        <f>其他战斗玩法!X163</f>
        <v>0.418858868567821</v>
      </c>
      <c r="J575" s="22">
        <f t="shared" si="16"/>
        <v>1</v>
      </c>
      <c r="K575" s="22">
        <v>31.4757107307228</v>
      </c>
      <c r="L575" s="22">
        <f>其他战斗玩法!Y163</f>
        <v>31.4757107307229</v>
      </c>
      <c r="M575" s="22">
        <f t="shared" si="17"/>
        <v>1</v>
      </c>
      <c r="N575" t="s">
        <v>6163</v>
      </c>
    </row>
    <row r="576" spans="1:14">
      <c r="A576" t="s">
        <v>5804</v>
      </c>
      <c r="B576" t="s">
        <v>6090</v>
      </c>
      <c r="C576">
        <v>7</v>
      </c>
      <c r="D576">
        <v>15</v>
      </c>
      <c r="E576">
        <v>14</v>
      </c>
      <c r="F576" s="22">
        <f>其他战斗玩法!K164</f>
        <v>1.04759016676984</v>
      </c>
      <c r="G576" s="22">
        <f>其他战斗玩法!L164</f>
        <v>0.82469512195122</v>
      </c>
      <c r="H576" s="22">
        <v>0.418858868567819</v>
      </c>
      <c r="I576" s="22">
        <f>其他战斗玩法!X164</f>
        <v>0.418858868567821</v>
      </c>
      <c r="J576" s="22">
        <f t="shared" si="16"/>
        <v>1</v>
      </c>
      <c r="K576" s="22">
        <v>31.4757107307228</v>
      </c>
      <c r="L576" s="22">
        <f>其他战斗玩法!Y164</f>
        <v>31.4757107307229</v>
      </c>
      <c r="M576" s="22">
        <f t="shared" si="17"/>
        <v>1</v>
      </c>
      <c r="N576" t="s">
        <v>6163</v>
      </c>
    </row>
    <row r="577" spans="1:14">
      <c r="A577" t="s">
        <v>5804</v>
      </c>
      <c r="B577" t="s">
        <v>6090</v>
      </c>
      <c r="C577">
        <v>7</v>
      </c>
      <c r="D577">
        <v>15</v>
      </c>
      <c r="E577">
        <v>14</v>
      </c>
      <c r="F577" s="22">
        <f>其他战斗玩法!K165</f>
        <v>1.04759016676984</v>
      </c>
      <c r="G577" s="22">
        <f>其他战斗玩法!L165</f>
        <v>0.82469512195122</v>
      </c>
      <c r="H577" s="22">
        <v>0.418858868567819</v>
      </c>
      <c r="I577" s="22">
        <f>其他战斗玩法!X165</f>
        <v>0.418858868567821</v>
      </c>
      <c r="J577" s="22">
        <f t="shared" si="16"/>
        <v>1</v>
      </c>
      <c r="K577" s="22">
        <v>31.4757107307228</v>
      </c>
      <c r="L577" s="22">
        <f>其他战斗玩法!Y165</f>
        <v>31.4757107307229</v>
      </c>
      <c r="M577" s="22">
        <f t="shared" si="17"/>
        <v>1</v>
      </c>
      <c r="N577" t="s">
        <v>6163</v>
      </c>
    </row>
    <row r="578" spans="1:14">
      <c r="A578" t="s">
        <v>5804</v>
      </c>
      <c r="B578" t="s">
        <v>6090</v>
      </c>
      <c r="C578">
        <v>7</v>
      </c>
      <c r="D578">
        <v>15</v>
      </c>
      <c r="E578">
        <v>14</v>
      </c>
      <c r="F578" s="22">
        <f>其他战斗玩法!K166</f>
        <v>1.04759016676984</v>
      </c>
      <c r="G578" s="22">
        <f>其他战斗玩法!L166</f>
        <v>0.82469512195122</v>
      </c>
      <c r="H578" s="22">
        <v>0.418858868567819</v>
      </c>
      <c r="I578" s="22">
        <f>其他战斗玩法!X166</f>
        <v>0.418858868567821</v>
      </c>
      <c r="J578" s="22">
        <f t="shared" ref="J578:J621" si="18">I578/H578</f>
        <v>1</v>
      </c>
      <c r="K578" s="22">
        <v>31.4757107307228</v>
      </c>
      <c r="L578" s="22">
        <f>其他战斗玩法!Y166</f>
        <v>31.4757107307229</v>
      </c>
      <c r="M578" s="22">
        <f t="shared" ref="M578:M621" si="19">L578/K578</f>
        <v>1</v>
      </c>
      <c r="N578" t="s">
        <v>6163</v>
      </c>
    </row>
    <row r="579" spans="1:14">
      <c r="A579" t="s">
        <v>5804</v>
      </c>
      <c r="B579" t="s">
        <v>6090</v>
      </c>
      <c r="C579">
        <v>7</v>
      </c>
      <c r="D579">
        <v>15</v>
      </c>
      <c r="E579">
        <v>14</v>
      </c>
      <c r="F579" s="22">
        <f>其他战斗玩法!K167</f>
        <v>1.04759016676984</v>
      </c>
      <c r="G579" s="22">
        <f>其他战斗玩法!L167</f>
        <v>0.82469512195122</v>
      </c>
      <c r="H579" s="22">
        <v>0.418858868567819</v>
      </c>
      <c r="I579" s="22">
        <f>其他战斗玩法!X167</f>
        <v>0.418858868567821</v>
      </c>
      <c r="J579" s="22">
        <f t="shared" si="18"/>
        <v>1</v>
      </c>
      <c r="K579" s="22">
        <v>31.4757107307228</v>
      </c>
      <c r="L579" s="22">
        <f>其他战斗玩法!Y167</f>
        <v>31.4757107307229</v>
      </c>
      <c r="M579" s="22">
        <f t="shared" si="19"/>
        <v>1</v>
      </c>
      <c r="N579" t="s">
        <v>6163</v>
      </c>
    </row>
    <row r="580" spans="1:14">
      <c r="A580" t="s">
        <v>5804</v>
      </c>
      <c r="B580" t="s">
        <v>6097</v>
      </c>
      <c r="C580">
        <v>7</v>
      </c>
      <c r="D580">
        <v>15</v>
      </c>
      <c r="E580">
        <v>14</v>
      </c>
      <c r="F580" s="22">
        <f>其他战斗玩法!K168</f>
        <v>1.04759016676984</v>
      </c>
      <c r="G580" s="22">
        <f>其他战斗玩法!L168</f>
        <v>0.82469512195122</v>
      </c>
      <c r="H580" s="22">
        <v>0.418858868567819</v>
      </c>
      <c r="I580" s="22">
        <f>其他战斗玩法!X168</f>
        <v>0.418858868567821</v>
      </c>
      <c r="J580" s="22">
        <f t="shared" si="18"/>
        <v>1</v>
      </c>
      <c r="K580" s="22">
        <v>31.4757107307228</v>
      </c>
      <c r="L580" s="22">
        <f>其他战斗玩法!Y168</f>
        <v>31.4757107307229</v>
      </c>
      <c r="M580" s="22">
        <f t="shared" si="19"/>
        <v>1</v>
      </c>
      <c r="N580" t="s">
        <v>6163</v>
      </c>
    </row>
    <row r="581" spans="1:14">
      <c r="A581" t="s">
        <v>5804</v>
      </c>
      <c r="B581" t="s">
        <v>6097</v>
      </c>
      <c r="C581">
        <v>7</v>
      </c>
      <c r="D581">
        <v>15</v>
      </c>
      <c r="E581">
        <v>14</v>
      </c>
      <c r="F581" s="22">
        <f>其他战斗玩法!K169</f>
        <v>1.04759016676984</v>
      </c>
      <c r="G581" s="22">
        <f>其他战斗玩法!L169</f>
        <v>0.82469512195122</v>
      </c>
      <c r="H581" s="22">
        <v>0.418858868567819</v>
      </c>
      <c r="I581" s="22">
        <f>其他战斗玩法!X169</f>
        <v>0.418858868567821</v>
      </c>
      <c r="J581" s="22">
        <f t="shared" si="18"/>
        <v>1</v>
      </c>
      <c r="K581" s="22">
        <v>31.4757107307228</v>
      </c>
      <c r="L581" s="22">
        <f>其他战斗玩法!Y169</f>
        <v>31.4757107307229</v>
      </c>
      <c r="M581" s="22">
        <f t="shared" si="19"/>
        <v>1</v>
      </c>
      <c r="N581" t="s">
        <v>6163</v>
      </c>
    </row>
    <row r="582" spans="1:14">
      <c r="A582" t="s">
        <v>5804</v>
      </c>
      <c r="B582" t="s">
        <v>6090</v>
      </c>
      <c r="C582">
        <v>7</v>
      </c>
      <c r="D582">
        <v>15</v>
      </c>
      <c r="E582">
        <v>14</v>
      </c>
      <c r="F582" s="22">
        <f>其他战斗玩法!K170</f>
        <v>1.04759016676984</v>
      </c>
      <c r="G582" s="22">
        <f>其他战斗玩法!L170</f>
        <v>0.82469512195122</v>
      </c>
      <c r="H582" s="22">
        <v>0.418858868567819</v>
      </c>
      <c r="I582" s="22">
        <f>其他战斗玩法!X170</f>
        <v>0.418858868567821</v>
      </c>
      <c r="J582" s="22">
        <f t="shared" si="18"/>
        <v>1</v>
      </c>
      <c r="K582" s="22">
        <v>31.4757107307228</v>
      </c>
      <c r="L582" s="22">
        <f>其他战斗玩法!Y170</f>
        <v>31.4757107307229</v>
      </c>
      <c r="M582" s="22">
        <f t="shared" si="19"/>
        <v>1</v>
      </c>
      <c r="N582" t="s">
        <v>6163</v>
      </c>
    </row>
    <row r="583" spans="1:14">
      <c r="A583" t="s">
        <v>5804</v>
      </c>
      <c r="B583" t="s">
        <v>6090</v>
      </c>
      <c r="C583">
        <v>7</v>
      </c>
      <c r="D583">
        <v>15</v>
      </c>
      <c r="E583">
        <v>14</v>
      </c>
      <c r="F583" s="22">
        <f>其他战斗玩法!K171</f>
        <v>1.04759016676984</v>
      </c>
      <c r="G583" s="22">
        <f>其他战斗玩法!L171</f>
        <v>0.82469512195122</v>
      </c>
      <c r="H583" s="22">
        <v>0.418858868567819</v>
      </c>
      <c r="I583" s="22">
        <f>其他战斗玩法!X171</f>
        <v>0.418858868567821</v>
      </c>
      <c r="J583" s="22">
        <f t="shared" si="18"/>
        <v>1</v>
      </c>
      <c r="K583" s="22">
        <v>31.4757107307228</v>
      </c>
      <c r="L583" s="22">
        <f>其他战斗玩法!Y171</f>
        <v>31.4757107307229</v>
      </c>
      <c r="M583" s="22">
        <f t="shared" si="19"/>
        <v>1</v>
      </c>
      <c r="N583" t="s">
        <v>6163</v>
      </c>
    </row>
    <row r="584" spans="1:14">
      <c r="A584" t="s">
        <v>5804</v>
      </c>
      <c r="B584" t="s">
        <v>6090</v>
      </c>
      <c r="C584">
        <v>7</v>
      </c>
      <c r="D584">
        <v>15</v>
      </c>
      <c r="E584">
        <v>14</v>
      </c>
      <c r="F584" s="22">
        <f>其他战斗玩法!K172</f>
        <v>1.04759016676984</v>
      </c>
      <c r="G584" s="22">
        <f>其他战斗玩法!L172</f>
        <v>0.82469512195122</v>
      </c>
      <c r="H584" s="22">
        <v>0.418858868567819</v>
      </c>
      <c r="I584" s="22">
        <f>其他战斗玩法!X172</f>
        <v>0.418858868567821</v>
      </c>
      <c r="J584" s="22">
        <f t="shared" si="18"/>
        <v>1</v>
      </c>
      <c r="K584" s="22">
        <v>31.4757107307228</v>
      </c>
      <c r="L584" s="22">
        <f>其他战斗玩法!Y172</f>
        <v>31.4757107307229</v>
      </c>
      <c r="M584" s="22">
        <f t="shared" si="19"/>
        <v>1</v>
      </c>
      <c r="N584" t="s">
        <v>6163</v>
      </c>
    </row>
    <row r="585" spans="1:14">
      <c r="A585" t="s">
        <v>5804</v>
      </c>
      <c r="B585" t="s">
        <v>6090</v>
      </c>
      <c r="C585">
        <v>7</v>
      </c>
      <c r="D585">
        <v>15</v>
      </c>
      <c r="E585">
        <v>14</v>
      </c>
      <c r="F585" s="22">
        <f>其他战斗玩法!K173</f>
        <v>1.04759016676984</v>
      </c>
      <c r="G585" s="22">
        <f>其他战斗玩法!L173</f>
        <v>0.82469512195122</v>
      </c>
      <c r="H585" s="22">
        <v>0.418858868567819</v>
      </c>
      <c r="I585" s="22">
        <f>其他战斗玩法!X173</f>
        <v>0.418858868567821</v>
      </c>
      <c r="J585" s="22">
        <f t="shared" si="18"/>
        <v>1</v>
      </c>
      <c r="K585" s="22">
        <v>31.4757107307228</v>
      </c>
      <c r="L585" s="22">
        <f>其他战斗玩法!Y173</f>
        <v>31.4757107307229</v>
      </c>
      <c r="M585" s="22">
        <f t="shared" si="19"/>
        <v>1</v>
      </c>
      <c r="N585" t="s">
        <v>6163</v>
      </c>
    </row>
    <row r="586" spans="1:14">
      <c r="A586" t="s">
        <v>5804</v>
      </c>
      <c r="B586" t="s">
        <v>6090</v>
      </c>
      <c r="C586">
        <v>7</v>
      </c>
      <c r="D586">
        <v>15</v>
      </c>
      <c r="E586">
        <v>14</v>
      </c>
      <c r="F586" s="22">
        <f>其他战斗玩法!K174</f>
        <v>1.04759016676984</v>
      </c>
      <c r="G586" s="22">
        <f>其他战斗玩法!L174</f>
        <v>0.82469512195122</v>
      </c>
      <c r="H586" s="22">
        <v>0.418858868567819</v>
      </c>
      <c r="I586" s="22">
        <f>其他战斗玩法!X174</f>
        <v>0.418858868567821</v>
      </c>
      <c r="J586" s="22">
        <f t="shared" si="18"/>
        <v>1</v>
      </c>
      <c r="K586" s="22">
        <v>31.4757107307228</v>
      </c>
      <c r="L586" s="22">
        <f>其他战斗玩法!Y174</f>
        <v>31.4757107307229</v>
      </c>
      <c r="M586" s="22">
        <f t="shared" si="19"/>
        <v>1</v>
      </c>
      <c r="N586" t="s">
        <v>6163</v>
      </c>
    </row>
    <row r="587" spans="1:14">
      <c r="A587" t="s">
        <v>5804</v>
      </c>
      <c r="B587" t="s">
        <v>6090</v>
      </c>
      <c r="C587">
        <v>7</v>
      </c>
      <c r="D587">
        <v>15</v>
      </c>
      <c r="E587">
        <v>14</v>
      </c>
      <c r="F587" s="22">
        <f>其他战斗玩法!K175</f>
        <v>1.04759016676984</v>
      </c>
      <c r="G587" s="22">
        <f>其他战斗玩法!L175</f>
        <v>0.82469512195122</v>
      </c>
      <c r="H587" s="22">
        <v>0.418858868567819</v>
      </c>
      <c r="I587" s="22">
        <f>其他战斗玩法!X175</f>
        <v>0.418858868567821</v>
      </c>
      <c r="J587" s="22">
        <f t="shared" si="18"/>
        <v>1</v>
      </c>
      <c r="K587" s="22">
        <v>31.4757107307228</v>
      </c>
      <c r="L587" s="22">
        <f>其他战斗玩法!Y175</f>
        <v>31.4757107307229</v>
      </c>
      <c r="M587" s="22">
        <f t="shared" si="19"/>
        <v>1</v>
      </c>
      <c r="N587" t="s">
        <v>6163</v>
      </c>
    </row>
    <row r="588" spans="1:14">
      <c r="A588" t="s">
        <v>5804</v>
      </c>
      <c r="B588" t="s">
        <v>6090</v>
      </c>
      <c r="C588">
        <v>7</v>
      </c>
      <c r="D588">
        <v>15</v>
      </c>
      <c r="E588">
        <v>14</v>
      </c>
      <c r="F588" s="22">
        <f>其他战斗玩法!K176</f>
        <v>1.04759016676984</v>
      </c>
      <c r="G588" s="22">
        <f>其他战斗玩法!L176</f>
        <v>0.82469512195122</v>
      </c>
      <c r="H588" s="22">
        <v>0.418858868567819</v>
      </c>
      <c r="I588" s="22">
        <f>其他战斗玩法!X176</f>
        <v>0.418858868567821</v>
      </c>
      <c r="J588" s="22">
        <f t="shared" si="18"/>
        <v>1</v>
      </c>
      <c r="K588" s="22">
        <v>31.4757107307228</v>
      </c>
      <c r="L588" s="22">
        <f>其他战斗玩法!Y176</f>
        <v>31.4757107307229</v>
      </c>
      <c r="M588" s="22">
        <f t="shared" si="19"/>
        <v>1</v>
      </c>
      <c r="N588" t="s">
        <v>6163</v>
      </c>
    </row>
    <row r="589" spans="1:14">
      <c r="A589" t="s">
        <v>5804</v>
      </c>
      <c r="B589" t="s">
        <v>6090</v>
      </c>
      <c r="C589">
        <v>7</v>
      </c>
      <c r="D589">
        <v>15</v>
      </c>
      <c r="E589">
        <v>14</v>
      </c>
      <c r="F589" s="22">
        <f>其他战斗玩法!K177</f>
        <v>1.04759016676984</v>
      </c>
      <c r="G589" s="22">
        <f>其他战斗玩法!L177</f>
        <v>0.82469512195122</v>
      </c>
      <c r="H589" s="22">
        <v>0.418858868567819</v>
      </c>
      <c r="I589" s="22">
        <f>其他战斗玩法!X177</f>
        <v>0.418858868567821</v>
      </c>
      <c r="J589" s="22">
        <f t="shared" si="18"/>
        <v>1</v>
      </c>
      <c r="K589" s="22">
        <v>31.4757107307228</v>
      </c>
      <c r="L589" s="22">
        <f>其他战斗玩法!Y177</f>
        <v>31.4757107307229</v>
      </c>
      <c r="M589" s="22">
        <f t="shared" si="19"/>
        <v>1</v>
      </c>
      <c r="N589" t="s">
        <v>6163</v>
      </c>
    </row>
    <row r="590" spans="1:14">
      <c r="A590" t="s">
        <v>5804</v>
      </c>
      <c r="B590" t="s">
        <v>6108</v>
      </c>
      <c r="C590">
        <v>7</v>
      </c>
      <c r="D590">
        <v>15</v>
      </c>
      <c r="E590">
        <v>14</v>
      </c>
      <c r="F590" s="22">
        <f>其他战斗玩法!K178</f>
        <v>1.04759016676984</v>
      </c>
      <c r="G590" s="22">
        <f>其他战斗玩法!L178</f>
        <v>0.82469512195122</v>
      </c>
      <c r="H590" s="22">
        <v>0.418858868567819</v>
      </c>
      <c r="I590" s="22">
        <f>其他战斗玩法!X178</f>
        <v>0.418858868567821</v>
      </c>
      <c r="J590" s="22">
        <f t="shared" si="18"/>
        <v>1</v>
      </c>
      <c r="K590" s="22">
        <v>31.4757107307228</v>
      </c>
      <c r="L590" s="22">
        <f>其他战斗玩法!Y178</f>
        <v>31.4757107307229</v>
      </c>
      <c r="M590" s="22">
        <f t="shared" si="19"/>
        <v>1</v>
      </c>
      <c r="N590" t="s">
        <v>6163</v>
      </c>
    </row>
    <row r="591" spans="1:14">
      <c r="A591" t="s">
        <v>5804</v>
      </c>
      <c r="B591" t="s">
        <v>6108</v>
      </c>
      <c r="C591">
        <v>7</v>
      </c>
      <c r="D591">
        <v>15</v>
      </c>
      <c r="E591">
        <v>14</v>
      </c>
      <c r="F591" s="22">
        <f>其他战斗玩法!K179</f>
        <v>1.04759016676984</v>
      </c>
      <c r="G591" s="22">
        <f>其他战斗玩法!L179</f>
        <v>0.82469512195122</v>
      </c>
      <c r="H591" s="22">
        <v>0.418858868567819</v>
      </c>
      <c r="I591" s="22">
        <f>其他战斗玩法!X179</f>
        <v>0.418858868567821</v>
      </c>
      <c r="J591" s="22">
        <f t="shared" si="18"/>
        <v>1</v>
      </c>
      <c r="K591" s="22">
        <v>31.4757107307228</v>
      </c>
      <c r="L591" s="22">
        <f>其他战斗玩法!Y179</f>
        <v>31.4757107307229</v>
      </c>
      <c r="M591" s="22">
        <f t="shared" si="19"/>
        <v>1</v>
      </c>
      <c r="N591" t="s">
        <v>6163</v>
      </c>
    </row>
    <row r="592" spans="1:14">
      <c r="A592" t="s">
        <v>5804</v>
      </c>
      <c r="B592" t="s">
        <v>6108</v>
      </c>
      <c r="C592">
        <v>7</v>
      </c>
      <c r="D592">
        <v>15</v>
      </c>
      <c r="E592">
        <v>14</v>
      </c>
      <c r="F592" s="22">
        <f>其他战斗玩法!K180</f>
        <v>1.04759016676984</v>
      </c>
      <c r="G592" s="22">
        <f>其他战斗玩法!L180</f>
        <v>0.82469512195122</v>
      </c>
      <c r="H592" s="22">
        <v>0.418858868567819</v>
      </c>
      <c r="I592" s="22">
        <f>其他战斗玩法!X180</f>
        <v>0.418858868567821</v>
      </c>
      <c r="J592" s="22">
        <f t="shared" si="18"/>
        <v>1</v>
      </c>
      <c r="K592" s="22">
        <v>31.4757107307228</v>
      </c>
      <c r="L592" s="22">
        <f>其他战斗玩法!Y180</f>
        <v>31.4757107307229</v>
      </c>
      <c r="M592" s="22">
        <f t="shared" si="19"/>
        <v>1</v>
      </c>
      <c r="N592" t="s">
        <v>6163</v>
      </c>
    </row>
    <row r="593" spans="1:14">
      <c r="A593" t="s">
        <v>5804</v>
      </c>
      <c r="B593" t="s">
        <v>6108</v>
      </c>
      <c r="C593">
        <v>7</v>
      </c>
      <c r="D593">
        <v>15</v>
      </c>
      <c r="E593">
        <v>14</v>
      </c>
      <c r="F593" s="22">
        <f>其他战斗玩法!K181</f>
        <v>1.04759016676984</v>
      </c>
      <c r="G593" s="22">
        <f>其他战斗玩法!L181</f>
        <v>0.82469512195122</v>
      </c>
      <c r="H593" s="22">
        <v>0.418858868567819</v>
      </c>
      <c r="I593" s="22">
        <f>其他战斗玩法!X181</f>
        <v>0.418858868567821</v>
      </c>
      <c r="J593" s="22">
        <f t="shared" si="18"/>
        <v>1</v>
      </c>
      <c r="K593" s="22">
        <v>31.4757107307228</v>
      </c>
      <c r="L593" s="22">
        <f>其他战斗玩法!Y181</f>
        <v>31.4757107307229</v>
      </c>
      <c r="M593" s="22">
        <f t="shared" si="19"/>
        <v>1</v>
      </c>
      <c r="N593" t="s">
        <v>6163</v>
      </c>
    </row>
    <row r="594" spans="1:14">
      <c r="A594" t="s">
        <v>5804</v>
      </c>
      <c r="B594" t="s">
        <v>6108</v>
      </c>
      <c r="C594">
        <v>7</v>
      </c>
      <c r="D594">
        <v>15</v>
      </c>
      <c r="E594">
        <v>14</v>
      </c>
      <c r="F594" s="22">
        <f>其他战斗玩法!K182</f>
        <v>1.04759016676984</v>
      </c>
      <c r="G594" s="22">
        <f>其他战斗玩法!L182</f>
        <v>0.82469512195122</v>
      </c>
      <c r="H594" s="22">
        <v>0.418858868567819</v>
      </c>
      <c r="I594" s="22">
        <f>其他战斗玩法!X182</f>
        <v>0.418858868567821</v>
      </c>
      <c r="J594" s="22">
        <f t="shared" si="18"/>
        <v>1</v>
      </c>
      <c r="K594" s="22">
        <v>31.4757107307228</v>
      </c>
      <c r="L594" s="22">
        <f>其他战斗玩法!Y182</f>
        <v>31.4757107307229</v>
      </c>
      <c r="M594" s="22">
        <f t="shared" si="19"/>
        <v>1</v>
      </c>
      <c r="N594" t="s">
        <v>6163</v>
      </c>
    </row>
    <row r="595" spans="1:14">
      <c r="A595" t="s">
        <v>5804</v>
      </c>
      <c r="B595" t="s">
        <v>6108</v>
      </c>
      <c r="C595">
        <v>7</v>
      </c>
      <c r="D595">
        <v>15</v>
      </c>
      <c r="E595">
        <v>14</v>
      </c>
      <c r="F595" s="22">
        <f>其他战斗玩法!K183</f>
        <v>1.04759016676984</v>
      </c>
      <c r="G595" s="22">
        <f>其他战斗玩法!L183</f>
        <v>0.82469512195122</v>
      </c>
      <c r="H595" s="22">
        <v>0.418858868567819</v>
      </c>
      <c r="I595" s="22">
        <f>其他战斗玩法!X183</f>
        <v>0.418858868567821</v>
      </c>
      <c r="J595" s="22">
        <f t="shared" si="18"/>
        <v>1</v>
      </c>
      <c r="K595" s="22">
        <v>31.4757107307228</v>
      </c>
      <c r="L595" s="22">
        <f>其他战斗玩法!Y183</f>
        <v>31.4757107307229</v>
      </c>
      <c r="M595" s="22">
        <f t="shared" si="19"/>
        <v>1</v>
      </c>
      <c r="N595" t="s">
        <v>6163</v>
      </c>
    </row>
    <row r="596" spans="1:14">
      <c r="A596" t="s">
        <v>5804</v>
      </c>
      <c r="B596" t="s">
        <v>6108</v>
      </c>
      <c r="C596">
        <v>7</v>
      </c>
      <c r="D596">
        <v>15</v>
      </c>
      <c r="E596">
        <v>14</v>
      </c>
      <c r="F596" s="22">
        <f>其他战斗玩法!K184</f>
        <v>1.04759016676984</v>
      </c>
      <c r="G596" s="22">
        <f>其他战斗玩法!L184</f>
        <v>0.82469512195122</v>
      </c>
      <c r="H596" s="22">
        <v>0.418858868567819</v>
      </c>
      <c r="I596" s="22">
        <f>其他战斗玩法!X184</f>
        <v>0.418858868567821</v>
      </c>
      <c r="J596" s="22">
        <f t="shared" si="18"/>
        <v>1</v>
      </c>
      <c r="K596" s="22">
        <v>31.4757107307228</v>
      </c>
      <c r="L596" s="22">
        <f>其他战斗玩法!Y184</f>
        <v>31.4757107307229</v>
      </c>
      <c r="M596" s="22">
        <f t="shared" si="19"/>
        <v>1</v>
      </c>
      <c r="N596" t="s">
        <v>6163</v>
      </c>
    </row>
    <row r="597" spans="1:14">
      <c r="A597" t="s">
        <v>5804</v>
      </c>
      <c r="B597" t="s">
        <v>6108</v>
      </c>
      <c r="C597">
        <v>7</v>
      </c>
      <c r="D597">
        <v>15</v>
      </c>
      <c r="E597">
        <v>14</v>
      </c>
      <c r="F597" s="22">
        <f>其他战斗玩法!K185</f>
        <v>1.04759016676984</v>
      </c>
      <c r="G597" s="22">
        <f>其他战斗玩法!L185</f>
        <v>0.82469512195122</v>
      </c>
      <c r="H597" s="22">
        <v>0.418858868567819</v>
      </c>
      <c r="I597" s="22">
        <f>其他战斗玩法!X185</f>
        <v>0.418858868567821</v>
      </c>
      <c r="J597" s="22">
        <f t="shared" si="18"/>
        <v>1</v>
      </c>
      <c r="K597" s="22">
        <v>31.4757107307228</v>
      </c>
      <c r="L597" s="22">
        <f>其他战斗玩法!Y185</f>
        <v>31.4757107307229</v>
      </c>
      <c r="M597" s="22">
        <f t="shared" si="19"/>
        <v>1</v>
      </c>
      <c r="N597" t="s">
        <v>6163</v>
      </c>
    </row>
    <row r="598" spans="1:14">
      <c r="A598" t="s">
        <v>5804</v>
      </c>
      <c r="B598" t="s">
        <v>6108</v>
      </c>
      <c r="C598">
        <v>7</v>
      </c>
      <c r="D598">
        <v>15</v>
      </c>
      <c r="E598">
        <v>14</v>
      </c>
      <c r="F598" s="22">
        <f>其他战斗玩法!K186</f>
        <v>1.04759016676984</v>
      </c>
      <c r="G598" s="22">
        <f>其他战斗玩法!L186</f>
        <v>0.82469512195122</v>
      </c>
      <c r="H598" s="22">
        <v>0.418858868567819</v>
      </c>
      <c r="I598" s="22">
        <f>其他战斗玩法!X186</f>
        <v>0.418858868567821</v>
      </c>
      <c r="J598" s="22">
        <f t="shared" si="18"/>
        <v>1</v>
      </c>
      <c r="K598" s="22">
        <v>31.4757107307228</v>
      </c>
      <c r="L598" s="22">
        <f>其他战斗玩法!Y186</f>
        <v>31.4757107307229</v>
      </c>
      <c r="M598" s="22">
        <f t="shared" si="19"/>
        <v>1</v>
      </c>
      <c r="N598" t="s">
        <v>6163</v>
      </c>
    </row>
    <row r="599" spans="1:14">
      <c r="A599" t="s">
        <v>5804</v>
      </c>
      <c r="B599" t="s">
        <v>6090</v>
      </c>
      <c r="C599">
        <v>7</v>
      </c>
      <c r="D599">
        <v>15</v>
      </c>
      <c r="E599">
        <v>14</v>
      </c>
      <c r="F599" s="22">
        <f>其他战斗玩法!K187</f>
        <v>1.04759016676984</v>
      </c>
      <c r="G599" s="22">
        <f>其他战斗玩法!L187</f>
        <v>0.82469512195122</v>
      </c>
      <c r="H599" s="22">
        <v>0.418858868567819</v>
      </c>
      <c r="I599" s="22">
        <f>其他战斗玩法!X187</f>
        <v>0.418858868567821</v>
      </c>
      <c r="J599" s="22">
        <f t="shared" si="18"/>
        <v>1</v>
      </c>
      <c r="K599" s="22">
        <v>31.4757107307228</v>
      </c>
      <c r="L599" s="22">
        <f>其他战斗玩法!Y187</f>
        <v>31.4757107307229</v>
      </c>
      <c r="M599" s="22">
        <f t="shared" si="19"/>
        <v>1</v>
      </c>
      <c r="N599" t="s">
        <v>6163</v>
      </c>
    </row>
    <row r="600" spans="1:14">
      <c r="A600" t="s">
        <v>5804</v>
      </c>
      <c r="B600" t="s">
        <v>6090</v>
      </c>
      <c r="C600">
        <v>7</v>
      </c>
      <c r="D600">
        <v>15</v>
      </c>
      <c r="E600">
        <v>14</v>
      </c>
      <c r="F600" s="22">
        <f>其他战斗玩法!K188</f>
        <v>1.04759016676984</v>
      </c>
      <c r="G600" s="22">
        <f>其他战斗玩法!L188</f>
        <v>0.82469512195122</v>
      </c>
      <c r="H600" s="22">
        <v>0.418858868567819</v>
      </c>
      <c r="I600" s="22">
        <f>其他战斗玩法!X188</f>
        <v>0.418858868567821</v>
      </c>
      <c r="J600" s="22">
        <f t="shared" si="18"/>
        <v>1</v>
      </c>
      <c r="K600" s="22">
        <v>31.4757107307228</v>
      </c>
      <c r="L600" s="22">
        <f>其他战斗玩法!Y188</f>
        <v>31.4757107307229</v>
      </c>
      <c r="M600" s="22">
        <f t="shared" si="19"/>
        <v>1</v>
      </c>
      <c r="N600" t="s">
        <v>6163</v>
      </c>
    </row>
    <row r="601" spans="1:14">
      <c r="A601" t="s">
        <v>5804</v>
      </c>
      <c r="B601" t="s">
        <v>6090</v>
      </c>
      <c r="C601">
        <v>7</v>
      </c>
      <c r="D601">
        <v>15</v>
      </c>
      <c r="E601">
        <v>14</v>
      </c>
      <c r="F601" s="22">
        <f>其他战斗玩法!K189</f>
        <v>1.04759016676984</v>
      </c>
      <c r="G601" s="22">
        <f>其他战斗玩法!L189</f>
        <v>0.82469512195122</v>
      </c>
      <c r="H601" s="22">
        <v>0.418858868567819</v>
      </c>
      <c r="I601" s="22">
        <f>其他战斗玩法!X189</f>
        <v>0.418858868567821</v>
      </c>
      <c r="J601" s="22">
        <f t="shared" si="18"/>
        <v>1</v>
      </c>
      <c r="K601" s="22">
        <v>31.4757107307228</v>
      </c>
      <c r="L601" s="22">
        <f>其他战斗玩法!Y189</f>
        <v>31.4757107307229</v>
      </c>
      <c r="M601" s="22">
        <f t="shared" si="19"/>
        <v>1</v>
      </c>
      <c r="N601" t="s">
        <v>6163</v>
      </c>
    </row>
    <row r="602" spans="1:14">
      <c r="A602" t="s">
        <v>5804</v>
      </c>
      <c r="B602" t="s">
        <v>6090</v>
      </c>
      <c r="C602">
        <v>7</v>
      </c>
      <c r="D602">
        <v>15</v>
      </c>
      <c r="E602">
        <v>14</v>
      </c>
      <c r="F602" s="22">
        <f>其他战斗玩法!K190</f>
        <v>1.04759016676984</v>
      </c>
      <c r="G602" s="22">
        <f>其他战斗玩法!L190</f>
        <v>0.82469512195122</v>
      </c>
      <c r="H602" s="22">
        <v>0.418858868567819</v>
      </c>
      <c r="I602" s="22">
        <f>其他战斗玩法!X190</f>
        <v>0.418858868567821</v>
      </c>
      <c r="J602" s="22">
        <f t="shared" si="18"/>
        <v>1</v>
      </c>
      <c r="K602" s="22">
        <v>31.4757107307228</v>
      </c>
      <c r="L602" s="22">
        <f>其他战斗玩法!Y190</f>
        <v>31.4757107307229</v>
      </c>
      <c r="M602" s="22">
        <f t="shared" si="19"/>
        <v>1</v>
      </c>
      <c r="N602" t="s">
        <v>6163</v>
      </c>
    </row>
    <row r="603" spans="1:14">
      <c r="A603" t="s">
        <v>5804</v>
      </c>
      <c r="B603" t="s">
        <v>6090</v>
      </c>
      <c r="C603">
        <v>7</v>
      </c>
      <c r="D603">
        <v>15</v>
      </c>
      <c r="E603">
        <v>14</v>
      </c>
      <c r="F603" s="22">
        <f>其他战斗玩法!K191</f>
        <v>1.04759016676984</v>
      </c>
      <c r="G603" s="22">
        <f>其他战斗玩法!L191</f>
        <v>0.82469512195122</v>
      </c>
      <c r="H603" s="22">
        <v>0.418858868567819</v>
      </c>
      <c r="I603" s="22">
        <f>其他战斗玩法!X191</f>
        <v>0.418858868567821</v>
      </c>
      <c r="J603" s="22">
        <f t="shared" si="18"/>
        <v>1</v>
      </c>
      <c r="K603" s="22">
        <v>31.4757107307228</v>
      </c>
      <c r="L603" s="22">
        <f>其他战斗玩法!Y191</f>
        <v>31.4757107307229</v>
      </c>
      <c r="M603" s="22">
        <f t="shared" si="19"/>
        <v>1</v>
      </c>
      <c r="N603" t="s">
        <v>6163</v>
      </c>
    </row>
    <row r="604" spans="1:14">
      <c r="A604" t="s">
        <v>5804</v>
      </c>
      <c r="B604" t="s">
        <v>6090</v>
      </c>
      <c r="C604">
        <v>7</v>
      </c>
      <c r="D604">
        <v>15</v>
      </c>
      <c r="E604">
        <v>14</v>
      </c>
      <c r="F604" s="22">
        <f>其他战斗玩法!K192</f>
        <v>1.04759016676984</v>
      </c>
      <c r="G604" s="22">
        <f>其他战斗玩法!L192</f>
        <v>0.82469512195122</v>
      </c>
      <c r="H604" s="22">
        <v>0.418858868567819</v>
      </c>
      <c r="I604" s="22">
        <f>其他战斗玩法!X192</f>
        <v>0.418858868567821</v>
      </c>
      <c r="J604" s="22">
        <f t="shared" si="18"/>
        <v>1</v>
      </c>
      <c r="K604" s="22">
        <v>31.4757107307228</v>
      </c>
      <c r="L604" s="22">
        <f>其他战斗玩法!Y192</f>
        <v>31.4757107307229</v>
      </c>
      <c r="M604" s="22">
        <f t="shared" si="19"/>
        <v>1</v>
      </c>
      <c r="N604" t="s">
        <v>6163</v>
      </c>
    </row>
    <row r="605" spans="1:14">
      <c r="A605" t="s">
        <v>5804</v>
      </c>
      <c r="B605" t="s">
        <v>6090</v>
      </c>
      <c r="C605">
        <v>7</v>
      </c>
      <c r="D605">
        <v>15</v>
      </c>
      <c r="E605">
        <v>14</v>
      </c>
      <c r="F605" s="22">
        <f>其他战斗玩法!K193</f>
        <v>1.04759016676984</v>
      </c>
      <c r="G605" s="22">
        <f>其他战斗玩法!L193</f>
        <v>0.82469512195122</v>
      </c>
      <c r="H605" s="22">
        <v>0.418858868567819</v>
      </c>
      <c r="I605" s="22">
        <f>其他战斗玩法!X193</f>
        <v>0.418858868567821</v>
      </c>
      <c r="J605" s="22">
        <f t="shared" si="18"/>
        <v>1</v>
      </c>
      <c r="K605" s="22">
        <v>31.4757107307228</v>
      </c>
      <c r="L605" s="22">
        <f>其他战斗玩法!Y193</f>
        <v>31.4757107307229</v>
      </c>
      <c r="M605" s="22">
        <f t="shared" si="19"/>
        <v>1</v>
      </c>
      <c r="N605" t="s">
        <v>6163</v>
      </c>
    </row>
    <row r="606" spans="1:14">
      <c r="A606" t="s">
        <v>5804</v>
      </c>
      <c r="B606" t="s">
        <v>6090</v>
      </c>
      <c r="C606">
        <v>7</v>
      </c>
      <c r="D606">
        <v>15</v>
      </c>
      <c r="E606">
        <v>14</v>
      </c>
      <c r="F606" s="22">
        <f>其他战斗玩法!K194</f>
        <v>1.04759016676984</v>
      </c>
      <c r="G606" s="22">
        <f>其他战斗玩法!L194</f>
        <v>0.82469512195122</v>
      </c>
      <c r="H606" s="22">
        <v>0.418858868567819</v>
      </c>
      <c r="I606" s="22">
        <f>其他战斗玩法!X194</f>
        <v>0.418858868567821</v>
      </c>
      <c r="J606" s="22">
        <f t="shared" si="18"/>
        <v>1</v>
      </c>
      <c r="K606" s="22">
        <v>31.4757107307228</v>
      </c>
      <c r="L606" s="22">
        <f>其他战斗玩法!Y194</f>
        <v>31.4757107307229</v>
      </c>
      <c r="M606" s="22">
        <f t="shared" si="19"/>
        <v>1</v>
      </c>
      <c r="N606" t="s">
        <v>6163</v>
      </c>
    </row>
    <row r="607" spans="1:14">
      <c r="A607" t="s">
        <v>5804</v>
      </c>
      <c r="B607" t="s">
        <v>6090</v>
      </c>
      <c r="C607">
        <v>7</v>
      </c>
      <c r="D607">
        <v>15</v>
      </c>
      <c r="E607">
        <v>14</v>
      </c>
      <c r="F607" s="22">
        <f>其他战斗玩法!K195</f>
        <v>1.04759016676984</v>
      </c>
      <c r="G607" s="22">
        <f>其他战斗玩法!L195</f>
        <v>0.82469512195122</v>
      </c>
      <c r="H607" s="22">
        <v>0.418858868567819</v>
      </c>
      <c r="I607" s="22">
        <f>其他战斗玩法!X195</f>
        <v>0.418858868567821</v>
      </c>
      <c r="J607" s="22">
        <f t="shared" si="18"/>
        <v>1</v>
      </c>
      <c r="K607" s="22">
        <v>31.4757107307228</v>
      </c>
      <c r="L607" s="22">
        <f>其他战斗玩法!Y195</f>
        <v>31.4757107307229</v>
      </c>
      <c r="M607" s="22">
        <f t="shared" si="19"/>
        <v>1</v>
      </c>
      <c r="N607" t="s">
        <v>6163</v>
      </c>
    </row>
    <row r="608" spans="1:14">
      <c r="A608" t="s">
        <v>5804</v>
      </c>
      <c r="B608" t="s">
        <v>6090</v>
      </c>
      <c r="C608">
        <v>7</v>
      </c>
      <c r="D608">
        <v>15</v>
      </c>
      <c r="E608">
        <v>14</v>
      </c>
      <c r="F608" s="22">
        <f>其他战斗玩法!K196</f>
        <v>1.04759016676984</v>
      </c>
      <c r="G608" s="22">
        <f>其他战斗玩法!L196</f>
        <v>0.82469512195122</v>
      </c>
      <c r="H608" s="22">
        <v>0.418858868567819</v>
      </c>
      <c r="I608" s="22">
        <f>其他战斗玩法!X196</f>
        <v>0.418858868567821</v>
      </c>
      <c r="J608" s="22">
        <f t="shared" si="18"/>
        <v>1</v>
      </c>
      <c r="K608" s="22">
        <v>31.4757107307228</v>
      </c>
      <c r="L608" s="22">
        <f>其他战斗玩法!Y196</f>
        <v>31.4757107307229</v>
      </c>
      <c r="M608" s="22">
        <f t="shared" si="19"/>
        <v>1</v>
      </c>
      <c r="N608" t="s">
        <v>6163</v>
      </c>
    </row>
    <row r="609" spans="1:14">
      <c r="A609" t="s">
        <v>5804</v>
      </c>
      <c r="B609" t="s">
        <v>6090</v>
      </c>
      <c r="C609">
        <v>7</v>
      </c>
      <c r="D609">
        <v>15</v>
      </c>
      <c r="E609">
        <v>14</v>
      </c>
      <c r="F609" s="22">
        <f>其他战斗玩法!K197</f>
        <v>1.04759016676984</v>
      </c>
      <c r="G609" s="22">
        <f>其他战斗玩法!L197</f>
        <v>0.82469512195122</v>
      </c>
      <c r="H609" s="22">
        <v>0.418858868567819</v>
      </c>
      <c r="I609" s="22">
        <f>其他战斗玩法!X197</f>
        <v>0.418858868567821</v>
      </c>
      <c r="J609" s="22">
        <f t="shared" si="18"/>
        <v>1</v>
      </c>
      <c r="K609" s="22">
        <v>31.4757107307228</v>
      </c>
      <c r="L609" s="22">
        <f>其他战斗玩法!Y197</f>
        <v>31.4757107307229</v>
      </c>
      <c r="M609" s="22">
        <f t="shared" si="19"/>
        <v>1</v>
      </c>
      <c r="N609" t="s">
        <v>6163</v>
      </c>
    </row>
    <row r="610" spans="1:14">
      <c r="A610" t="s">
        <v>5804</v>
      </c>
      <c r="B610" t="s">
        <v>6090</v>
      </c>
      <c r="C610">
        <v>7</v>
      </c>
      <c r="D610">
        <v>15</v>
      </c>
      <c r="E610">
        <v>14</v>
      </c>
      <c r="F610" s="22">
        <f>其他战斗玩法!K198</f>
        <v>1.04759016676984</v>
      </c>
      <c r="G610" s="22">
        <f>其他战斗玩法!L198</f>
        <v>0.82469512195122</v>
      </c>
      <c r="H610" s="22">
        <v>0.418858868567819</v>
      </c>
      <c r="I610" s="22">
        <f>其他战斗玩法!X198</f>
        <v>0.418858868567821</v>
      </c>
      <c r="J610" s="22">
        <f t="shared" si="18"/>
        <v>1</v>
      </c>
      <c r="K610" s="22">
        <v>31.4757107307228</v>
      </c>
      <c r="L610" s="22">
        <f>其他战斗玩法!Y198</f>
        <v>31.4757107307229</v>
      </c>
      <c r="M610" s="22">
        <f t="shared" si="19"/>
        <v>1</v>
      </c>
      <c r="N610" t="s">
        <v>6163</v>
      </c>
    </row>
    <row r="611" spans="1:14">
      <c r="A611" t="s">
        <v>5804</v>
      </c>
      <c r="B611" t="s">
        <v>6090</v>
      </c>
      <c r="C611">
        <v>7</v>
      </c>
      <c r="D611">
        <v>15</v>
      </c>
      <c r="E611">
        <v>14</v>
      </c>
      <c r="F611" s="22">
        <f>其他战斗玩法!K199</f>
        <v>1.04759016676984</v>
      </c>
      <c r="G611" s="22">
        <f>其他战斗玩法!L199</f>
        <v>0.82469512195122</v>
      </c>
      <c r="H611" s="22">
        <v>0.418858868567819</v>
      </c>
      <c r="I611" s="22">
        <f>其他战斗玩法!X199</f>
        <v>0.418858868567821</v>
      </c>
      <c r="J611" s="22">
        <f t="shared" si="18"/>
        <v>1</v>
      </c>
      <c r="K611" s="22">
        <v>31.4757107307228</v>
      </c>
      <c r="L611" s="22">
        <f>其他战斗玩法!Y199</f>
        <v>31.4757107307229</v>
      </c>
      <c r="M611" s="22">
        <f t="shared" si="19"/>
        <v>1</v>
      </c>
      <c r="N611" t="s">
        <v>6163</v>
      </c>
    </row>
    <row r="612" spans="1:14">
      <c r="A612" t="s">
        <v>5804</v>
      </c>
      <c r="B612" t="s">
        <v>6090</v>
      </c>
      <c r="C612">
        <v>7</v>
      </c>
      <c r="D612">
        <v>15</v>
      </c>
      <c r="E612">
        <v>14</v>
      </c>
      <c r="F612" s="22">
        <f>其他战斗玩法!K200</f>
        <v>1.04759016676984</v>
      </c>
      <c r="G612" s="22">
        <f>其他战斗玩法!L200</f>
        <v>0.82469512195122</v>
      </c>
      <c r="H612" s="22">
        <v>0.418858868567819</v>
      </c>
      <c r="I612" s="22">
        <f>其他战斗玩法!X200</f>
        <v>0.418858868567821</v>
      </c>
      <c r="J612" s="22">
        <f t="shared" si="18"/>
        <v>1</v>
      </c>
      <c r="K612" s="22">
        <v>31.4757107307228</v>
      </c>
      <c r="L612" s="22">
        <f>其他战斗玩法!Y200</f>
        <v>31.4757107307229</v>
      </c>
      <c r="M612" s="22">
        <f t="shared" si="19"/>
        <v>1</v>
      </c>
      <c r="N612" t="s">
        <v>6163</v>
      </c>
    </row>
    <row r="613" spans="1:14">
      <c r="A613" t="s">
        <v>5804</v>
      </c>
      <c r="B613" t="s">
        <v>6090</v>
      </c>
      <c r="C613">
        <v>7</v>
      </c>
      <c r="D613">
        <v>15</v>
      </c>
      <c r="E613">
        <v>14</v>
      </c>
      <c r="F613" s="22">
        <f>其他战斗玩法!K201</f>
        <v>1.04759016676984</v>
      </c>
      <c r="G613" s="22">
        <f>其他战斗玩法!L201</f>
        <v>0.82469512195122</v>
      </c>
      <c r="H613" s="22">
        <v>0.418858868567819</v>
      </c>
      <c r="I613" s="22">
        <f>其他战斗玩法!X201</f>
        <v>0.418858868567821</v>
      </c>
      <c r="J613" s="22">
        <f t="shared" si="18"/>
        <v>1</v>
      </c>
      <c r="K613" s="22">
        <v>31.4757107307228</v>
      </c>
      <c r="L613" s="22">
        <f>其他战斗玩法!Y201</f>
        <v>31.4757107307229</v>
      </c>
      <c r="M613" s="22">
        <f t="shared" si="19"/>
        <v>1</v>
      </c>
      <c r="N613" t="s">
        <v>6163</v>
      </c>
    </row>
    <row r="614" spans="1:14">
      <c r="A614" t="s">
        <v>5804</v>
      </c>
      <c r="B614" t="s">
        <v>6090</v>
      </c>
      <c r="C614">
        <v>7</v>
      </c>
      <c r="D614">
        <v>15</v>
      </c>
      <c r="E614">
        <v>14</v>
      </c>
      <c r="F614" s="22">
        <f>其他战斗玩法!K202</f>
        <v>1.04759016676984</v>
      </c>
      <c r="G614" s="22">
        <f>其他战斗玩法!L202</f>
        <v>0.82469512195122</v>
      </c>
      <c r="H614" s="22">
        <v>0.418858868567819</v>
      </c>
      <c r="I614" s="22">
        <f>其他战斗玩法!X202</f>
        <v>0.418858868567821</v>
      </c>
      <c r="J614" s="22">
        <f t="shared" si="18"/>
        <v>1</v>
      </c>
      <c r="K614" s="22">
        <v>31.4757107307228</v>
      </c>
      <c r="L614" s="22">
        <f>其他战斗玩法!Y202</f>
        <v>31.4757107307229</v>
      </c>
      <c r="M614" s="22">
        <f t="shared" si="19"/>
        <v>1</v>
      </c>
      <c r="N614" t="s">
        <v>6163</v>
      </c>
    </row>
    <row r="615" spans="1:14">
      <c r="A615" t="s">
        <v>5804</v>
      </c>
      <c r="B615" t="s">
        <v>6090</v>
      </c>
      <c r="C615">
        <v>7</v>
      </c>
      <c r="D615">
        <v>15</v>
      </c>
      <c r="E615">
        <v>14</v>
      </c>
      <c r="F615" s="22">
        <f>其他战斗玩法!K203</f>
        <v>1.04759016676984</v>
      </c>
      <c r="G615" s="22">
        <f>其他战斗玩法!L203</f>
        <v>0.82469512195122</v>
      </c>
      <c r="H615" s="22">
        <v>0.418858868567819</v>
      </c>
      <c r="I615" s="22">
        <f>其他战斗玩法!X203</f>
        <v>0.418858868567821</v>
      </c>
      <c r="J615" s="22">
        <f t="shared" si="18"/>
        <v>1</v>
      </c>
      <c r="K615" s="22">
        <v>31.4757107307228</v>
      </c>
      <c r="L615" s="22">
        <f>其他战斗玩法!Y203</f>
        <v>31.4757107307229</v>
      </c>
      <c r="M615" s="22">
        <f t="shared" si="19"/>
        <v>1</v>
      </c>
      <c r="N615" t="s">
        <v>6163</v>
      </c>
    </row>
    <row r="616" spans="1:14">
      <c r="A616" t="s">
        <v>5804</v>
      </c>
      <c r="B616" t="s">
        <v>6090</v>
      </c>
      <c r="C616">
        <v>7</v>
      </c>
      <c r="D616">
        <v>15</v>
      </c>
      <c r="E616">
        <v>14</v>
      </c>
      <c r="F616" s="22">
        <f>其他战斗玩法!K204</f>
        <v>1.04759016676984</v>
      </c>
      <c r="G616" s="22">
        <f>其他战斗玩法!L204</f>
        <v>0.82469512195122</v>
      </c>
      <c r="H616" s="22">
        <v>0.418858868567819</v>
      </c>
      <c r="I616" s="22">
        <f>其他战斗玩法!X204</f>
        <v>0.418858868567821</v>
      </c>
      <c r="J616" s="22">
        <f t="shared" si="18"/>
        <v>1</v>
      </c>
      <c r="K616" s="22">
        <v>31.4757107307228</v>
      </c>
      <c r="L616" s="22">
        <f>其他战斗玩法!Y204</f>
        <v>31.4757107307229</v>
      </c>
      <c r="M616" s="22">
        <f t="shared" si="19"/>
        <v>1</v>
      </c>
      <c r="N616" t="s">
        <v>6163</v>
      </c>
    </row>
    <row r="617" spans="1:14">
      <c r="A617" t="s">
        <v>5804</v>
      </c>
      <c r="B617" t="s">
        <v>6090</v>
      </c>
      <c r="C617">
        <v>7</v>
      </c>
      <c r="D617">
        <v>15</v>
      </c>
      <c r="E617">
        <v>14</v>
      </c>
      <c r="F617" s="22">
        <f>其他战斗玩法!K205</f>
        <v>1.04759016676984</v>
      </c>
      <c r="G617" s="22">
        <f>其他战斗玩法!L205</f>
        <v>0.82469512195122</v>
      </c>
      <c r="H617" s="22">
        <v>0.418858868567819</v>
      </c>
      <c r="I617" s="22">
        <f>其他战斗玩法!X205</f>
        <v>0.418858868567821</v>
      </c>
      <c r="J617" s="22">
        <f t="shared" si="18"/>
        <v>1</v>
      </c>
      <c r="K617" s="22">
        <v>31.4757107307228</v>
      </c>
      <c r="L617" s="22">
        <f>其他战斗玩法!Y205</f>
        <v>31.4757107307229</v>
      </c>
      <c r="M617" s="22">
        <f t="shared" si="19"/>
        <v>1</v>
      </c>
      <c r="N617" t="s">
        <v>6163</v>
      </c>
    </row>
    <row r="618" spans="1:14">
      <c r="A618" t="s">
        <v>5804</v>
      </c>
      <c r="B618" t="s">
        <v>6090</v>
      </c>
      <c r="C618">
        <v>7</v>
      </c>
      <c r="D618">
        <v>15</v>
      </c>
      <c r="E618">
        <v>14</v>
      </c>
      <c r="F618" s="22">
        <f>其他战斗玩法!K206</f>
        <v>1.04759016676984</v>
      </c>
      <c r="G618" s="22">
        <f>其他战斗玩法!L206</f>
        <v>0.82469512195122</v>
      </c>
      <c r="H618" s="22">
        <v>0.418858868567819</v>
      </c>
      <c r="I618" s="22">
        <f>其他战斗玩法!X206</f>
        <v>0.418858868567821</v>
      </c>
      <c r="J618" s="22">
        <f t="shared" si="18"/>
        <v>1</v>
      </c>
      <c r="K618" s="22">
        <v>31.4757107307228</v>
      </c>
      <c r="L618" s="22">
        <f>其他战斗玩法!Y206</f>
        <v>31.4757107307229</v>
      </c>
      <c r="M618" s="22">
        <f t="shared" si="19"/>
        <v>1</v>
      </c>
      <c r="N618" t="s">
        <v>6163</v>
      </c>
    </row>
    <row r="619" spans="1:14">
      <c r="A619" t="s">
        <v>5804</v>
      </c>
      <c r="B619" t="s">
        <v>6090</v>
      </c>
      <c r="C619">
        <v>7</v>
      </c>
      <c r="D619">
        <v>15</v>
      </c>
      <c r="E619">
        <v>14</v>
      </c>
      <c r="F619" s="22">
        <f>其他战斗玩法!K207</f>
        <v>1.04759016676984</v>
      </c>
      <c r="G619" s="22">
        <f>其他战斗玩法!L207</f>
        <v>0.82469512195122</v>
      </c>
      <c r="H619" s="22">
        <v>0.418858868567819</v>
      </c>
      <c r="I619" s="22">
        <f>其他战斗玩法!X207</f>
        <v>0.418858868567821</v>
      </c>
      <c r="J619" s="22">
        <f t="shared" si="18"/>
        <v>1</v>
      </c>
      <c r="K619" s="22">
        <v>31.4757107307228</v>
      </c>
      <c r="L619" s="22">
        <f>其他战斗玩法!Y207</f>
        <v>31.4757107307229</v>
      </c>
      <c r="M619" s="22">
        <f t="shared" si="19"/>
        <v>1</v>
      </c>
      <c r="N619" t="s">
        <v>6163</v>
      </c>
    </row>
    <row r="620" spans="1:14">
      <c r="A620" t="s">
        <v>5804</v>
      </c>
      <c r="B620" t="s">
        <v>6090</v>
      </c>
      <c r="C620">
        <v>7</v>
      </c>
      <c r="D620">
        <v>15</v>
      </c>
      <c r="E620">
        <v>14</v>
      </c>
      <c r="F620" s="22">
        <f>其他战斗玩法!K208</f>
        <v>1.04759016676984</v>
      </c>
      <c r="G620" s="22">
        <f>其他战斗玩法!L208</f>
        <v>0.82469512195122</v>
      </c>
      <c r="H620" s="22">
        <v>0.418858868567819</v>
      </c>
      <c r="I620" s="22">
        <f>其他战斗玩法!X208</f>
        <v>0.418858868567821</v>
      </c>
      <c r="J620" s="22">
        <f t="shared" si="18"/>
        <v>1</v>
      </c>
      <c r="K620" s="22">
        <v>31.4757107307228</v>
      </c>
      <c r="L620" s="22">
        <f>其他战斗玩法!Y208</f>
        <v>31.4757107307229</v>
      </c>
      <c r="M620" s="22">
        <f t="shared" si="19"/>
        <v>1</v>
      </c>
      <c r="N620" t="s">
        <v>6163</v>
      </c>
    </row>
    <row r="621" spans="1:14">
      <c r="A621" t="s">
        <v>5804</v>
      </c>
      <c r="B621" t="s">
        <v>6090</v>
      </c>
      <c r="C621">
        <v>7</v>
      </c>
      <c r="D621">
        <v>15</v>
      </c>
      <c r="E621">
        <v>14</v>
      </c>
      <c r="F621" s="22">
        <f>其他战斗玩法!K209</f>
        <v>1.04759016676984</v>
      </c>
      <c r="G621" s="22">
        <f>其他战斗玩法!L209</f>
        <v>0.82469512195122</v>
      </c>
      <c r="H621" s="22">
        <v>0.418858868567819</v>
      </c>
      <c r="I621" s="22">
        <f>其他战斗玩法!X209</f>
        <v>0.418858868567821</v>
      </c>
      <c r="J621" s="22">
        <f t="shared" si="18"/>
        <v>1</v>
      </c>
      <c r="K621" s="22">
        <v>31.4757107307228</v>
      </c>
      <c r="L621" s="22">
        <f>其他战斗玩法!Y209</f>
        <v>31.4757107307229</v>
      </c>
      <c r="M621" s="22">
        <f t="shared" si="19"/>
        <v>1</v>
      </c>
      <c r="N621" t="s">
        <v>6163</v>
      </c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A1" sqref="A1"/>
    </sheetView>
  </sheetViews>
  <sheetFormatPr defaultColWidth="9" defaultRowHeight="13.5" outlineLevelCol="1"/>
  <cols>
    <col min="1" max="1" width="20" customWidth="1"/>
    <col min="2" max="2" width="100" customWidth="1"/>
  </cols>
  <sheetData>
    <row r="1" ht="42" customHeight="1" spans="1:2">
      <c r="A1" s="3" t="s">
        <v>6164</v>
      </c>
      <c r="B1" s="3" t="s">
        <v>6165</v>
      </c>
    </row>
    <row r="2" ht="42" customHeight="1" spans="1:2">
      <c r="A2" t="s">
        <v>6166</v>
      </c>
      <c r="B2" s="19" t="s">
        <v>6167</v>
      </c>
    </row>
    <row r="3" ht="46" customHeight="1" spans="1:2">
      <c r="A3" t="s">
        <v>6168</v>
      </c>
      <c r="B3" s="19" t="s">
        <v>6169</v>
      </c>
    </row>
    <row r="4" ht="42" customHeight="1" spans="1:2">
      <c r="A4" t="s">
        <v>149</v>
      </c>
      <c r="B4" s="19" t="s">
        <v>6170</v>
      </c>
    </row>
    <row r="5" ht="42" customHeight="1" spans="1:2">
      <c r="A5" t="s">
        <v>6171</v>
      </c>
      <c r="B5" s="19" t="s">
        <v>6172</v>
      </c>
    </row>
    <row r="6" ht="42" customHeight="1" spans="1:2">
      <c r="A6" t="s">
        <v>6173</v>
      </c>
      <c r="B6" s="19" t="s">
        <v>6174</v>
      </c>
    </row>
    <row r="7" ht="42" customHeight="1" spans="1:2">
      <c r="A7" t="s">
        <v>6175</v>
      </c>
      <c r="B7" s="19" t="s">
        <v>6176</v>
      </c>
    </row>
    <row r="8" ht="46" customHeight="1" spans="1:2">
      <c r="A8" t="s">
        <v>59</v>
      </c>
      <c r="B8" s="19" t="s">
        <v>6177</v>
      </c>
    </row>
    <row r="9" ht="42" customHeight="1" spans="1:2">
      <c r="A9" t="s">
        <v>5561</v>
      </c>
      <c r="B9" s="19" t="s">
        <v>6178</v>
      </c>
    </row>
    <row r="10" ht="42" customHeight="1" spans="1:2">
      <c r="A10" t="s">
        <v>6179</v>
      </c>
      <c r="B10" s="19" t="s">
        <v>6180</v>
      </c>
    </row>
    <row r="11" ht="42" customHeight="1" spans="1:2">
      <c r="A11" t="s">
        <v>6181</v>
      </c>
      <c r="B11" s="19" t="s">
        <v>6182</v>
      </c>
    </row>
    <row r="12" ht="42" customHeight="1" spans="1:2">
      <c r="A12" t="s">
        <v>6183</v>
      </c>
      <c r="B12" s="19" t="s">
        <v>6184</v>
      </c>
    </row>
    <row r="13" ht="42" customHeight="1" spans="1:2">
      <c r="A13" t="s">
        <v>75</v>
      </c>
      <c r="B13" s="19" t="s">
        <v>6185</v>
      </c>
    </row>
    <row r="14" ht="42" customHeight="1" spans="1:2">
      <c r="A14" t="s">
        <v>75</v>
      </c>
      <c r="B14" s="19" t="s">
        <v>6186</v>
      </c>
    </row>
    <row r="15" ht="42" customHeight="1" spans="1:2">
      <c r="A15" t="s">
        <v>75</v>
      </c>
      <c r="B15" s="19" t="s">
        <v>6187</v>
      </c>
    </row>
    <row r="16" spans="1:2">
      <c r="A16" t="s">
        <v>6188</v>
      </c>
      <c r="B16" t="s">
        <v>6189</v>
      </c>
    </row>
    <row r="17" spans="1:2">
      <c r="A17" t="s">
        <v>6190</v>
      </c>
      <c r="B17" t="s">
        <v>6191</v>
      </c>
    </row>
    <row r="18" spans="1:2">
      <c r="A18" t="s">
        <v>6192</v>
      </c>
      <c r="B18" t="s">
        <v>6193</v>
      </c>
    </row>
    <row r="19" spans="1:2">
      <c r="A19" t="s">
        <v>6194</v>
      </c>
      <c r="B19" t="s">
        <v>6195</v>
      </c>
    </row>
    <row r="20" spans="1:2">
      <c r="A20" t="s">
        <v>6196</v>
      </c>
      <c r="B20" t="s">
        <v>6197</v>
      </c>
    </row>
    <row r="21" ht="54" spans="1:2">
      <c r="A21" t="s">
        <v>6198</v>
      </c>
      <c r="B21" s="20" t="s">
        <v>6199</v>
      </c>
    </row>
    <row r="22" ht="94.5" spans="1:2">
      <c r="A22" t="s">
        <v>6200</v>
      </c>
      <c r="B22" s="21" t="s">
        <v>6201</v>
      </c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"/>
  <sheetViews>
    <sheetView workbookViewId="0">
      <selection activeCell="A1" sqref="A1"/>
    </sheetView>
  </sheetViews>
  <sheetFormatPr defaultColWidth="9" defaultRowHeight="13.5"/>
  <cols>
    <col min="1" max="1" width="16" customWidth="1"/>
  </cols>
  <sheetData>
    <row r="1" ht="32" customHeight="1" spans="1:1">
      <c r="A1" s="3" t="s">
        <v>6202</v>
      </c>
    </row>
    <row r="2" spans="1:1">
      <c r="A2" t="s">
        <v>154</v>
      </c>
    </row>
    <row r="3" spans="1:1">
      <c r="A3" t="s">
        <v>1043</v>
      </c>
    </row>
    <row r="4" spans="1:1">
      <c r="A4" t="s">
        <v>1045</v>
      </c>
    </row>
    <row r="5" spans="1:1">
      <c r="A5" t="s">
        <v>1047</v>
      </c>
    </row>
    <row r="6" spans="1:1">
      <c r="A6" t="s">
        <v>1049</v>
      </c>
    </row>
    <row r="7" spans="1:1">
      <c r="A7" t="s">
        <v>745</v>
      </c>
    </row>
    <row r="8" spans="1:1">
      <c r="A8" t="s">
        <v>1052</v>
      </c>
    </row>
    <row r="9" spans="1:1">
      <c r="A9" t="s">
        <v>164</v>
      </c>
    </row>
    <row r="10" spans="1:1">
      <c r="A10" t="s">
        <v>651</v>
      </c>
    </row>
  </sheetData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workbookViewId="0">
      <selection activeCell="A1" sqref="A1"/>
    </sheetView>
  </sheetViews>
  <sheetFormatPr defaultColWidth="9" defaultRowHeight="13.5" outlineLevelCol="6"/>
  <cols>
    <col min="1" max="2" width="16" customWidth="1"/>
    <col min="3" max="3" width="24" customWidth="1"/>
    <col min="4" max="7" width="16" customWidth="1"/>
  </cols>
  <sheetData>
    <row r="1" ht="32" customHeight="1" spans="1:7">
      <c r="A1" s="3" t="s">
        <v>6203</v>
      </c>
      <c r="B1" s="3" t="s">
        <v>6204</v>
      </c>
      <c r="C1" s="3" t="s">
        <v>6205</v>
      </c>
      <c r="D1" s="3" t="s">
        <v>6206</v>
      </c>
      <c r="E1" s="3" t="s">
        <v>6207</v>
      </c>
      <c r="F1" s="3" t="s">
        <v>6208</v>
      </c>
      <c r="G1" s="3" t="s">
        <v>6209</v>
      </c>
    </row>
    <row r="2" spans="1:7">
      <c r="A2" t="s">
        <v>573</v>
      </c>
      <c r="B2">
        <v>26</v>
      </c>
      <c r="C2" s="17">
        <v>23</v>
      </c>
      <c r="D2">
        <f t="shared" ref="D2:D31" si="0">C2-B2</f>
        <v>-3</v>
      </c>
      <c r="E2" s="18">
        <f>映射!X5</f>
        <v>7.081419337305</v>
      </c>
      <c r="F2" s="18">
        <f>映射!Y5</f>
        <v>77.6391325323922</v>
      </c>
      <c r="G2" s="4">
        <f>映射!AE5</f>
        <v>10100</v>
      </c>
    </row>
    <row r="3" spans="1:7">
      <c r="A3" t="s">
        <v>576</v>
      </c>
      <c r="B3">
        <v>35</v>
      </c>
      <c r="C3" s="17">
        <v>30</v>
      </c>
      <c r="D3">
        <f t="shared" si="0"/>
        <v>-5</v>
      </c>
      <c r="E3" s="18">
        <f>映射!X6</f>
        <v>7.34408426601761</v>
      </c>
      <c r="F3" s="18">
        <f>映射!Y6</f>
        <v>73.9678171876447</v>
      </c>
      <c r="G3" s="4">
        <f>映射!AE6</f>
        <v>12300</v>
      </c>
    </row>
    <row r="4" spans="1:7">
      <c r="A4" t="s">
        <v>579</v>
      </c>
      <c r="B4">
        <v>45</v>
      </c>
      <c r="C4" s="17">
        <v>33</v>
      </c>
      <c r="D4">
        <f t="shared" si="0"/>
        <v>-12</v>
      </c>
      <c r="E4" s="18">
        <f>映射!X7</f>
        <v>5.948743339072</v>
      </c>
      <c r="F4" s="18">
        <f>映射!Y7</f>
        <v>86.8889382996145</v>
      </c>
      <c r="G4" s="4">
        <f>映射!AE7</f>
        <v>13500</v>
      </c>
    </row>
    <row r="5" spans="1:7">
      <c r="A5" t="s">
        <v>582</v>
      </c>
      <c r="B5">
        <v>54</v>
      </c>
      <c r="C5" s="17">
        <v>38</v>
      </c>
      <c r="D5">
        <f t="shared" si="0"/>
        <v>-16</v>
      </c>
      <c r="E5" s="18">
        <f>映射!X8</f>
        <v>5.08562702430931</v>
      </c>
      <c r="F5" s="18">
        <f>映射!Y8</f>
        <v>99.5814607258541</v>
      </c>
      <c r="G5" s="4">
        <f>映射!AE8</f>
        <v>16000</v>
      </c>
    </row>
    <row r="6" spans="1:7">
      <c r="A6" t="s">
        <v>585</v>
      </c>
      <c r="B6">
        <v>63</v>
      </c>
      <c r="C6" s="17">
        <v>46</v>
      </c>
      <c r="D6">
        <f t="shared" si="0"/>
        <v>-17</v>
      </c>
      <c r="E6" s="18">
        <f>映射!X9</f>
        <v>4.7273545926796</v>
      </c>
      <c r="F6" s="18">
        <f>映射!Y9</f>
        <v>107.36110137807</v>
      </c>
      <c r="G6" s="4">
        <f>映射!AE9</f>
        <v>19800</v>
      </c>
    </row>
    <row r="7" spans="1:7">
      <c r="A7" t="s">
        <v>589</v>
      </c>
      <c r="B7">
        <v>73</v>
      </c>
      <c r="C7" s="17">
        <v>55</v>
      </c>
      <c r="D7">
        <f t="shared" si="0"/>
        <v>-18</v>
      </c>
      <c r="E7" s="18">
        <f>映射!X10</f>
        <v>4.59028162845403</v>
      </c>
      <c r="F7" s="18">
        <f>映射!Y10</f>
        <v>112.372800874269</v>
      </c>
      <c r="G7" s="4">
        <f>映射!AE10</f>
        <v>25400</v>
      </c>
    </row>
    <row r="8" spans="1:7">
      <c r="A8" t="s">
        <v>592</v>
      </c>
      <c r="B8">
        <v>82</v>
      </c>
      <c r="C8" s="17">
        <v>62</v>
      </c>
      <c r="D8">
        <f t="shared" si="0"/>
        <v>-20</v>
      </c>
      <c r="E8" s="18">
        <f>映射!X11</f>
        <v>4.44112923777848</v>
      </c>
      <c r="F8" s="18">
        <f>映射!Y11</f>
        <v>118.895449910463</v>
      </c>
      <c r="G8" s="4">
        <f>映射!AE11</f>
        <v>27800</v>
      </c>
    </row>
    <row r="9" spans="1:7">
      <c r="A9" t="s">
        <v>595</v>
      </c>
      <c r="B9">
        <v>91</v>
      </c>
      <c r="C9" s="17">
        <v>69</v>
      </c>
      <c r="D9">
        <f t="shared" si="0"/>
        <v>-22</v>
      </c>
      <c r="E9" s="18">
        <f>映射!X12</f>
        <v>4.24656736743335</v>
      </c>
      <c r="F9" s="18">
        <f>映射!Y12</f>
        <v>129.489657274692</v>
      </c>
      <c r="G9" s="4">
        <f>映射!AE12</f>
        <v>32800</v>
      </c>
    </row>
    <row r="10" spans="1:7">
      <c r="A10" t="s">
        <v>598</v>
      </c>
      <c r="B10">
        <v>100</v>
      </c>
      <c r="C10" s="17">
        <v>77</v>
      </c>
      <c r="D10">
        <f t="shared" si="0"/>
        <v>-23</v>
      </c>
      <c r="E10" s="18">
        <f>映射!X13</f>
        <v>4.24454258290307</v>
      </c>
      <c r="F10" s="18">
        <f>映射!Y13</f>
        <v>135.161913509016</v>
      </c>
      <c r="G10" s="4">
        <f>映射!AE13</f>
        <v>39300</v>
      </c>
    </row>
    <row r="11" spans="1:7">
      <c r="A11" t="s">
        <v>641</v>
      </c>
      <c r="B11">
        <v>110</v>
      </c>
      <c r="C11" s="17">
        <v>85</v>
      </c>
      <c r="D11">
        <f t="shared" si="0"/>
        <v>-25</v>
      </c>
      <c r="E11" s="18">
        <f>映射!X14</f>
        <v>4.47557637349736</v>
      </c>
      <c r="F11" s="18">
        <f>映射!Y14</f>
        <v>134.938938204297</v>
      </c>
      <c r="G11" s="4">
        <f>映射!AE14</f>
        <v>45400</v>
      </c>
    </row>
    <row r="12" spans="1:7">
      <c r="A12" t="s">
        <v>671</v>
      </c>
      <c r="B12">
        <v>119</v>
      </c>
      <c r="C12" s="17">
        <v>93</v>
      </c>
      <c r="D12">
        <f t="shared" si="0"/>
        <v>-26</v>
      </c>
      <c r="E12" s="18">
        <f>映射!X15</f>
        <v>4.63295873502984</v>
      </c>
      <c r="F12" s="18">
        <f>映射!Y15</f>
        <v>135.954619957299</v>
      </c>
      <c r="G12" s="4">
        <f>映射!AE15</f>
        <v>51500</v>
      </c>
    </row>
    <row r="13" spans="1:7">
      <c r="A13" t="s">
        <v>674</v>
      </c>
      <c r="B13">
        <v>128</v>
      </c>
      <c r="C13" s="17">
        <v>101</v>
      </c>
      <c r="D13">
        <f t="shared" si="0"/>
        <v>-27</v>
      </c>
      <c r="E13" s="18">
        <f>映射!X16</f>
        <v>4.48746652958325</v>
      </c>
      <c r="F13" s="18">
        <f>映射!Y16</f>
        <v>141.455255340924</v>
      </c>
      <c r="G13" s="4">
        <f>映射!AE16</f>
        <v>59500</v>
      </c>
    </row>
    <row r="14" spans="1:7">
      <c r="A14" t="s">
        <v>677</v>
      </c>
      <c r="B14">
        <v>138</v>
      </c>
      <c r="C14" s="17">
        <v>111</v>
      </c>
      <c r="D14">
        <f t="shared" si="0"/>
        <v>-27</v>
      </c>
      <c r="E14" s="18">
        <f>映射!X17</f>
        <v>4.64061842909295</v>
      </c>
      <c r="F14" s="18">
        <f>映射!Y17</f>
        <v>140.041494646449</v>
      </c>
      <c r="G14" s="4">
        <f>映射!AE17</f>
        <v>71400</v>
      </c>
    </row>
    <row r="15" spans="1:7">
      <c r="A15" t="s">
        <v>680</v>
      </c>
      <c r="B15">
        <v>147</v>
      </c>
      <c r="C15" s="17">
        <v>120</v>
      </c>
      <c r="D15">
        <f t="shared" si="0"/>
        <v>-27</v>
      </c>
      <c r="E15" s="18">
        <f>映射!X18</f>
        <v>4.73169733144623</v>
      </c>
      <c r="F15" s="18">
        <f>映射!Y18</f>
        <v>139.741034750835</v>
      </c>
      <c r="G15" s="4">
        <f>映射!AE18</f>
        <v>82700</v>
      </c>
    </row>
    <row r="16" spans="1:7">
      <c r="A16" t="s">
        <v>683</v>
      </c>
      <c r="B16">
        <v>156</v>
      </c>
      <c r="C16" s="17">
        <v>129</v>
      </c>
      <c r="D16">
        <f t="shared" si="0"/>
        <v>-27</v>
      </c>
      <c r="E16" s="18">
        <f>映射!X19</f>
        <v>4.93460484306971</v>
      </c>
      <c r="F16" s="18">
        <f>映射!Y19</f>
        <v>137.119199662944</v>
      </c>
      <c r="G16" s="4">
        <f>映射!AE19</f>
        <v>95900</v>
      </c>
    </row>
    <row r="17" spans="1:7">
      <c r="A17" t="s">
        <v>686</v>
      </c>
      <c r="B17">
        <v>166</v>
      </c>
      <c r="C17" s="17">
        <v>140</v>
      </c>
      <c r="D17">
        <f t="shared" si="0"/>
        <v>-26</v>
      </c>
      <c r="E17" s="18">
        <f>映射!X20</f>
        <v>5.32802419236464</v>
      </c>
      <c r="F17" s="18">
        <f>映射!Y20</f>
        <v>131.358721048513</v>
      </c>
      <c r="G17" s="4">
        <f>映射!AE20</f>
        <v>115000</v>
      </c>
    </row>
    <row r="18" spans="1:7">
      <c r="A18" t="s">
        <v>689</v>
      </c>
      <c r="B18">
        <v>175</v>
      </c>
      <c r="C18" s="17">
        <v>150</v>
      </c>
      <c r="D18">
        <f t="shared" si="0"/>
        <v>-25</v>
      </c>
      <c r="E18" s="18">
        <f>映射!X21</f>
        <v>5.67504172531107</v>
      </c>
      <c r="F18" s="18">
        <f>映射!Y21</f>
        <v>126.896983234762</v>
      </c>
      <c r="G18" s="4">
        <f>映射!AE21</f>
        <v>131000</v>
      </c>
    </row>
    <row r="19" spans="1:7">
      <c r="A19" t="s">
        <v>692</v>
      </c>
      <c r="B19">
        <v>184</v>
      </c>
      <c r="C19" s="17">
        <v>160</v>
      </c>
      <c r="D19">
        <f t="shared" si="0"/>
        <v>-24</v>
      </c>
      <c r="E19" s="18">
        <f>映射!X22</f>
        <v>6.16612846529202</v>
      </c>
      <c r="F19" s="18">
        <f>映射!Y22</f>
        <v>120.863949392029</v>
      </c>
      <c r="G19" s="4">
        <f>映射!AE22</f>
        <v>151000</v>
      </c>
    </row>
    <row r="20" spans="1:7">
      <c r="A20" t="s">
        <v>695</v>
      </c>
      <c r="B20">
        <v>194</v>
      </c>
      <c r="C20" s="17">
        <v>172</v>
      </c>
      <c r="D20">
        <f t="shared" si="0"/>
        <v>-22</v>
      </c>
      <c r="E20" s="18">
        <f>映射!X23</f>
        <v>6.85839312304928</v>
      </c>
      <c r="F20" s="18">
        <f>映射!Y23</f>
        <v>113.345756758554</v>
      </c>
      <c r="G20" s="4">
        <f>映射!AE23</f>
        <v>175000</v>
      </c>
    </row>
    <row r="21" spans="1:7">
      <c r="A21" t="s">
        <v>698</v>
      </c>
      <c r="B21">
        <v>203</v>
      </c>
      <c r="C21" s="17">
        <v>183</v>
      </c>
      <c r="D21">
        <f t="shared" si="0"/>
        <v>-20</v>
      </c>
      <c r="E21" s="18">
        <f>映射!X24</f>
        <v>7.51056250738686</v>
      </c>
      <c r="F21" s="18">
        <f>映射!Y24</f>
        <v>107.365220731752</v>
      </c>
      <c r="G21" s="4">
        <f>映射!AE24</f>
        <v>197000</v>
      </c>
    </row>
    <row r="22" spans="1:7">
      <c r="A22" t="s">
        <v>701</v>
      </c>
      <c r="B22">
        <v>212</v>
      </c>
      <c r="C22" s="17">
        <v>194</v>
      </c>
      <c r="D22">
        <f t="shared" si="0"/>
        <v>-18</v>
      </c>
      <c r="E22" s="18">
        <f>映射!X25</f>
        <v>8.30445712240702</v>
      </c>
      <c r="F22" s="18">
        <f>映射!Y25</f>
        <v>101.008679209749</v>
      </c>
      <c r="G22" s="4">
        <f>映射!AE25</f>
        <v>225000</v>
      </c>
    </row>
    <row r="23" spans="1:7">
      <c r="A23" t="s">
        <v>704</v>
      </c>
      <c r="B23">
        <v>222</v>
      </c>
      <c r="C23" s="17">
        <v>206</v>
      </c>
      <c r="D23">
        <f t="shared" si="0"/>
        <v>-16</v>
      </c>
      <c r="E23" s="18">
        <f>映射!X26</f>
        <v>9.3170702363997</v>
      </c>
      <c r="F23" s="18">
        <f>映射!Y26</f>
        <v>94.1688015479281</v>
      </c>
      <c r="G23" s="4">
        <f>映射!AE26</f>
        <v>249000</v>
      </c>
    </row>
    <row r="24" spans="1:7">
      <c r="A24" t="s">
        <v>707</v>
      </c>
      <c r="B24">
        <v>231</v>
      </c>
      <c r="C24" s="17">
        <v>218</v>
      </c>
      <c r="D24">
        <f t="shared" si="0"/>
        <v>-13</v>
      </c>
      <c r="E24" s="18">
        <f>映射!X27</f>
        <v>10.328765740304</v>
      </c>
      <c r="F24" s="18">
        <f>映射!Y27</f>
        <v>88.4427744015266</v>
      </c>
      <c r="G24" s="4">
        <f>映射!AE27</f>
        <v>280000</v>
      </c>
    </row>
    <row r="25" spans="1:7">
      <c r="A25" t="s">
        <v>710</v>
      </c>
      <c r="B25">
        <v>240</v>
      </c>
      <c r="C25" s="17">
        <v>229</v>
      </c>
      <c r="D25">
        <f t="shared" si="0"/>
        <v>-11</v>
      </c>
      <c r="E25" s="18">
        <f>映射!X28</f>
        <v>11.5000062519994</v>
      </c>
      <c r="F25" s="18">
        <f>映射!Y28</f>
        <v>82.8165701238939</v>
      </c>
      <c r="G25" s="4">
        <f>映射!AE28</f>
        <v>314000</v>
      </c>
    </row>
    <row r="26" spans="1:7">
      <c r="A26" t="s">
        <v>713</v>
      </c>
      <c r="B26">
        <v>249</v>
      </c>
      <c r="C26" s="17">
        <v>241</v>
      </c>
      <c r="D26">
        <f t="shared" si="0"/>
        <v>-8</v>
      </c>
      <c r="E26" s="18">
        <f>映射!X29</f>
        <v>12.7903418618879</v>
      </c>
      <c r="F26" s="18">
        <f>映射!Y29</f>
        <v>77.6101088797394</v>
      </c>
      <c r="G26" s="4">
        <f>映射!AE29</f>
        <v>347000</v>
      </c>
    </row>
    <row r="27" spans="1:7">
      <c r="A27" t="s">
        <v>716</v>
      </c>
      <c r="B27">
        <v>259</v>
      </c>
      <c r="C27" s="17">
        <v>254</v>
      </c>
      <c r="D27">
        <f t="shared" si="0"/>
        <v>-5</v>
      </c>
      <c r="E27" s="18">
        <f>映射!X30</f>
        <v>14.4319167521579</v>
      </c>
      <c r="F27" s="18">
        <f>映射!Y30</f>
        <v>72.0775982563731</v>
      </c>
      <c r="G27" s="4">
        <f>映射!AE30</f>
        <v>386000</v>
      </c>
    </row>
    <row r="28" spans="1:7">
      <c r="A28" t="s">
        <v>719</v>
      </c>
      <c r="B28">
        <v>268</v>
      </c>
      <c r="C28" s="17">
        <v>266</v>
      </c>
      <c r="D28">
        <f t="shared" si="0"/>
        <v>-2</v>
      </c>
      <c r="E28" s="18">
        <f>映射!X31</f>
        <v>16.0678172439248</v>
      </c>
      <c r="F28" s="18">
        <f>映射!Y31</f>
        <v>67.5007192276161</v>
      </c>
      <c r="G28" s="4">
        <f>映射!AE31</f>
        <v>426000</v>
      </c>
    </row>
    <row r="29" spans="1:7">
      <c r="A29" t="s">
        <v>722</v>
      </c>
      <c r="B29">
        <v>277</v>
      </c>
      <c r="C29" s="17">
        <v>279</v>
      </c>
      <c r="D29">
        <f t="shared" si="0"/>
        <v>2</v>
      </c>
      <c r="E29" s="18">
        <f>映射!X32</f>
        <v>17.8892953102602</v>
      </c>
      <c r="F29" s="18">
        <f>映射!Y32</f>
        <v>63.2143777807652</v>
      </c>
      <c r="G29" s="4">
        <f>映射!AE32</f>
        <v>482000</v>
      </c>
    </row>
    <row r="30" spans="1:7">
      <c r="A30" t="s">
        <v>725</v>
      </c>
      <c r="B30">
        <v>287</v>
      </c>
      <c r="C30" s="17">
        <v>292</v>
      </c>
      <c r="D30">
        <f t="shared" si="0"/>
        <v>5</v>
      </c>
      <c r="E30" s="18">
        <f>映射!X33</f>
        <v>20.1675121116196</v>
      </c>
      <c r="F30" s="18">
        <f>映射!Y33</f>
        <v>58.7461564257782</v>
      </c>
      <c r="G30" s="4">
        <f>映射!AE33</f>
        <v>542000</v>
      </c>
    </row>
    <row r="31" spans="1:7">
      <c r="A31" t="s">
        <v>728</v>
      </c>
      <c r="B31">
        <v>296</v>
      </c>
      <c r="C31" s="17">
        <v>305</v>
      </c>
      <c r="D31">
        <f t="shared" si="0"/>
        <v>9</v>
      </c>
      <c r="E31" s="18">
        <f>映射!X34</f>
        <v>22.4310796972094</v>
      </c>
      <c r="F31" s="18">
        <f>映射!Y34</f>
        <v>55.054996997765</v>
      </c>
      <c r="G31" s="4">
        <f>映射!AE34</f>
        <v>595000</v>
      </c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1"/>
  <sheetViews>
    <sheetView showGridLines="0" workbookViewId="0">
      <selection activeCell="A1" sqref="A1"/>
    </sheetView>
  </sheetViews>
  <sheetFormatPr defaultColWidth="9" defaultRowHeight="13.5"/>
  <cols>
    <col min="1" max="10" width="15" customWidth="1"/>
  </cols>
  <sheetData>
    <row r="1" ht="36" customHeight="1" spans="1:10">
      <c r="A1" s="13" t="s">
        <v>6143</v>
      </c>
      <c r="B1" s="13" t="s">
        <v>6204</v>
      </c>
      <c r="C1" s="13" t="s">
        <v>6210</v>
      </c>
      <c r="D1" s="13" t="s">
        <v>6206</v>
      </c>
      <c r="E1" s="13" t="s">
        <v>6211</v>
      </c>
      <c r="F1" s="13" t="s">
        <v>6212</v>
      </c>
      <c r="G1" s="13" t="s">
        <v>6213</v>
      </c>
      <c r="H1" s="13" t="s">
        <v>6214</v>
      </c>
      <c r="I1" s="13" t="s">
        <v>6215</v>
      </c>
      <c r="J1" s="13" t="s">
        <v>6216</v>
      </c>
    </row>
    <row r="2" ht="25" customHeight="1" spans="1:10">
      <c r="A2" s="14">
        <v>1</v>
      </c>
      <c r="B2" s="14">
        <v>28</v>
      </c>
      <c r="C2" s="14">
        <f>爬塔!J5</f>
        <v>15</v>
      </c>
      <c r="D2" s="14">
        <f t="shared" ref="D2:D65" si="0">C2-B2</f>
        <v>-13</v>
      </c>
      <c r="E2" s="15">
        <v>4.78684942210594</v>
      </c>
      <c r="F2" s="15">
        <f>爬塔!X5</f>
        <v>1.9688363424757</v>
      </c>
      <c r="G2" s="15">
        <v>9.72855049284485</v>
      </c>
      <c r="H2" s="15">
        <f>爬塔!Y5</f>
        <v>19.1766045755164</v>
      </c>
      <c r="I2" s="16">
        <f t="shared" ref="I2:I65" si="1">F2/E2-1</f>
        <v>-0.588698918878982</v>
      </c>
      <c r="J2" s="16">
        <f t="shared" ref="J2:J65" si="2">G2/H2-1</f>
        <v>-0.492686494392979</v>
      </c>
    </row>
    <row r="3" ht="25" customHeight="1" spans="1:10">
      <c r="A3" s="14">
        <v>2</v>
      </c>
      <c r="B3" s="14">
        <v>33</v>
      </c>
      <c r="C3" s="14">
        <f>爬塔!J6</f>
        <v>18</v>
      </c>
      <c r="D3" s="14">
        <f t="shared" si="0"/>
        <v>-15</v>
      </c>
      <c r="E3" s="15">
        <v>5.67908166575604</v>
      </c>
      <c r="F3" s="15">
        <f>爬塔!X6</f>
        <v>2.32817710092679</v>
      </c>
      <c r="G3" s="15">
        <v>8.17960423128993</v>
      </c>
      <c r="H3" s="15">
        <f>爬塔!Y6</f>
        <v>15.9517058368719</v>
      </c>
      <c r="I3" s="16">
        <f t="shared" si="1"/>
        <v>-0.590043384132802</v>
      </c>
      <c r="J3" s="16">
        <f t="shared" si="2"/>
        <v>-0.487226989079563</v>
      </c>
    </row>
    <row r="4" ht="25" customHeight="1" spans="1:10">
      <c r="A4" s="14">
        <v>3</v>
      </c>
      <c r="B4" s="14">
        <v>37</v>
      </c>
      <c r="C4" s="14">
        <f>爬塔!J7</f>
        <v>22</v>
      </c>
      <c r="D4" s="14">
        <f t="shared" si="0"/>
        <v>-15</v>
      </c>
      <c r="E4" s="15">
        <v>7.93960068130614</v>
      </c>
      <c r="F4" s="15">
        <f>爬塔!X7</f>
        <v>3.56288167643343</v>
      </c>
      <c r="G4" s="15">
        <v>9.33459652089855</v>
      </c>
      <c r="H4" s="15">
        <f>爬塔!Y7</f>
        <v>16.70090255368</v>
      </c>
      <c r="I4" s="16">
        <f t="shared" si="1"/>
        <v>-0.551251779598656</v>
      </c>
      <c r="J4" s="16">
        <f t="shared" si="2"/>
        <v>-0.441072331815883</v>
      </c>
    </row>
    <row r="5" ht="25" customHeight="1" spans="1:10">
      <c r="A5" s="14">
        <v>4</v>
      </c>
      <c r="B5" s="14">
        <v>42</v>
      </c>
      <c r="C5" s="14">
        <f>爬塔!J8</f>
        <v>25</v>
      </c>
      <c r="D5" s="14">
        <f t="shared" si="0"/>
        <v>-17</v>
      </c>
      <c r="E5" s="15">
        <v>6.52218281223549</v>
      </c>
      <c r="F5" s="15">
        <f>爬塔!X8</f>
        <v>2.90760197263718</v>
      </c>
      <c r="G5" s="15">
        <v>7.59459303691341</v>
      </c>
      <c r="H5" s="15">
        <f>爬塔!Y8</f>
        <v>13.6795103788623</v>
      </c>
      <c r="I5" s="16">
        <f t="shared" si="1"/>
        <v>-0.55419802597643</v>
      </c>
      <c r="J5" s="16">
        <f t="shared" si="2"/>
        <v>-0.444819819819822</v>
      </c>
    </row>
    <row r="6" ht="25" customHeight="1" spans="1:10">
      <c r="A6" s="14">
        <v>5</v>
      </c>
      <c r="B6" s="14">
        <v>46</v>
      </c>
      <c r="C6" s="14">
        <f>爬塔!J9</f>
        <v>28</v>
      </c>
      <c r="D6" s="14">
        <f t="shared" si="0"/>
        <v>-18</v>
      </c>
      <c r="E6" s="15">
        <v>8.84838694261711</v>
      </c>
      <c r="F6" s="15">
        <f>爬塔!X9</f>
        <v>3.96947575087336</v>
      </c>
      <c r="G6" s="15">
        <v>7.98525203517759</v>
      </c>
      <c r="H6" s="15">
        <f>爬塔!Y9</f>
        <v>14.1152895841761</v>
      </c>
      <c r="I6" s="16">
        <f t="shared" si="1"/>
        <v>-0.551389900033091</v>
      </c>
      <c r="J6" s="16">
        <f t="shared" si="2"/>
        <v>-0.434283513097072</v>
      </c>
    </row>
    <row r="7" ht="25" customHeight="1" spans="1:10">
      <c r="A7" s="14">
        <v>6</v>
      </c>
      <c r="B7" s="14">
        <v>49</v>
      </c>
      <c r="C7" s="14">
        <f>爬塔!J10</f>
        <v>32</v>
      </c>
      <c r="D7" s="14">
        <f t="shared" si="0"/>
        <v>-17</v>
      </c>
      <c r="E7" s="15">
        <v>8.22546855959305</v>
      </c>
      <c r="F7" s="15">
        <f>爬塔!X10</f>
        <v>4.0798595069624</v>
      </c>
      <c r="G7" s="15">
        <v>7.59544093857104</v>
      </c>
      <c r="H7" s="15">
        <f>爬塔!Y10</f>
        <v>12.4645068643018</v>
      </c>
      <c r="I7" s="16">
        <f t="shared" si="1"/>
        <v>-0.503996705184142</v>
      </c>
      <c r="J7" s="16">
        <f t="shared" si="2"/>
        <v>-0.390634461414248</v>
      </c>
    </row>
    <row r="8" ht="25" customHeight="1" spans="1:10">
      <c r="A8" s="14">
        <v>7</v>
      </c>
      <c r="B8" s="14">
        <v>52</v>
      </c>
      <c r="C8" s="14">
        <f>爬塔!J11</f>
        <v>35</v>
      </c>
      <c r="D8" s="14">
        <f t="shared" si="0"/>
        <v>-17</v>
      </c>
      <c r="E8" s="15">
        <v>8.73539240510356</v>
      </c>
      <c r="F8" s="15">
        <f>爬塔!X11</f>
        <v>4.48832334119516</v>
      </c>
      <c r="G8" s="15">
        <v>8.0913664829449</v>
      </c>
      <c r="H8" s="15">
        <f>爬塔!Y11</f>
        <v>12.8710443623019</v>
      </c>
      <c r="I8" s="16">
        <f t="shared" si="1"/>
        <v>-0.486190987988942</v>
      </c>
      <c r="J8" s="16">
        <f t="shared" si="2"/>
        <v>-0.371351208558977</v>
      </c>
    </row>
    <row r="9" ht="25" customHeight="1" spans="1:10">
      <c r="A9" s="14">
        <v>8</v>
      </c>
      <c r="B9" s="14">
        <v>54</v>
      </c>
      <c r="C9" s="14">
        <f>爬塔!J12</f>
        <v>38</v>
      </c>
      <c r="D9" s="14">
        <f t="shared" si="0"/>
        <v>-16</v>
      </c>
      <c r="E9" s="15">
        <v>9.10855714178894</v>
      </c>
      <c r="F9" s="15">
        <f>爬塔!X12</f>
        <v>4.98025069430285</v>
      </c>
      <c r="G9" s="15">
        <v>9.37235774419653</v>
      </c>
      <c r="H9" s="15">
        <f>爬塔!Y12</f>
        <v>14.208895296683</v>
      </c>
      <c r="I9" s="16">
        <f t="shared" si="1"/>
        <v>-0.453233852872914</v>
      </c>
      <c r="J9" s="16">
        <f t="shared" si="2"/>
        <v>-0.340388007054675</v>
      </c>
    </row>
    <row r="10" ht="25" customHeight="1" spans="1:10">
      <c r="A10" s="14">
        <v>9</v>
      </c>
      <c r="B10" s="14">
        <v>57</v>
      </c>
      <c r="C10" s="14">
        <f>爬塔!J13</f>
        <v>42</v>
      </c>
      <c r="D10" s="14">
        <f t="shared" si="0"/>
        <v>-15</v>
      </c>
      <c r="E10" s="15">
        <v>8.47714280647693</v>
      </c>
      <c r="F10" s="15">
        <f>爬塔!X13</f>
        <v>4.97407376976466</v>
      </c>
      <c r="G10" s="15">
        <v>8.84529420246538</v>
      </c>
      <c r="H10" s="15">
        <f>爬塔!Y13</f>
        <v>12.7504476176696</v>
      </c>
      <c r="I10" s="16">
        <f t="shared" si="1"/>
        <v>-0.413236997026376</v>
      </c>
      <c r="J10" s="16">
        <f t="shared" si="2"/>
        <v>-0.306275789862657</v>
      </c>
    </row>
    <row r="11" ht="25" customHeight="1" spans="1:10">
      <c r="A11" s="14">
        <v>10</v>
      </c>
      <c r="B11" s="14">
        <v>60</v>
      </c>
      <c r="C11" s="14">
        <f>爬塔!J14</f>
        <v>45</v>
      </c>
      <c r="D11" s="14">
        <f t="shared" si="0"/>
        <v>-15</v>
      </c>
      <c r="E11" s="15">
        <v>7.79512015028338</v>
      </c>
      <c r="F11" s="15">
        <f>爬塔!X14</f>
        <v>4.69587446465486</v>
      </c>
      <c r="G11" s="15">
        <v>8.66384869885582</v>
      </c>
      <c r="H11" s="15">
        <f>爬塔!Y14</f>
        <v>12.2727557174948</v>
      </c>
      <c r="I11" s="16">
        <f t="shared" si="1"/>
        <v>-0.397587930125215</v>
      </c>
      <c r="J11" s="16">
        <f t="shared" si="2"/>
        <v>-0.294058408862035</v>
      </c>
    </row>
    <row r="12" ht="25" customHeight="1" spans="1:10">
      <c r="A12" s="14">
        <v>11</v>
      </c>
      <c r="B12" s="14">
        <v>64</v>
      </c>
      <c r="C12" s="14">
        <f>爬塔!J15</f>
        <v>49</v>
      </c>
      <c r="D12" s="14">
        <f t="shared" si="0"/>
        <v>-15</v>
      </c>
      <c r="E12" s="15">
        <v>7.86414116417078</v>
      </c>
      <c r="F12" s="15">
        <f>爬塔!X15</f>
        <v>4.86113190290091</v>
      </c>
      <c r="G12" s="15">
        <v>8.8624957724965</v>
      </c>
      <c r="H12" s="15">
        <f>爬塔!Y15</f>
        <v>12.2951752628974</v>
      </c>
      <c r="I12" s="16">
        <f t="shared" si="1"/>
        <v>-0.381861057498771</v>
      </c>
      <c r="J12" s="16">
        <f t="shared" si="2"/>
        <v>-0.27918914671835</v>
      </c>
    </row>
    <row r="13" ht="25" customHeight="1" spans="1:10">
      <c r="A13" s="14">
        <v>12</v>
      </c>
      <c r="B13" s="14">
        <v>69</v>
      </c>
      <c r="C13" s="14">
        <f>爬塔!J16</f>
        <v>52</v>
      </c>
      <c r="D13" s="14">
        <f t="shared" si="0"/>
        <v>-17</v>
      </c>
      <c r="E13" s="15">
        <v>9.11606596323047</v>
      </c>
      <c r="F13" s="15">
        <f>爬塔!X16</f>
        <v>5.39211902126269</v>
      </c>
      <c r="G13" s="15">
        <v>9.23823083881657</v>
      </c>
      <c r="H13" s="15">
        <f>爬塔!Y16</f>
        <v>13.1275964623987</v>
      </c>
      <c r="I13" s="16">
        <f t="shared" si="1"/>
        <v>-0.408503729238936</v>
      </c>
      <c r="J13" s="16">
        <f t="shared" si="2"/>
        <v>-0.296274008324557</v>
      </c>
    </row>
    <row r="14" ht="25" customHeight="1" spans="1:10">
      <c r="A14" s="14">
        <v>13</v>
      </c>
      <c r="B14" s="14">
        <v>73</v>
      </c>
      <c r="C14" s="14">
        <f>爬塔!J17</f>
        <v>56</v>
      </c>
      <c r="D14" s="14">
        <f t="shared" si="0"/>
        <v>-17</v>
      </c>
      <c r="E14" s="15">
        <v>7.36267508849558</v>
      </c>
      <c r="F14" s="15">
        <f>爬塔!X17</f>
        <v>4.48407366674978</v>
      </c>
      <c r="G14" s="15">
        <v>9.15868254112153</v>
      </c>
      <c r="H14" s="15">
        <f>爬塔!Y17</f>
        <v>12.7829980967395</v>
      </c>
      <c r="I14" s="16">
        <f t="shared" si="1"/>
        <v>-0.390972219627579</v>
      </c>
      <c r="J14" s="16">
        <f t="shared" si="2"/>
        <v>-0.283526253245895</v>
      </c>
    </row>
    <row r="15" ht="25" customHeight="1" spans="1:10">
      <c r="A15" s="14">
        <v>14</v>
      </c>
      <c r="B15" s="14">
        <v>78</v>
      </c>
      <c r="C15" s="14">
        <f>爬塔!J18</f>
        <v>59</v>
      </c>
      <c r="D15" s="14">
        <f t="shared" si="0"/>
        <v>-19</v>
      </c>
      <c r="E15" s="15">
        <v>9.44577716161108</v>
      </c>
      <c r="F15" s="15">
        <f>爬塔!X18</f>
        <v>5.49343234525698</v>
      </c>
      <c r="G15" s="15">
        <v>10.3037882854288</v>
      </c>
      <c r="H15" s="15">
        <f>爬塔!Y18</f>
        <v>14.6975756841944</v>
      </c>
      <c r="I15" s="16">
        <f t="shared" si="1"/>
        <v>-0.418424524391383</v>
      </c>
      <c r="J15" s="16">
        <f t="shared" si="2"/>
        <v>-0.298946404031151</v>
      </c>
    </row>
    <row r="16" ht="25" customHeight="1" spans="1:10">
      <c r="A16" s="14">
        <v>15</v>
      </c>
      <c r="B16" s="14">
        <v>82</v>
      </c>
      <c r="C16" s="14">
        <f>爬塔!J19</f>
        <v>63</v>
      </c>
      <c r="D16" s="14">
        <f t="shared" si="0"/>
        <v>-19</v>
      </c>
      <c r="E16" s="15">
        <v>9.17402404172147</v>
      </c>
      <c r="F16" s="15">
        <f>爬塔!X19</f>
        <v>5.45094045359714</v>
      </c>
      <c r="G16" s="15">
        <v>10.0405634017709</v>
      </c>
      <c r="H16" s="15">
        <f>爬塔!Y19</f>
        <v>14.1013901372043</v>
      </c>
      <c r="I16" s="16">
        <f t="shared" si="1"/>
        <v>-0.405828845792485</v>
      </c>
      <c r="J16" s="16">
        <f t="shared" si="2"/>
        <v>-0.287973504450424</v>
      </c>
    </row>
    <row r="17" ht="25" customHeight="1" spans="1:10">
      <c r="A17" s="14">
        <v>16</v>
      </c>
      <c r="B17" s="14">
        <v>86</v>
      </c>
      <c r="C17" s="14">
        <f>爬塔!J20</f>
        <v>66</v>
      </c>
      <c r="D17" s="14">
        <f t="shared" si="0"/>
        <v>-20</v>
      </c>
      <c r="E17" s="15">
        <v>9.89317266805316</v>
      </c>
      <c r="F17" s="15">
        <f>爬塔!X20</f>
        <v>5.79762215773365</v>
      </c>
      <c r="G17" s="15">
        <v>10.1766897034662</v>
      </c>
      <c r="H17" s="15">
        <f>爬塔!Y20</f>
        <v>14.3625437970641</v>
      </c>
      <c r="I17" s="16">
        <f t="shared" si="1"/>
        <v>-0.413977461805026</v>
      </c>
      <c r="J17" s="16">
        <f t="shared" si="2"/>
        <v>-0.291442390202043</v>
      </c>
    </row>
    <row r="18" ht="25" customHeight="1" spans="1:10">
      <c r="A18" s="14">
        <v>17</v>
      </c>
      <c r="B18" s="14">
        <v>91</v>
      </c>
      <c r="C18" s="14">
        <f>爬塔!J21</f>
        <v>70</v>
      </c>
      <c r="D18" s="14">
        <f t="shared" si="0"/>
        <v>-21</v>
      </c>
      <c r="E18" s="15">
        <v>10.1799454077605</v>
      </c>
      <c r="F18" s="15">
        <f>爬塔!X21</f>
        <v>5.92498147331118</v>
      </c>
      <c r="G18" s="15">
        <v>10.2318611683992</v>
      </c>
      <c r="H18" s="15">
        <f>爬塔!Y21</f>
        <v>14.459310810805</v>
      </c>
      <c r="I18" s="16">
        <f t="shared" si="1"/>
        <v>-0.417975123049837</v>
      </c>
      <c r="J18" s="16">
        <f t="shared" si="2"/>
        <v>-0.29236868186323</v>
      </c>
    </row>
    <row r="19" ht="25" customHeight="1" spans="1:10">
      <c r="A19" s="14">
        <v>18</v>
      </c>
      <c r="B19" s="14">
        <v>95</v>
      </c>
      <c r="C19" s="14">
        <f>爬塔!J22</f>
        <v>73</v>
      </c>
      <c r="D19" s="14">
        <f t="shared" si="0"/>
        <v>-22</v>
      </c>
      <c r="E19" s="15">
        <v>9.16358056470652</v>
      </c>
      <c r="F19" s="15">
        <f>爬塔!X22</f>
        <v>5.30523278272904</v>
      </c>
      <c r="G19" s="15">
        <v>10.4440762956241</v>
      </c>
      <c r="H19" s="15">
        <f>爬塔!Y22</f>
        <v>14.8292050184225</v>
      </c>
      <c r="I19" s="16">
        <f t="shared" si="1"/>
        <v>-0.421052421019562</v>
      </c>
      <c r="J19" s="16">
        <f t="shared" si="2"/>
        <v>-0.295708955223878</v>
      </c>
    </row>
    <row r="20" ht="25" customHeight="1" spans="1:10">
      <c r="A20" s="14">
        <v>19</v>
      </c>
      <c r="B20" s="14">
        <v>100</v>
      </c>
      <c r="C20" s="14">
        <f>爬塔!J23</f>
        <v>77</v>
      </c>
      <c r="D20" s="14">
        <f t="shared" si="0"/>
        <v>-23</v>
      </c>
      <c r="E20" s="15">
        <v>10.6118938737652</v>
      </c>
      <c r="F20" s="15">
        <f>爬塔!X23</f>
        <v>6.0703812065566</v>
      </c>
      <c r="G20" s="15">
        <v>10.8418845680597</v>
      </c>
      <c r="H20" s="15">
        <f>爬塔!Y23</f>
        <v>15.4276647358998</v>
      </c>
      <c r="I20" s="16">
        <f t="shared" si="1"/>
        <v>-0.427964388000163</v>
      </c>
      <c r="J20" s="16">
        <f t="shared" si="2"/>
        <v>-0.297243960530794</v>
      </c>
    </row>
    <row r="21" ht="25" customHeight="1" spans="1:10">
      <c r="A21" s="14">
        <v>20</v>
      </c>
      <c r="B21" s="14">
        <v>104</v>
      </c>
      <c r="C21" s="14">
        <f>爬塔!J24</f>
        <v>80</v>
      </c>
      <c r="D21" s="14">
        <f t="shared" si="0"/>
        <v>-24</v>
      </c>
      <c r="E21" s="15">
        <v>9.21487583796976</v>
      </c>
      <c r="F21" s="15">
        <f>爬塔!X24</f>
        <v>5.25438456730994</v>
      </c>
      <c r="G21" s="15">
        <v>10.0613818487085</v>
      </c>
      <c r="H21" s="15">
        <f>爬塔!Y24</f>
        <v>14.3854811306265</v>
      </c>
      <c r="I21" s="16">
        <f t="shared" si="1"/>
        <v>-0.429793232193176</v>
      </c>
      <c r="J21" s="16">
        <f t="shared" si="2"/>
        <v>-0.300587741393789</v>
      </c>
    </row>
    <row r="22" ht="25" customHeight="1" spans="1:10">
      <c r="A22" s="14">
        <v>21</v>
      </c>
      <c r="B22" s="14">
        <v>107</v>
      </c>
      <c r="C22" s="14">
        <f>爬塔!J25</f>
        <v>84</v>
      </c>
      <c r="D22" s="14">
        <f t="shared" si="0"/>
        <v>-23</v>
      </c>
      <c r="E22" s="15">
        <v>10.7302439982058</v>
      </c>
      <c r="F22" s="15">
        <f>爬塔!X25</f>
        <v>6.28764697795124</v>
      </c>
      <c r="G22" s="15">
        <v>10.9488300963556</v>
      </c>
      <c r="H22" s="15">
        <f>爬塔!Y25</f>
        <v>15.273377426316</v>
      </c>
      <c r="I22" s="16">
        <f t="shared" si="1"/>
        <v>-0.414025722154818</v>
      </c>
      <c r="J22" s="16">
        <f t="shared" si="2"/>
        <v>-0.283142831428316</v>
      </c>
    </row>
    <row r="23" ht="25" customHeight="1" spans="1:10">
      <c r="A23" s="14">
        <v>22</v>
      </c>
      <c r="B23" s="14">
        <v>111</v>
      </c>
      <c r="C23" s="14">
        <f>爬塔!J26</f>
        <v>88</v>
      </c>
      <c r="D23" s="14">
        <f t="shared" si="0"/>
        <v>-23</v>
      </c>
      <c r="E23" s="15">
        <v>10.4011487793987</v>
      </c>
      <c r="F23" s="15">
        <f>爬塔!X26</f>
        <v>6.18458698447759</v>
      </c>
      <c r="G23" s="15">
        <v>10.7228952559359</v>
      </c>
      <c r="H23" s="15">
        <f>爬塔!Y26</f>
        <v>14.8099622240915</v>
      </c>
      <c r="I23" s="16">
        <f t="shared" si="1"/>
        <v>-0.405393854501221</v>
      </c>
      <c r="J23" s="16">
        <f t="shared" si="2"/>
        <v>-0.275967413441957</v>
      </c>
    </row>
    <row r="24" ht="25" customHeight="1" spans="1:10">
      <c r="A24" s="14">
        <v>23</v>
      </c>
      <c r="B24" s="14">
        <v>114</v>
      </c>
      <c r="C24" s="14">
        <f>爬塔!J27</f>
        <v>92</v>
      </c>
      <c r="D24" s="14">
        <f t="shared" si="0"/>
        <v>-22</v>
      </c>
      <c r="E24" s="15">
        <v>11.2296013165847</v>
      </c>
      <c r="F24" s="15">
        <f>爬塔!X27</f>
        <v>6.8768954720735</v>
      </c>
      <c r="G24" s="15">
        <v>12.0317196377704</v>
      </c>
      <c r="H24" s="15">
        <f>爬塔!Y27</f>
        <v>16.2592206901923</v>
      </c>
      <c r="I24" s="16">
        <f t="shared" si="1"/>
        <v>-0.38761000696283</v>
      </c>
      <c r="J24" s="16">
        <f t="shared" si="2"/>
        <v>-0.260006376257135</v>
      </c>
    </row>
    <row r="25" ht="25" customHeight="1" spans="1:10">
      <c r="A25" s="14">
        <v>24</v>
      </c>
      <c r="B25" s="14">
        <v>117</v>
      </c>
      <c r="C25" s="14">
        <f>爬塔!J28</f>
        <v>96</v>
      </c>
      <c r="D25" s="14">
        <f t="shared" si="0"/>
        <v>-21</v>
      </c>
      <c r="E25" s="15">
        <v>11.0457681453635</v>
      </c>
      <c r="F25" s="15">
        <f>爬塔!X28</f>
        <v>6.98491867712292</v>
      </c>
      <c r="G25" s="15">
        <v>13.0520433360235</v>
      </c>
      <c r="H25" s="15">
        <f>爬塔!Y28</f>
        <v>17.2747632388546</v>
      </c>
      <c r="I25" s="16">
        <f t="shared" si="1"/>
        <v>-0.367638485146471</v>
      </c>
      <c r="J25" s="16">
        <f t="shared" si="2"/>
        <v>-0.244444444444444</v>
      </c>
    </row>
    <row r="26" ht="25" customHeight="1" spans="1:10">
      <c r="A26" s="14">
        <v>25</v>
      </c>
      <c r="B26" s="14">
        <v>121</v>
      </c>
      <c r="C26" s="14">
        <f>爬塔!J29</f>
        <v>100</v>
      </c>
      <c r="D26" s="14">
        <f t="shared" si="0"/>
        <v>-21</v>
      </c>
      <c r="E26" s="15">
        <v>10.6757642657763</v>
      </c>
      <c r="F26" s="15">
        <f>爬塔!X29</f>
        <v>6.82571301311966</v>
      </c>
      <c r="G26" s="15">
        <v>12.7012776125098</v>
      </c>
      <c r="H26" s="15">
        <f>爬塔!Y29</f>
        <v>16.686459011745</v>
      </c>
      <c r="I26" s="16">
        <f t="shared" si="1"/>
        <v>-0.360634719614303</v>
      </c>
      <c r="J26" s="16">
        <f t="shared" si="2"/>
        <v>-0.238827266853331</v>
      </c>
    </row>
    <row r="27" ht="25" customHeight="1" spans="1:10">
      <c r="A27" s="14">
        <v>26</v>
      </c>
      <c r="B27" s="14">
        <v>124</v>
      </c>
      <c r="C27" s="14">
        <f>爬塔!J30</f>
        <v>104</v>
      </c>
      <c r="D27" s="14">
        <f t="shared" si="0"/>
        <v>-20</v>
      </c>
      <c r="E27" s="15">
        <v>9.78918364817184</v>
      </c>
      <c r="F27" s="15">
        <f>爬塔!X30</f>
        <v>6.46244861037349</v>
      </c>
      <c r="G27" s="15">
        <v>11.8403857340178</v>
      </c>
      <c r="H27" s="15">
        <f>爬塔!Y30</f>
        <v>15.2681830664756</v>
      </c>
      <c r="I27" s="16">
        <f t="shared" si="1"/>
        <v>-0.339837841168669</v>
      </c>
      <c r="J27" s="16">
        <f t="shared" si="2"/>
        <v>-0.224505909939226</v>
      </c>
    </row>
    <row r="28" ht="25" customHeight="1" spans="1:10">
      <c r="A28" s="14">
        <v>27</v>
      </c>
      <c r="B28" s="14">
        <v>127</v>
      </c>
      <c r="C28" s="14">
        <f>爬塔!J31</f>
        <v>108</v>
      </c>
      <c r="D28" s="14">
        <f t="shared" si="0"/>
        <v>-19</v>
      </c>
      <c r="E28" s="15">
        <v>11.2699068905005</v>
      </c>
      <c r="F28" s="15">
        <f>爬塔!X31</f>
        <v>7.61062285422892</v>
      </c>
      <c r="G28" s="15">
        <v>13.348705673548</v>
      </c>
      <c r="H28" s="15">
        <f>爬塔!Y31</f>
        <v>16.9098351075849</v>
      </c>
      <c r="I28" s="16">
        <f t="shared" si="1"/>
        <v>-0.324695143609041</v>
      </c>
      <c r="J28" s="16">
        <f t="shared" si="2"/>
        <v>-0.210595160235451</v>
      </c>
    </row>
    <row r="29" ht="25" customHeight="1" spans="1:10">
      <c r="A29" s="14">
        <v>28</v>
      </c>
      <c r="B29" s="14">
        <v>130</v>
      </c>
      <c r="C29" s="14">
        <f>爬塔!J32</f>
        <v>112</v>
      </c>
      <c r="D29" s="14">
        <f t="shared" si="0"/>
        <v>-18</v>
      </c>
      <c r="E29" s="15">
        <v>11.4499539078052</v>
      </c>
      <c r="F29" s="15">
        <f>爬塔!X32</f>
        <v>7.93770121473032</v>
      </c>
      <c r="G29" s="15">
        <v>13.0074761927164</v>
      </c>
      <c r="H29" s="15">
        <f>爬塔!Y32</f>
        <v>16.2001513585716</v>
      </c>
      <c r="I29" s="16">
        <f t="shared" si="1"/>
        <v>-0.306748194914623</v>
      </c>
      <c r="J29" s="16">
        <f t="shared" si="2"/>
        <v>-0.197076872628471</v>
      </c>
    </row>
    <row r="30" ht="25" customHeight="1" spans="1:10">
      <c r="A30" s="14">
        <v>29</v>
      </c>
      <c r="B30" s="14">
        <v>134</v>
      </c>
      <c r="C30" s="14">
        <f>爬塔!J33</f>
        <v>116</v>
      </c>
      <c r="D30" s="14">
        <f t="shared" si="0"/>
        <v>-18</v>
      </c>
      <c r="E30" s="15">
        <v>10.2520919490385</v>
      </c>
      <c r="F30" s="15">
        <f>爬塔!X33</f>
        <v>7.17537105969881</v>
      </c>
      <c r="G30" s="15">
        <v>12.8263142375498</v>
      </c>
      <c r="H30" s="15">
        <f>爬塔!Y33</f>
        <v>15.8938869681519</v>
      </c>
      <c r="I30" s="16">
        <f t="shared" si="1"/>
        <v>-0.300106642101297</v>
      </c>
      <c r="J30" s="16">
        <f t="shared" si="2"/>
        <v>-0.193003306035136</v>
      </c>
    </row>
    <row r="31" ht="25" customHeight="1" spans="1:10">
      <c r="A31" s="14">
        <v>30</v>
      </c>
      <c r="B31" s="14">
        <v>137</v>
      </c>
      <c r="C31" s="14">
        <f>爬塔!J34</f>
        <v>120</v>
      </c>
      <c r="D31" s="14">
        <f t="shared" si="0"/>
        <v>-17</v>
      </c>
      <c r="E31" s="15">
        <v>10.3160654539509</v>
      </c>
      <c r="F31" s="15">
        <f>爬塔!X34</f>
        <v>7.40766118768522</v>
      </c>
      <c r="G31" s="15">
        <v>13.393509199702</v>
      </c>
      <c r="H31" s="15">
        <f>爬塔!Y34</f>
        <v>16.3391484734676</v>
      </c>
      <c r="I31" s="16">
        <f t="shared" si="1"/>
        <v>-0.281929605744388</v>
      </c>
      <c r="J31" s="16">
        <f t="shared" si="2"/>
        <v>-0.180281076369976</v>
      </c>
    </row>
    <row r="32" ht="25" customHeight="1" spans="1:10">
      <c r="A32" s="14">
        <v>31</v>
      </c>
      <c r="B32" s="14">
        <v>140</v>
      </c>
      <c r="C32" s="14">
        <f>爬塔!J35</f>
        <v>124</v>
      </c>
      <c r="D32" s="14">
        <f t="shared" si="0"/>
        <v>-16</v>
      </c>
      <c r="E32" s="15">
        <v>10.435434777637</v>
      </c>
      <c r="F32" s="15">
        <f>爬塔!X35</f>
        <v>7.67634113656579</v>
      </c>
      <c r="G32" s="15">
        <v>13.5709269381506</v>
      </c>
      <c r="H32" s="15">
        <f>爬塔!Y35</f>
        <v>16.3089330129552</v>
      </c>
      <c r="I32" s="16">
        <f t="shared" si="1"/>
        <v>-0.264396615940134</v>
      </c>
      <c r="J32" s="16">
        <f t="shared" si="2"/>
        <v>-0.167883826160158</v>
      </c>
    </row>
    <row r="33" ht="25" customHeight="1" spans="1:10">
      <c r="A33" s="14">
        <v>32</v>
      </c>
      <c r="B33" s="14">
        <v>143</v>
      </c>
      <c r="C33" s="14">
        <f>爬塔!J36</f>
        <v>128</v>
      </c>
      <c r="D33" s="14">
        <f t="shared" si="0"/>
        <v>-15</v>
      </c>
      <c r="E33" s="15">
        <v>11.2710984687078</v>
      </c>
      <c r="F33" s="15">
        <f>爬塔!X36</f>
        <v>8.47845678337194</v>
      </c>
      <c r="G33" s="15">
        <v>14.095414609408</v>
      </c>
      <c r="H33" s="15">
        <f>爬塔!Y36</f>
        <v>16.6939671346207</v>
      </c>
      <c r="I33" s="16">
        <f t="shared" si="1"/>
        <v>-0.247770143530298</v>
      </c>
      <c r="J33" s="16">
        <f t="shared" si="2"/>
        <v>-0.155658179045035</v>
      </c>
    </row>
    <row r="34" ht="25" customHeight="1" spans="1:10">
      <c r="A34" s="14">
        <v>33</v>
      </c>
      <c r="B34" s="14">
        <v>146</v>
      </c>
      <c r="C34" s="14">
        <f>爬塔!J37</f>
        <v>132</v>
      </c>
      <c r="D34" s="14">
        <f t="shared" si="0"/>
        <v>-14</v>
      </c>
      <c r="E34" s="15">
        <v>10.6585052193572</v>
      </c>
      <c r="F34" s="15">
        <f>爬塔!X37</f>
        <v>8.20968320616458</v>
      </c>
      <c r="G34" s="15">
        <v>13.8147538532296</v>
      </c>
      <c r="H34" s="15">
        <f>爬塔!Y37</f>
        <v>16.1335219131779</v>
      </c>
      <c r="I34" s="16">
        <f t="shared" si="1"/>
        <v>-0.229752855845606</v>
      </c>
      <c r="J34" s="16">
        <f t="shared" si="2"/>
        <v>-0.143723613010641</v>
      </c>
    </row>
    <row r="35" ht="25" customHeight="1" spans="1:10">
      <c r="A35" s="14">
        <v>34</v>
      </c>
      <c r="B35" s="14">
        <v>149</v>
      </c>
      <c r="C35" s="14">
        <f>爬塔!J38</f>
        <v>136</v>
      </c>
      <c r="D35" s="14">
        <f t="shared" si="0"/>
        <v>-13</v>
      </c>
      <c r="E35" s="15">
        <v>10.9215582683434</v>
      </c>
      <c r="F35" s="15">
        <f>爬塔!X38</f>
        <v>8.59932848628803</v>
      </c>
      <c r="G35" s="15">
        <v>13.7709989729482</v>
      </c>
      <c r="H35" s="15">
        <f>爬塔!Y38</f>
        <v>15.8686287774144</v>
      </c>
      <c r="I35" s="16">
        <f t="shared" si="1"/>
        <v>-0.212628063230359</v>
      </c>
      <c r="J35" s="16">
        <f t="shared" si="2"/>
        <v>-0.132187212511502</v>
      </c>
    </row>
    <row r="36" ht="25" customHeight="1" spans="1:10">
      <c r="A36" s="14">
        <v>35</v>
      </c>
      <c r="B36" s="14">
        <v>152</v>
      </c>
      <c r="C36" s="14">
        <f>爬塔!J39</f>
        <v>140</v>
      </c>
      <c r="D36" s="14">
        <f t="shared" si="0"/>
        <v>-12</v>
      </c>
      <c r="E36" s="15">
        <v>11.4224000554252</v>
      </c>
      <c r="F36" s="15">
        <f>爬塔!X39</f>
        <v>9.18060034514453</v>
      </c>
      <c r="G36" s="15">
        <v>14.6232099732788</v>
      </c>
      <c r="H36" s="15">
        <f>爬塔!Y39</f>
        <v>16.6324936486813</v>
      </c>
      <c r="I36" s="16">
        <f t="shared" si="1"/>
        <v>-0.196263455963959</v>
      </c>
      <c r="J36" s="16">
        <f t="shared" si="2"/>
        <v>-0.120804716228573</v>
      </c>
    </row>
    <row r="37" ht="25" customHeight="1" spans="1:10">
      <c r="A37" s="14">
        <v>36</v>
      </c>
      <c r="B37" s="14">
        <v>155</v>
      </c>
      <c r="C37" s="14">
        <f>爬塔!J40</f>
        <v>144</v>
      </c>
      <c r="D37" s="14">
        <f t="shared" si="0"/>
        <v>-11</v>
      </c>
      <c r="E37" s="15">
        <v>11.0658374421036</v>
      </c>
      <c r="F37" s="15">
        <f>爬塔!X40</f>
        <v>9.0871119941826</v>
      </c>
      <c r="G37" s="15">
        <v>14.0354941022917</v>
      </c>
      <c r="H37" s="15">
        <f>爬塔!Y40</f>
        <v>15.7640790061421</v>
      </c>
      <c r="I37" s="16">
        <f t="shared" si="1"/>
        <v>-0.178813890794409</v>
      </c>
      <c r="J37" s="16">
        <f t="shared" si="2"/>
        <v>-0.109653402725074</v>
      </c>
    </row>
    <row r="38" ht="25" customHeight="1" spans="1:10">
      <c r="A38" s="14">
        <v>37</v>
      </c>
      <c r="B38" s="14">
        <v>158</v>
      </c>
      <c r="C38" s="14">
        <f>爬塔!J41</f>
        <v>148</v>
      </c>
      <c r="D38" s="14">
        <f t="shared" si="0"/>
        <v>-10</v>
      </c>
      <c r="E38" s="15">
        <v>12.0621658655487</v>
      </c>
      <c r="F38" s="15">
        <f>爬塔!X41</f>
        <v>10.0928997353345</v>
      </c>
      <c r="G38" s="15">
        <v>15.0737083595409</v>
      </c>
      <c r="H38" s="15">
        <f>爬塔!Y41</f>
        <v>16.7264011250826</v>
      </c>
      <c r="I38" s="16">
        <f t="shared" si="1"/>
        <v>-0.163259745568472</v>
      </c>
      <c r="J38" s="16">
        <f t="shared" si="2"/>
        <v>-0.0988074334211275</v>
      </c>
    </row>
    <row r="39" ht="25" customHeight="1" spans="1:10">
      <c r="A39" s="14">
        <v>38</v>
      </c>
      <c r="B39" s="14">
        <v>161</v>
      </c>
      <c r="C39" s="14">
        <f>爬塔!J42</f>
        <v>152</v>
      </c>
      <c r="D39" s="14">
        <f t="shared" si="0"/>
        <v>-9</v>
      </c>
      <c r="E39" s="15">
        <v>10.1358643396099</v>
      </c>
      <c r="F39" s="15">
        <f>爬塔!X42</f>
        <v>8.66732878094757</v>
      </c>
      <c r="G39" s="15">
        <v>14.0903128794409</v>
      </c>
      <c r="H39" s="15">
        <f>爬塔!Y42</f>
        <v>15.4529568290518</v>
      </c>
      <c r="I39" s="16">
        <f t="shared" si="1"/>
        <v>-0.144885084237311</v>
      </c>
      <c r="J39" s="16">
        <f t="shared" si="2"/>
        <v>-0.0881801434304879</v>
      </c>
    </row>
    <row r="40" ht="25" customHeight="1" spans="1:10">
      <c r="A40" s="14">
        <v>39</v>
      </c>
      <c r="B40" s="14">
        <v>164</v>
      </c>
      <c r="C40" s="14">
        <f>爬塔!J43</f>
        <v>156</v>
      </c>
      <c r="D40" s="14">
        <f t="shared" si="0"/>
        <v>-8</v>
      </c>
      <c r="E40" s="15">
        <v>10.6461672336972</v>
      </c>
      <c r="F40" s="15">
        <f>爬塔!X43</f>
        <v>9.27200788953096</v>
      </c>
      <c r="G40" s="15">
        <v>14.4324412765497</v>
      </c>
      <c r="H40" s="15">
        <f>爬塔!Y43</f>
        <v>15.6477628086722</v>
      </c>
      <c r="I40" s="16">
        <f t="shared" si="1"/>
        <v>-0.129075498627972</v>
      </c>
      <c r="J40" s="16">
        <f t="shared" si="2"/>
        <v>-0.0776674306086094</v>
      </c>
    </row>
    <row r="41" ht="25" customHeight="1" spans="1:10">
      <c r="A41" s="14">
        <v>40</v>
      </c>
      <c r="B41" s="14">
        <v>167</v>
      </c>
      <c r="C41" s="14">
        <f>爬塔!J44</f>
        <v>160</v>
      </c>
      <c r="D41" s="14">
        <f t="shared" si="0"/>
        <v>-7</v>
      </c>
      <c r="E41" s="15">
        <v>11.0730458051177</v>
      </c>
      <c r="F41" s="15">
        <f>爬塔!X44</f>
        <v>9.82404018164523</v>
      </c>
      <c r="G41" s="15">
        <v>15.7613528937623</v>
      </c>
      <c r="H41" s="15">
        <f>爬塔!Y44</f>
        <v>16.9004652509661</v>
      </c>
      <c r="I41" s="16">
        <f t="shared" si="1"/>
        <v>-0.112796934597273</v>
      </c>
      <c r="J41" s="16">
        <f t="shared" si="2"/>
        <v>-0.0674012425272543</v>
      </c>
    </row>
    <row r="42" ht="25" customHeight="1" spans="1:10">
      <c r="A42" s="14">
        <v>41</v>
      </c>
      <c r="B42" s="14">
        <v>170</v>
      </c>
      <c r="C42" s="14">
        <f>爬塔!J45</f>
        <v>164</v>
      </c>
      <c r="D42" s="14">
        <f t="shared" si="0"/>
        <v>-6</v>
      </c>
      <c r="E42" s="15">
        <v>11.530243808811</v>
      </c>
      <c r="F42" s="15">
        <f>爬塔!X45</f>
        <v>10.4135864424418</v>
      </c>
      <c r="G42" s="15">
        <v>16.1218172188679</v>
      </c>
      <c r="H42" s="15">
        <f>爬塔!Y45</f>
        <v>17.1023928636649</v>
      </c>
      <c r="I42" s="16">
        <f t="shared" si="1"/>
        <v>-0.0968459457479889</v>
      </c>
      <c r="J42" s="16">
        <f t="shared" si="2"/>
        <v>-0.0573355817875202</v>
      </c>
    </row>
    <row r="43" ht="25" customHeight="1" spans="1:10">
      <c r="A43" s="14">
        <v>42</v>
      </c>
      <c r="B43" s="14">
        <v>173</v>
      </c>
      <c r="C43" s="14">
        <f>爬塔!J46</f>
        <v>167</v>
      </c>
      <c r="D43" s="14">
        <f t="shared" si="0"/>
        <v>-6</v>
      </c>
      <c r="E43" s="15">
        <v>10.7163921589406</v>
      </c>
      <c r="F43" s="15">
        <f>爬塔!X46</f>
        <v>9.69261373819195</v>
      </c>
      <c r="G43" s="15">
        <v>16.3932767719281</v>
      </c>
      <c r="H43" s="15">
        <f>爬塔!Y46</f>
        <v>17.378620110809</v>
      </c>
      <c r="I43" s="16">
        <f t="shared" si="1"/>
        <v>-0.0955338705008587</v>
      </c>
      <c r="J43" s="16">
        <f t="shared" si="2"/>
        <v>-0.0566985947444721</v>
      </c>
    </row>
    <row r="44" ht="25" customHeight="1" spans="1:10">
      <c r="A44" s="14">
        <v>43</v>
      </c>
      <c r="B44" s="14">
        <v>176</v>
      </c>
      <c r="C44" s="14">
        <f>爬塔!J47</f>
        <v>171</v>
      </c>
      <c r="D44" s="14">
        <f t="shared" si="0"/>
        <v>-5</v>
      </c>
      <c r="E44" s="15">
        <v>11.4498410544805</v>
      </c>
      <c r="F44" s="15">
        <f>爬塔!X47</f>
        <v>10.5369511077408</v>
      </c>
      <c r="G44" s="15">
        <v>16.4555029111947</v>
      </c>
      <c r="H44" s="15">
        <f>爬塔!Y47</f>
        <v>17.2663945289574</v>
      </c>
      <c r="I44" s="16">
        <f t="shared" si="1"/>
        <v>-0.0797294864091094</v>
      </c>
      <c r="J44" s="16">
        <f t="shared" si="2"/>
        <v>-0.0469635751924199</v>
      </c>
    </row>
    <row r="45" ht="25" customHeight="1" spans="1:10">
      <c r="A45" s="14">
        <v>44</v>
      </c>
      <c r="B45" s="14">
        <v>179</v>
      </c>
      <c r="C45" s="14">
        <f>爬塔!J48</f>
        <v>174</v>
      </c>
      <c r="D45" s="14">
        <f t="shared" si="0"/>
        <v>-5</v>
      </c>
      <c r="E45" s="15">
        <v>11.4596616411063</v>
      </c>
      <c r="F45" s="15">
        <f>爬塔!X48</f>
        <v>10.5540776349439</v>
      </c>
      <c r="G45" s="15">
        <v>16.5879699439707</v>
      </c>
      <c r="H45" s="15">
        <f>爬塔!Y48</f>
        <v>17.3947597442703</v>
      </c>
      <c r="I45" s="16">
        <f t="shared" si="1"/>
        <v>-0.0790236251752884</v>
      </c>
      <c r="J45" s="16">
        <f t="shared" si="2"/>
        <v>-0.0463811982551435</v>
      </c>
    </row>
    <row r="46" ht="25" customHeight="1" spans="1:10">
      <c r="A46" s="14">
        <v>45</v>
      </c>
      <c r="B46" s="14">
        <v>182</v>
      </c>
      <c r="C46" s="14">
        <f>爬塔!J49</f>
        <v>178</v>
      </c>
      <c r="D46" s="14">
        <f t="shared" si="0"/>
        <v>-4</v>
      </c>
      <c r="E46" s="15">
        <v>10.2297485202165</v>
      </c>
      <c r="F46" s="15">
        <f>爬塔!X49</f>
        <v>9.5893870381361</v>
      </c>
      <c r="G46" s="15">
        <v>15.9909190500114</v>
      </c>
      <c r="H46" s="15">
        <f>爬塔!Y49</f>
        <v>16.6029884465113</v>
      </c>
      <c r="I46" s="16">
        <f t="shared" si="1"/>
        <v>-0.0625979691304127</v>
      </c>
      <c r="J46" s="16">
        <f t="shared" si="2"/>
        <v>-0.0368650136974874</v>
      </c>
    </row>
    <row r="47" ht="25" customHeight="1" spans="1:10">
      <c r="A47" s="14">
        <v>46</v>
      </c>
      <c r="B47" s="14">
        <v>184</v>
      </c>
      <c r="C47" s="14">
        <f>爬塔!J50</f>
        <v>182</v>
      </c>
      <c r="D47" s="14">
        <f t="shared" si="0"/>
        <v>-2</v>
      </c>
      <c r="E47" s="15">
        <v>11.1647582683711</v>
      </c>
      <c r="F47" s="15">
        <f>爬塔!X50</f>
        <v>10.8111835485266</v>
      </c>
      <c r="G47" s="15">
        <v>17.6536593276554</v>
      </c>
      <c r="H47" s="15">
        <f>爬塔!Y50</f>
        <v>17.9846985439706</v>
      </c>
      <c r="I47" s="16">
        <f t="shared" si="1"/>
        <v>-0.031668819991034</v>
      </c>
      <c r="J47" s="16">
        <f t="shared" si="2"/>
        <v>-0.0184067147695494</v>
      </c>
    </row>
    <row r="48" ht="25" customHeight="1" spans="1:10">
      <c r="A48" s="14">
        <v>47</v>
      </c>
      <c r="B48" s="14">
        <v>187</v>
      </c>
      <c r="C48" s="14">
        <f>爬塔!J51</f>
        <v>185</v>
      </c>
      <c r="D48" s="14">
        <f t="shared" si="0"/>
        <v>-2</v>
      </c>
      <c r="E48" s="15">
        <v>9.93262662007781</v>
      </c>
      <c r="F48" s="15">
        <f>爬塔!X51</f>
        <v>9.62254575985689</v>
      </c>
      <c r="G48" s="15">
        <v>16.4865582285333</v>
      </c>
      <c r="H48" s="15">
        <f>爬塔!Y51</f>
        <v>16.7932663130143</v>
      </c>
      <c r="I48" s="16">
        <f t="shared" si="1"/>
        <v>-0.0312184150357698</v>
      </c>
      <c r="J48" s="16">
        <f t="shared" si="2"/>
        <v>-0.0182637539811578</v>
      </c>
    </row>
    <row r="49" ht="25" customHeight="1" spans="1:10">
      <c r="A49" s="14">
        <v>48</v>
      </c>
      <c r="B49" s="14">
        <v>190</v>
      </c>
      <c r="C49" s="14">
        <f>爬塔!J52</f>
        <v>189</v>
      </c>
      <c r="D49" s="14">
        <f t="shared" si="0"/>
        <v>-1</v>
      </c>
      <c r="E49" s="15">
        <v>10.6846953197538</v>
      </c>
      <c r="F49" s="15">
        <f>爬塔!X52</f>
        <v>10.5177789955762</v>
      </c>
      <c r="G49" s="15">
        <v>17.0450742137858</v>
      </c>
      <c r="H49" s="15">
        <f>爬塔!Y52</f>
        <v>17.2004096254782</v>
      </c>
      <c r="I49" s="16">
        <f t="shared" si="1"/>
        <v>-0.0156220013002151</v>
      </c>
      <c r="J49" s="16">
        <f t="shared" si="2"/>
        <v>-0.00903091351163421</v>
      </c>
    </row>
    <row r="50" ht="25" customHeight="1" spans="1:10">
      <c r="A50" s="14">
        <v>49</v>
      </c>
      <c r="B50" s="14">
        <v>193</v>
      </c>
      <c r="C50" s="14">
        <f>爬塔!J53</f>
        <v>192</v>
      </c>
      <c r="D50" s="14">
        <f t="shared" si="0"/>
        <v>-1</v>
      </c>
      <c r="E50" s="15">
        <v>12.0527908735751</v>
      </c>
      <c r="F50" s="15">
        <f>爬塔!X53</f>
        <v>11.8644445988787</v>
      </c>
      <c r="G50" s="15">
        <v>17.1702258550606</v>
      </c>
      <c r="H50" s="15">
        <f>爬塔!Y53</f>
        <v>17.3251421342477</v>
      </c>
      <c r="I50" s="16">
        <f t="shared" si="1"/>
        <v>-0.0156267769574729</v>
      </c>
      <c r="J50" s="16">
        <f t="shared" si="2"/>
        <v>-0.0089417032187521</v>
      </c>
    </row>
    <row r="51" ht="25" customHeight="1" spans="1:10">
      <c r="A51" s="14">
        <v>50</v>
      </c>
      <c r="B51" s="14">
        <v>196</v>
      </c>
      <c r="C51" s="14">
        <f>爬塔!J54</f>
        <v>196</v>
      </c>
      <c r="D51" s="14">
        <f t="shared" si="0"/>
        <v>0</v>
      </c>
      <c r="E51" s="15">
        <v>10.8098637482623</v>
      </c>
      <c r="F51" s="15">
        <f>爬塔!X54</f>
        <v>10.8098637482623</v>
      </c>
      <c r="G51" s="15">
        <v>17.1204548784085</v>
      </c>
      <c r="H51" s="15">
        <f>爬塔!Y54</f>
        <v>17.1204548784085</v>
      </c>
      <c r="I51" s="16">
        <f t="shared" si="1"/>
        <v>-3.77475828372553e-15</v>
      </c>
      <c r="J51" s="16">
        <f t="shared" si="2"/>
        <v>-2.88657986402541e-15</v>
      </c>
    </row>
    <row r="52" ht="25" customHeight="1" spans="1:10">
      <c r="A52" s="14">
        <v>51</v>
      </c>
      <c r="B52" s="14">
        <v>198</v>
      </c>
      <c r="C52" s="14">
        <f>爬塔!J55</f>
        <v>198</v>
      </c>
      <c r="D52" s="14">
        <f t="shared" si="0"/>
        <v>0</v>
      </c>
      <c r="E52" s="15">
        <v>9.60170873153309</v>
      </c>
      <c r="F52" s="15">
        <f>爬塔!X55</f>
        <v>9.60170873153309</v>
      </c>
      <c r="G52" s="15">
        <v>15.9241659100522</v>
      </c>
      <c r="H52" s="15">
        <f>爬塔!Y55</f>
        <v>15.9241659100522</v>
      </c>
      <c r="I52" s="16">
        <f t="shared" si="1"/>
        <v>0</v>
      </c>
      <c r="J52" s="16">
        <f t="shared" si="2"/>
        <v>-1.66533453693773e-15</v>
      </c>
    </row>
    <row r="53" ht="25" customHeight="1" spans="1:10">
      <c r="A53" s="14">
        <v>52</v>
      </c>
      <c r="B53" s="14">
        <v>201</v>
      </c>
      <c r="C53" s="14">
        <f>爬塔!J56</f>
        <v>201</v>
      </c>
      <c r="D53" s="14">
        <f t="shared" si="0"/>
        <v>0</v>
      </c>
      <c r="E53" s="15">
        <v>10.1594476611792</v>
      </c>
      <c r="F53" s="15">
        <f>爬塔!X56</f>
        <v>10.1594476611792</v>
      </c>
      <c r="G53" s="15">
        <v>16.6441428422043</v>
      </c>
      <c r="H53" s="15">
        <f>爬塔!Y56</f>
        <v>16.6441428422043</v>
      </c>
      <c r="I53" s="16">
        <f t="shared" si="1"/>
        <v>3.77475828372553e-15</v>
      </c>
      <c r="J53" s="16">
        <f t="shared" si="2"/>
        <v>-1.33226762955019e-15</v>
      </c>
    </row>
    <row r="54" ht="25" customHeight="1" spans="1:10">
      <c r="A54" s="14">
        <v>53</v>
      </c>
      <c r="B54" s="14">
        <v>203</v>
      </c>
      <c r="C54" s="14">
        <f>爬塔!J57</f>
        <v>203</v>
      </c>
      <c r="D54" s="14">
        <f t="shared" si="0"/>
        <v>0</v>
      </c>
      <c r="E54" s="15">
        <v>10.0817705744539</v>
      </c>
      <c r="F54" s="15">
        <f>爬塔!X57</f>
        <v>10.0817705744539</v>
      </c>
      <c r="G54" s="15">
        <v>16.7889952169028</v>
      </c>
      <c r="H54" s="15">
        <f>爬塔!Y57</f>
        <v>16.7889952169028</v>
      </c>
      <c r="I54" s="16">
        <f t="shared" si="1"/>
        <v>3.5527136788005e-15</v>
      </c>
      <c r="J54" s="16">
        <f t="shared" si="2"/>
        <v>2.44249065417534e-15</v>
      </c>
    </row>
    <row r="55" ht="25" customHeight="1" spans="1:10">
      <c r="A55" s="14">
        <v>54</v>
      </c>
      <c r="B55" s="14">
        <v>205</v>
      </c>
      <c r="C55" s="14">
        <f>爬塔!J58</f>
        <v>205</v>
      </c>
      <c r="D55" s="14">
        <f t="shared" si="0"/>
        <v>0</v>
      </c>
      <c r="E55" s="15">
        <v>10.1417124681757</v>
      </c>
      <c r="F55" s="15">
        <f>爬塔!X58</f>
        <v>10.1417124681757</v>
      </c>
      <c r="G55" s="15">
        <v>16.7748211250345</v>
      </c>
      <c r="H55" s="15">
        <f>爬塔!Y58</f>
        <v>16.7748211250345</v>
      </c>
      <c r="I55" s="16">
        <f t="shared" si="1"/>
        <v>-1.22124532708767e-15</v>
      </c>
      <c r="J55" s="16">
        <f t="shared" si="2"/>
        <v>2.22044604925031e-15</v>
      </c>
    </row>
    <row r="56" ht="25" customHeight="1" spans="1:10">
      <c r="A56" s="14">
        <v>55</v>
      </c>
      <c r="B56" s="14">
        <v>208</v>
      </c>
      <c r="C56" s="14">
        <f>爬塔!J59</f>
        <v>208</v>
      </c>
      <c r="D56" s="14">
        <f t="shared" si="0"/>
        <v>0</v>
      </c>
      <c r="E56" s="15">
        <v>10.8976594947199</v>
      </c>
      <c r="F56" s="15">
        <f>爬塔!X59</f>
        <v>10.8976594947199</v>
      </c>
      <c r="G56" s="15">
        <v>17.353477572298</v>
      </c>
      <c r="H56" s="15">
        <f>爬塔!Y59</f>
        <v>17.353477572298</v>
      </c>
      <c r="I56" s="16">
        <f t="shared" si="1"/>
        <v>-3.77475828372553e-15</v>
      </c>
      <c r="J56" s="16">
        <f t="shared" si="2"/>
        <v>0</v>
      </c>
    </row>
    <row r="57" ht="25" customHeight="1" spans="1:10">
      <c r="A57" s="14">
        <v>56</v>
      </c>
      <c r="B57" s="14">
        <v>210</v>
      </c>
      <c r="C57" s="14">
        <f>爬塔!J60</f>
        <v>210</v>
      </c>
      <c r="D57" s="14">
        <f t="shared" si="0"/>
        <v>0</v>
      </c>
      <c r="E57" s="15">
        <v>10.1228091733563</v>
      </c>
      <c r="F57" s="15">
        <f>爬塔!X60</f>
        <v>10.1228091733564</v>
      </c>
      <c r="G57" s="15">
        <v>16.9089942652189</v>
      </c>
      <c r="H57" s="15">
        <f>爬塔!Y60</f>
        <v>16.9089942652189</v>
      </c>
      <c r="I57" s="16">
        <f t="shared" si="1"/>
        <v>5.55111512312578e-15</v>
      </c>
      <c r="J57" s="16">
        <f t="shared" si="2"/>
        <v>-2.55351295663786e-15</v>
      </c>
    </row>
    <row r="58" ht="25" customHeight="1" spans="1:10">
      <c r="A58" s="14">
        <v>57</v>
      </c>
      <c r="B58" s="14">
        <v>212</v>
      </c>
      <c r="C58" s="14">
        <f>爬塔!J61</f>
        <v>212</v>
      </c>
      <c r="D58" s="14">
        <f t="shared" si="0"/>
        <v>0</v>
      </c>
      <c r="E58" s="15">
        <v>9.58621598919764</v>
      </c>
      <c r="F58" s="15">
        <f>爬塔!X61</f>
        <v>9.58621598919764</v>
      </c>
      <c r="G58" s="15">
        <v>16.2584070280235</v>
      </c>
      <c r="H58" s="15">
        <f>爬塔!Y61</f>
        <v>16.2584070280236</v>
      </c>
      <c r="I58" s="16">
        <f t="shared" si="1"/>
        <v>0</v>
      </c>
      <c r="J58" s="16">
        <f t="shared" si="2"/>
        <v>-3.66373598126302e-15</v>
      </c>
    </row>
    <row r="59" ht="25" customHeight="1" spans="1:10">
      <c r="A59" s="14">
        <v>58</v>
      </c>
      <c r="B59" s="14">
        <v>214</v>
      </c>
      <c r="C59" s="14">
        <f>爬塔!J62</f>
        <v>214</v>
      </c>
      <c r="D59" s="14">
        <f t="shared" si="0"/>
        <v>0</v>
      </c>
      <c r="E59" s="15">
        <v>9.60209735733869</v>
      </c>
      <c r="F59" s="15">
        <f>爬塔!X62</f>
        <v>9.60209735733867</v>
      </c>
      <c r="G59" s="15">
        <v>16.2909024168792</v>
      </c>
      <c r="H59" s="15">
        <f>爬塔!Y62</f>
        <v>16.2909024168792</v>
      </c>
      <c r="I59" s="16">
        <f t="shared" si="1"/>
        <v>-1.66533453693773e-15</v>
      </c>
      <c r="J59" s="16">
        <f t="shared" si="2"/>
        <v>0</v>
      </c>
    </row>
    <row r="60" ht="25" customHeight="1" spans="1:10">
      <c r="A60" s="14">
        <v>59</v>
      </c>
      <c r="B60" s="14">
        <v>217</v>
      </c>
      <c r="C60" s="14">
        <f>爬塔!J63</f>
        <v>217</v>
      </c>
      <c r="D60" s="14">
        <f t="shared" si="0"/>
        <v>0</v>
      </c>
      <c r="E60" s="15">
        <v>10.2671996660421</v>
      </c>
      <c r="F60" s="15">
        <f>爬塔!X63</f>
        <v>10.2671996660421</v>
      </c>
      <c r="G60" s="15">
        <v>16.9026350083476</v>
      </c>
      <c r="H60" s="15">
        <f>爬塔!Y63</f>
        <v>16.9026350083477</v>
      </c>
      <c r="I60" s="16">
        <f t="shared" si="1"/>
        <v>-4.32986979603811e-15</v>
      </c>
      <c r="J60" s="16">
        <f t="shared" si="2"/>
        <v>-3.33066907387547e-15</v>
      </c>
    </row>
    <row r="61" ht="25" customHeight="1" spans="1:10">
      <c r="A61" s="14">
        <v>60</v>
      </c>
      <c r="B61" s="14">
        <v>219</v>
      </c>
      <c r="C61" s="14">
        <f>爬塔!J64</f>
        <v>219</v>
      </c>
      <c r="D61" s="14">
        <f t="shared" si="0"/>
        <v>0</v>
      </c>
      <c r="E61" s="15">
        <v>10.9159716830819</v>
      </c>
      <c r="F61" s="15">
        <f>爬塔!X64</f>
        <v>10.9159716830819</v>
      </c>
      <c r="G61" s="15">
        <v>17.5787149944251</v>
      </c>
      <c r="H61" s="15">
        <f>爬塔!Y64</f>
        <v>17.5787149944252</v>
      </c>
      <c r="I61" s="16">
        <f t="shared" si="1"/>
        <v>-3.88578058618805e-15</v>
      </c>
      <c r="J61" s="16">
        <f t="shared" si="2"/>
        <v>-2.99760216648792e-15</v>
      </c>
    </row>
    <row r="62" ht="25" customHeight="1" spans="1:10">
      <c r="A62" s="14">
        <v>61</v>
      </c>
      <c r="B62" s="14">
        <v>221</v>
      </c>
      <c r="C62" s="14">
        <f>爬塔!J65</f>
        <v>221</v>
      </c>
      <c r="D62" s="14">
        <f t="shared" si="0"/>
        <v>0</v>
      </c>
      <c r="E62" s="15">
        <v>9.78842984200507</v>
      </c>
      <c r="F62" s="15">
        <f>爬塔!X65</f>
        <v>9.78842984200509</v>
      </c>
      <c r="G62" s="15">
        <v>16.2188223358888</v>
      </c>
      <c r="H62" s="15">
        <f>爬塔!Y65</f>
        <v>16.2188223358888</v>
      </c>
      <c r="I62" s="16">
        <f t="shared" si="1"/>
        <v>2.22044604925031e-15</v>
      </c>
      <c r="J62" s="16">
        <f t="shared" si="2"/>
        <v>0</v>
      </c>
    </row>
    <row r="63" ht="25" customHeight="1" spans="1:10">
      <c r="A63" s="14">
        <v>62</v>
      </c>
      <c r="B63" s="14">
        <v>223</v>
      </c>
      <c r="C63" s="14">
        <f>爬塔!J66</f>
        <v>223</v>
      </c>
      <c r="D63" s="14">
        <f t="shared" si="0"/>
        <v>0</v>
      </c>
      <c r="E63" s="15">
        <v>9.71499415571435</v>
      </c>
      <c r="F63" s="15">
        <f>爬塔!X66</f>
        <v>9.71499415571437</v>
      </c>
      <c r="G63" s="15">
        <v>16.3268147332401</v>
      </c>
      <c r="H63" s="15">
        <f>爬塔!Y66</f>
        <v>16.3268147332401</v>
      </c>
      <c r="I63" s="16">
        <f t="shared" si="1"/>
        <v>0</v>
      </c>
      <c r="J63" s="16">
        <f t="shared" si="2"/>
        <v>1.99840144432528e-15</v>
      </c>
    </row>
    <row r="64" ht="25" customHeight="1" spans="1:10">
      <c r="A64" s="14">
        <v>63</v>
      </c>
      <c r="B64" s="14">
        <v>225</v>
      </c>
      <c r="C64" s="14">
        <f>爬塔!J67</f>
        <v>225</v>
      </c>
      <c r="D64" s="14">
        <f t="shared" si="0"/>
        <v>0</v>
      </c>
      <c r="E64" s="15">
        <v>10.2853736519762</v>
      </c>
      <c r="F64" s="15">
        <f>爬塔!X67</f>
        <v>10.2853736519761</v>
      </c>
      <c r="G64" s="15">
        <v>17.0291167576264</v>
      </c>
      <c r="H64" s="15">
        <f>爬塔!Y67</f>
        <v>17.0291167576264</v>
      </c>
      <c r="I64" s="16">
        <f t="shared" si="1"/>
        <v>-4.88498130835069e-15</v>
      </c>
      <c r="J64" s="16">
        <f t="shared" si="2"/>
        <v>1.99840144432528e-15</v>
      </c>
    </row>
    <row r="65" ht="25" customHeight="1" spans="1:10">
      <c r="A65" s="14">
        <v>64</v>
      </c>
      <c r="B65" s="14">
        <v>227</v>
      </c>
      <c r="C65" s="14">
        <f>爬塔!J68</f>
        <v>227</v>
      </c>
      <c r="D65" s="14">
        <f t="shared" si="0"/>
        <v>0</v>
      </c>
      <c r="E65" s="15">
        <v>9.72979110088894</v>
      </c>
      <c r="F65" s="15">
        <f>爬塔!X68</f>
        <v>9.72979110088891</v>
      </c>
      <c r="G65" s="15">
        <v>16.3773676614582</v>
      </c>
      <c r="H65" s="15">
        <f>爬塔!Y68</f>
        <v>16.3773676614582</v>
      </c>
      <c r="I65" s="16">
        <f t="shared" si="1"/>
        <v>-2.77555756156289e-15</v>
      </c>
      <c r="J65" s="16">
        <f t="shared" si="2"/>
        <v>0</v>
      </c>
    </row>
    <row r="66" ht="25" customHeight="1" spans="1:10">
      <c r="A66" s="14">
        <v>65</v>
      </c>
      <c r="B66" s="14">
        <v>229</v>
      </c>
      <c r="C66" s="14">
        <f>爬塔!J69</f>
        <v>229</v>
      </c>
      <c r="D66" s="14">
        <f t="shared" ref="D66:D101" si="3">C66-B66</f>
        <v>0</v>
      </c>
      <c r="E66" s="15">
        <v>11.0366472208682</v>
      </c>
      <c r="F66" s="15">
        <f>爬塔!X69</f>
        <v>11.0366472208682</v>
      </c>
      <c r="G66" s="15">
        <v>17.6309503993359</v>
      </c>
      <c r="H66" s="15">
        <f>爬塔!Y69</f>
        <v>17.6309503993359</v>
      </c>
      <c r="I66" s="16">
        <f t="shared" ref="I66:I101" si="4">F66/E66-1</f>
        <v>0</v>
      </c>
      <c r="J66" s="16">
        <f t="shared" ref="J66:J101" si="5">G66/H66-1</f>
        <v>0</v>
      </c>
    </row>
    <row r="67" ht="25" customHeight="1" spans="1:10">
      <c r="A67" s="14">
        <v>66</v>
      </c>
      <c r="B67" s="14">
        <v>230</v>
      </c>
      <c r="C67" s="14">
        <f>爬塔!J70</f>
        <v>230</v>
      </c>
      <c r="D67" s="14">
        <f t="shared" si="3"/>
        <v>0</v>
      </c>
      <c r="E67" s="15">
        <v>9.7313451113959</v>
      </c>
      <c r="F67" s="15">
        <f>爬塔!X70</f>
        <v>9.73134511139591</v>
      </c>
      <c r="G67" s="15">
        <v>16.4232839610159</v>
      </c>
      <c r="H67" s="15">
        <f>爬塔!Y70</f>
        <v>16.423283961016</v>
      </c>
      <c r="I67" s="16">
        <f t="shared" si="4"/>
        <v>0</v>
      </c>
      <c r="J67" s="16">
        <f t="shared" si="5"/>
        <v>-3.66373598126302e-15</v>
      </c>
    </row>
    <row r="68" ht="25" customHeight="1" spans="1:10">
      <c r="A68" s="14">
        <v>67</v>
      </c>
      <c r="B68" s="14">
        <v>232</v>
      </c>
      <c r="C68" s="14">
        <f>爬塔!J71</f>
        <v>232</v>
      </c>
      <c r="D68" s="14">
        <f t="shared" si="3"/>
        <v>0</v>
      </c>
      <c r="E68" s="15">
        <v>9.70265115380386</v>
      </c>
      <c r="F68" s="15">
        <f>爬塔!X71</f>
        <v>9.70265115380386</v>
      </c>
      <c r="G68" s="15">
        <v>16.4784519199414</v>
      </c>
      <c r="H68" s="15">
        <f>爬塔!Y71</f>
        <v>16.4784519199414</v>
      </c>
      <c r="I68" s="16">
        <f t="shared" si="4"/>
        <v>0</v>
      </c>
      <c r="J68" s="16">
        <f t="shared" si="5"/>
        <v>-2.33146835171283e-15</v>
      </c>
    </row>
    <row r="69" ht="25" customHeight="1" spans="1:10">
      <c r="A69" s="14">
        <v>68</v>
      </c>
      <c r="B69" s="14">
        <v>234</v>
      </c>
      <c r="C69" s="14">
        <f>爬塔!J72</f>
        <v>234</v>
      </c>
      <c r="D69" s="14">
        <f t="shared" si="3"/>
        <v>0</v>
      </c>
      <c r="E69" s="15">
        <v>10.3406851596388</v>
      </c>
      <c r="F69" s="15">
        <f>爬塔!X72</f>
        <v>10.3406851596388</v>
      </c>
      <c r="G69" s="15">
        <v>17.114367234118</v>
      </c>
      <c r="H69" s="15">
        <f>爬塔!Y72</f>
        <v>17.114367234118</v>
      </c>
      <c r="I69" s="16">
        <f t="shared" si="4"/>
        <v>0</v>
      </c>
      <c r="J69" s="16">
        <f t="shared" si="5"/>
        <v>-1.22124532708767e-15</v>
      </c>
    </row>
    <row r="70" ht="25" customHeight="1" spans="1:10">
      <c r="A70" s="14">
        <v>69</v>
      </c>
      <c r="B70" s="14">
        <v>236</v>
      </c>
      <c r="C70" s="14">
        <f>爬塔!J73</f>
        <v>236</v>
      </c>
      <c r="D70" s="14">
        <f t="shared" si="3"/>
        <v>0</v>
      </c>
      <c r="E70" s="15">
        <v>10.3269992839145</v>
      </c>
      <c r="F70" s="15">
        <f>爬塔!X73</f>
        <v>10.3269992839145</v>
      </c>
      <c r="G70" s="15">
        <v>17.1513043492812</v>
      </c>
      <c r="H70" s="15">
        <f>爬塔!Y73</f>
        <v>17.1513043492812</v>
      </c>
      <c r="I70" s="16">
        <f t="shared" si="4"/>
        <v>-8.88178419700125e-16</v>
      </c>
      <c r="J70" s="16">
        <f t="shared" si="5"/>
        <v>0</v>
      </c>
    </row>
    <row r="71" ht="25" customHeight="1" spans="1:10">
      <c r="A71" s="14">
        <v>70</v>
      </c>
      <c r="B71" s="14">
        <v>238</v>
      </c>
      <c r="C71" s="14">
        <f>爬塔!J74</f>
        <v>238</v>
      </c>
      <c r="D71" s="14">
        <f t="shared" si="3"/>
        <v>0</v>
      </c>
      <c r="E71" s="15">
        <v>10.4932777027536</v>
      </c>
      <c r="F71" s="15">
        <f>爬塔!X74</f>
        <v>10.4932777027536</v>
      </c>
      <c r="G71" s="15">
        <v>17.0047061254489</v>
      </c>
      <c r="H71" s="15">
        <f>爬塔!Y74</f>
        <v>17.0047061254489</v>
      </c>
      <c r="I71" s="16">
        <f t="shared" si="4"/>
        <v>0</v>
      </c>
      <c r="J71" s="16">
        <f t="shared" si="5"/>
        <v>0</v>
      </c>
    </row>
    <row r="72" ht="25" customHeight="1" spans="1:10">
      <c r="A72" s="14">
        <v>71</v>
      </c>
      <c r="B72" s="14">
        <v>240</v>
      </c>
      <c r="C72" s="14">
        <f>爬塔!J75</f>
        <v>240</v>
      </c>
      <c r="D72" s="14">
        <f t="shared" si="3"/>
        <v>0</v>
      </c>
      <c r="E72" s="15">
        <v>9.88226688505816</v>
      </c>
      <c r="F72" s="15">
        <f>爬塔!X75</f>
        <v>9.88226688505818</v>
      </c>
      <c r="G72" s="15">
        <v>16.3844358443186</v>
      </c>
      <c r="H72" s="15">
        <f>爬塔!Y75</f>
        <v>16.3844358443186</v>
      </c>
      <c r="I72" s="16">
        <f t="shared" si="4"/>
        <v>1.77635683940025e-15</v>
      </c>
      <c r="J72" s="16">
        <f t="shared" si="5"/>
        <v>-2.55351295663786e-15</v>
      </c>
    </row>
    <row r="73" ht="25" customHeight="1" spans="1:10">
      <c r="A73" s="14">
        <v>72</v>
      </c>
      <c r="B73" s="14">
        <v>241</v>
      </c>
      <c r="C73" s="14">
        <f>爬塔!J76</f>
        <v>241</v>
      </c>
      <c r="D73" s="14">
        <f t="shared" si="3"/>
        <v>0</v>
      </c>
      <c r="E73" s="15">
        <v>9.77124547953412</v>
      </c>
      <c r="F73" s="15">
        <f>爬塔!X76</f>
        <v>9.77124547953413</v>
      </c>
      <c r="G73" s="15">
        <v>16.512374447814</v>
      </c>
      <c r="H73" s="15">
        <f>爬塔!Y76</f>
        <v>16.512374447814</v>
      </c>
      <c r="I73" s="16">
        <f t="shared" si="4"/>
        <v>0</v>
      </c>
      <c r="J73" s="16">
        <f t="shared" si="5"/>
        <v>2.66453525910038e-15</v>
      </c>
    </row>
    <row r="74" ht="25" customHeight="1" spans="1:10">
      <c r="A74" s="14">
        <v>73</v>
      </c>
      <c r="B74" s="14">
        <v>243</v>
      </c>
      <c r="C74" s="14">
        <f>爬塔!J77</f>
        <v>243</v>
      </c>
      <c r="D74" s="14">
        <f t="shared" si="3"/>
        <v>0</v>
      </c>
      <c r="E74" s="15">
        <v>9.90659199829054</v>
      </c>
      <c r="F74" s="15">
        <f>爬塔!X77</f>
        <v>9.90659199829053</v>
      </c>
      <c r="G74" s="15">
        <v>16.396732871645</v>
      </c>
      <c r="H74" s="15">
        <f>爬塔!Y77</f>
        <v>16.3967328716451</v>
      </c>
      <c r="I74" s="16">
        <f t="shared" si="4"/>
        <v>-1.11022302462516e-15</v>
      </c>
      <c r="J74" s="16">
        <f t="shared" si="5"/>
        <v>-3.21964677141295e-15</v>
      </c>
    </row>
    <row r="75" ht="25" customHeight="1" spans="1:10">
      <c r="A75" s="14">
        <v>74</v>
      </c>
      <c r="B75" s="14">
        <v>245</v>
      </c>
      <c r="C75" s="14">
        <f>爬塔!J78</f>
        <v>245</v>
      </c>
      <c r="D75" s="14">
        <f t="shared" si="3"/>
        <v>0</v>
      </c>
      <c r="E75" s="15">
        <v>9.94118080071873</v>
      </c>
      <c r="F75" s="15">
        <f>爬塔!X78</f>
        <v>9.94118080071873</v>
      </c>
      <c r="G75" s="15">
        <v>16.3808941393841</v>
      </c>
      <c r="H75" s="15">
        <f>爬塔!Y78</f>
        <v>16.3808941393841</v>
      </c>
      <c r="I75" s="16">
        <f t="shared" si="4"/>
        <v>0</v>
      </c>
      <c r="J75" s="16">
        <f t="shared" si="5"/>
        <v>-2.22044604925031e-15</v>
      </c>
    </row>
    <row r="76" ht="25" customHeight="1" spans="1:10">
      <c r="A76" s="14">
        <v>75</v>
      </c>
      <c r="B76" s="14">
        <v>247</v>
      </c>
      <c r="C76" s="14">
        <f>爬塔!J79</f>
        <v>247</v>
      </c>
      <c r="D76" s="14">
        <f t="shared" si="3"/>
        <v>0</v>
      </c>
      <c r="E76" s="15">
        <v>10.670341457098</v>
      </c>
      <c r="F76" s="15">
        <f>爬塔!X79</f>
        <v>10.670341457098</v>
      </c>
      <c r="G76" s="15">
        <v>16.9322868139394</v>
      </c>
      <c r="H76" s="15">
        <f>爬塔!Y79</f>
        <v>16.9322868139394</v>
      </c>
      <c r="I76" s="16">
        <f t="shared" si="4"/>
        <v>1.99840144432528e-15</v>
      </c>
      <c r="J76" s="16">
        <f t="shared" si="5"/>
        <v>-1.88737914186277e-15</v>
      </c>
    </row>
    <row r="77" ht="25" customHeight="1" spans="1:10">
      <c r="A77" s="14">
        <v>76</v>
      </c>
      <c r="B77" s="14">
        <v>248</v>
      </c>
      <c r="C77" s="14">
        <f>爬塔!J80</f>
        <v>248</v>
      </c>
      <c r="D77" s="14">
        <f t="shared" si="3"/>
        <v>0</v>
      </c>
      <c r="E77" s="15">
        <v>10.0427099653838</v>
      </c>
      <c r="F77" s="15">
        <f>爬塔!X80</f>
        <v>10.0427099653838</v>
      </c>
      <c r="G77" s="15">
        <v>16.3092902474322</v>
      </c>
      <c r="H77" s="15">
        <f>爬塔!Y80</f>
        <v>16.3092902474322</v>
      </c>
      <c r="I77" s="16">
        <f t="shared" si="4"/>
        <v>-1.11022302462516e-15</v>
      </c>
      <c r="J77" s="16">
        <f t="shared" si="5"/>
        <v>1.99840144432528e-15</v>
      </c>
    </row>
    <row r="78" ht="25" customHeight="1" spans="1:10">
      <c r="A78" s="14">
        <v>77</v>
      </c>
      <c r="B78" s="14">
        <v>250</v>
      </c>
      <c r="C78" s="14">
        <f>爬塔!J81</f>
        <v>250</v>
      </c>
      <c r="D78" s="14">
        <f t="shared" si="3"/>
        <v>0</v>
      </c>
      <c r="E78" s="15">
        <v>10.0715497219829</v>
      </c>
      <c r="F78" s="15">
        <f>爬塔!X81</f>
        <v>10.0715497219829</v>
      </c>
      <c r="G78" s="15">
        <v>16.2937745686602</v>
      </c>
      <c r="H78" s="15">
        <f>爬塔!Y81</f>
        <v>16.2937745686602</v>
      </c>
      <c r="I78" s="16">
        <f t="shared" si="4"/>
        <v>-2.99760216648792e-15</v>
      </c>
      <c r="J78" s="16">
        <f t="shared" si="5"/>
        <v>-1.11022302462516e-15</v>
      </c>
    </row>
    <row r="79" ht="25" customHeight="1" spans="1:10">
      <c r="A79" s="14">
        <v>78</v>
      </c>
      <c r="B79" s="14">
        <v>252</v>
      </c>
      <c r="C79" s="14">
        <f>爬塔!J82</f>
        <v>252</v>
      </c>
      <c r="D79" s="14">
        <f t="shared" si="3"/>
        <v>0</v>
      </c>
      <c r="E79" s="15">
        <v>10.123631803088</v>
      </c>
      <c r="F79" s="15">
        <f>爬塔!X82</f>
        <v>10.123631803088</v>
      </c>
      <c r="G79" s="15">
        <v>16.2576654362461</v>
      </c>
      <c r="H79" s="15">
        <f>爬塔!Y82</f>
        <v>16.2576654362461</v>
      </c>
      <c r="I79" s="16">
        <f t="shared" si="4"/>
        <v>4.66293670342566e-15</v>
      </c>
      <c r="J79" s="16">
        <f t="shared" si="5"/>
        <v>0</v>
      </c>
    </row>
    <row r="80" ht="25" customHeight="1" spans="1:10">
      <c r="A80" s="14">
        <v>79</v>
      </c>
      <c r="B80" s="14">
        <v>253</v>
      </c>
      <c r="C80" s="14">
        <f>爬塔!J83</f>
        <v>253</v>
      </c>
      <c r="D80" s="14">
        <f t="shared" si="3"/>
        <v>0</v>
      </c>
      <c r="E80" s="15">
        <v>10.0456986566508</v>
      </c>
      <c r="F80" s="15">
        <f>爬塔!X83</f>
        <v>10.0456986566508</v>
      </c>
      <c r="G80" s="15">
        <v>16.3430602570063</v>
      </c>
      <c r="H80" s="15">
        <f>爬塔!Y83</f>
        <v>16.3430602570064</v>
      </c>
      <c r="I80" s="16">
        <f t="shared" si="4"/>
        <v>0</v>
      </c>
      <c r="J80" s="16">
        <f t="shared" si="5"/>
        <v>-3.66373598126302e-15</v>
      </c>
    </row>
    <row r="81" ht="25" customHeight="1" spans="1:10">
      <c r="A81" s="14">
        <v>80</v>
      </c>
      <c r="B81" s="14">
        <v>255</v>
      </c>
      <c r="C81" s="14">
        <f>爬塔!J84</f>
        <v>255</v>
      </c>
      <c r="D81" s="14">
        <f t="shared" si="3"/>
        <v>0</v>
      </c>
      <c r="E81" s="15">
        <v>11.4264120796314</v>
      </c>
      <c r="F81" s="15">
        <f>爬塔!X84</f>
        <v>11.4264120796314</v>
      </c>
      <c r="G81" s="15">
        <v>17.5664835505845</v>
      </c>
      <c r="H81" s="15">
        <f>爬塔!Y84</f>
        <v>17.5664835505845</v>
      </c>
      <c r="I81" s="16">
        <f t="shared" si="4"/>
        <v>0</v>
      </c>
      <c r="J81" s="16">
        <f t="shared" si="5"/>
        <v>0</v>
      </c>
    </row>
    <row r="82" ht="25" customHeight="1" spans="1:10">
      <c r="A82" s="14">
        <v>81</v>
      </c>
      <c r="B82" s="14">
        <v>256</v>
      </c>
      <c r="C82" s="14">
        <f>爬塔!J85</f>
        <v>256</v>
      </c>
      <c r="D82" s="14">
        <f t="shared" si="3"/>
        <v>0</v>
      </c>
      <c r="E82" s="15">
        <v>10.0190384675833</v>
      </c>
      <c r="F82" s="15">
        <f>爬塔!X85</f>
        <v>10.0190384675833</v>
      </c>
      <c r="G82" s="15">
        <v>16.3871513179355</v>
      </c>
      <c r="H82" s="15">
        <f>爬塔!Y85</f>
        <v>16.3871513179355</v>
      </c>
      <c r="I82" s="16">
        <f t="shared" si="4"/>
        <v>-1.55431223447522e-15</v>
      </c>
      <c r="J82" s="16">
        <f t="shared" si="5"/>
        <v>0</v>
      </c>
    </row>
    <row r="83" ht="25" customHeight="1" spans="1:10">
      <c r="A83" s="14">
        <v>82</v>
      </c>
      <c r="B83" s="14">
        <v>258</v>
      </c>
      <c r="C83" s="14">
        <f>爬塔!J86</f>
        <v>258</v>
      </c>
      <c r="D83" s="14">
        <f t="shared" si="3"/>
        <v>0</v>
      </c>
      <c r="E83" s="15">
        <v>10.2298564390103</v>
      </c>
      <c r="F83" s="15">
        <f>爬塔!X86</f>
        <v>10.2298564390103</v>
      </c>
      <c r="G83" s="15">
        <v>16.1942174389692</v>
      </c>
      <c r="H83" s="15">
        <f>爬塔!Y86</f>
        <v>16.1942174389692</v>
      </c>
      <c r="I83" s="16">
        <f t="shared" si="4"/>
        <v>4.44089209850063e-15</v>
      </c>
      <c r="J83" s="16">
        <f t="shared" si="5"/>
        <v>-1.99840144432528e-15</v>
      </c>
    </row>
    <row r="84" ht="25" customHeight="1" spans="1:10">
      <c r="A84" s="14">
        <v>83</v>
      </c>
      <c r="B84" s="14">
        <v>259</v>
      </c>
      <c r="C84" s="14">
        <f>爬塔!J87</f>
        <v>259</v>
      </c>
      <c r="D84" s="14">
        <f t="shared" si="3"/>
        <v>0</v>
      </c>
      <c r="E84" s="15">
        <v>10.1660370428796</v>
      </c>
      <c r="F84" s="15">
        <f>爬塔!X87</f>
        <v>10.1660370428796</v>
      </c>
      <c r="G84" s="15">
        <v>16.2637966145646</v>
      </c>
      <c r="H84" s="15">
        <f>爬塔!Y87</f>
        <v>16.2637966145646</v>
      </c>
      <c r="I84" s="16">
        <f t="shared" si="4"/>
        <v>-3.99680288865056e-15</v>
      </c>
      <c r="J84" s="16">
        <f t="shared" si="5"/>
        <v>-1.33226762955019e-15</v>
      </c>
    </row>
    <row r="85" ht="25" customHeight="1" spans="1:10">
      <c r="A85" s="14">
        <v>84</v>
      </c>
      <c r="B85" s="14">
        <v>260</v>
      </c>
      <c r="C85" s="14">
        <f>爬塔!J88</f>
        <v>260</v>
      </c>
      <c r="D85" s="14">
        <f t="shared" si="3"/>
        <v>0</v>
      </c>
      <c r="E85" s="15">
        <v>10.1061083407288</v>
      </c>
      <c r="F85" s="15">
        <f>爬塔!X88</f>
        <v>10.1061083407288</v>
      </c>
      <c r="G85" s="15">
        <v>16.3280583519833</v>
      </c>
      <c r="H85" s="15">
        <f>爬塔!Y88</f>
        <v>16.3280583519833</v>
      </c>
      <c r="I85" s="16">
        <f t="shared" si="4"/>
        <v>-2.66453525910038e-15</v>
      </c>
      <c r="J85" s="16">
        <f t="shared" si="5"/>
        <v>2.22044604925031e-15</v>
      </c>
    </row>
    <row r="86" ht="25" customHeight="1" spans="1:10">
      <c r="A86" s="14">
        <v>85</v>
      </c>
      <c r="B86" s="14">
        <v>262</v>
      </c>
      <c r="C86" s="14">
        <f>爬塔!J89</f>
        <v>262</v>
      </c>
      <c r="D86" s="14">
        <f t="shared" si="3"/>
        <v>0</v>
      </c>
      <c r="E86" s="15">
        <v>10.8590745539877</v>
      </c>
      <c r="F86" s="15">
        <f>爬塔!X89</f>
        <v>10.8590745539877</v>
      </c>
      <c r="G86" s="15">
        <v>16.8674350630957</v>
      </c>
      <c r="H86" s="15">
        <f>爬塔!Y89</f>
        <v>16.8674350630957</v>
      </c>
      <c r="I86" s="16">
        <f t="shared" si="4"/>
        <v>-1.66533453693773e-15</v>
      </c>
      <c r="J86" s="16">
        <f t="shared" si="5"/>
        <v>1.77635683940025e-15</v>
      </c>
    </row>
    <row r="87" ht="25" customHeight="1" spans="1:10">
      <c r="A87" s="14">
        <v>86</v>
      </c>
      <c r="B87" s="14">
        <v>263</v>
      </c>
      <c r="C87" s="14">
        <f>爬塔!J90</f>
        <v>263</v>
      </c>
      <c r="D87" s="14">
        <f t="shared" si="3"/>
        <v>0</v>
      </c>
      <c r="E87" s="15">
        <v>10.1286706008907</v>
      </c>
      <c r="F87" s="15">
        <f>爬塔!X90</f>
        <v>10.1286706008907</v>
      </c>
      <c r="G87" s="15">
        <v>16.322480082425</v>
      </c>
      <c r="H87" s="15">
        <f>爬塔!Y90</f>
        <v>16.322480082425</v>
      </c>
      <c r="I87" s="16">
        <f t="shared" si="4"/>
        <v>0</v>
      </c>
      <c r="J87" s="16">
        <f t="shared" si="5"/>
        <v>-2.99760216648792e-15</v>
      </c>
    </row>
    <row r="88" ht="25" customHeight="1" spans="1:10">
      <c r="A88" s="14">
        <v>87</v>
      </c>
      <c r="B88" s="14">
        <v>264</v>
      </c>
      <c r="C88" s="14">
        <f>爬塔!J91</f>
        <v>264</v>
      </c>
      <c r="D88" s="14">
        <f t="shared" si="3"/>
        <v>0</v>
      </c>
      <c r="E88" s="15">
        <v>10.0788601718692</v>
      </c>
      <c r="F88" s="15">
        <f>爬塔!X91</f>
        <v>10.0788601718692</v>
      </c>
      <c r="G88" s="15">
        <v>16.3760302690653</v>
      </c>
      <c r="H88" s="15">
        <f>爬塔!Y91</f>
        <v>16.3760302690652</v>
      </c>
      <c r="I88" s="16">
        <f t="shared" si="4"/>
        <v>0</v>
      </c>
      <c r="J88" s="16">
        <f t="shared" si="5"/>
        <v>3.77475828372553e-15</v>
      </c>
    </row>
    <row r="89" ht="25" customHeight="1" spans="1:10">
      <c r="A89" s="14">
        <v>88</v>
      </c>
      <c r="B89" s="14">
        <v>265</v>
      </c>
      <c r="C89" s="14">
        <f>爬塔!J92</f>
        <v>265</v>
      </c>
      <c r="D89" s="14">
        <f t="shared" si="3"/>
        <v>0</v>
      </c>
      <c r="E89" s="15">
        <v>10.0322741024051</v>
      </c>
      <c r="F89" s="15">
        <f>爬塔!X92</f>
        <v>10.0322741024051</v>
      </c>
      <c r="G89" s="15">
        <v>16.4268522324806</v>
      </c>
      <c r="H89" s="15">
        <f>爬塔!Y92</f>
        <v>16.4268522324806</v>
      </c>
      <c r="I89" s="16">
        <f t="shared" si="4"/>
        <v>3.10862446895044e-15</v>
      </c>
      <c r="J89" s="16">
        <f t="shared" si="5"/>
        <v>0</v>
      </c>
    </row>
    <row r="90" ht="25" customHeight="1" spans="1:10">
      <c r="A90" s="14">
        <v>89</v>
      </c>
      <c r="B90" s="14">
        <v>267</v>
      </c>
      <c r="C90" s="14">
        <f>爬塔!J93</f>
        <v>267</v>
      </c>
      <c r="D90" s="14">
        <f t="shared" si="3"/>
        <v>0</v>
      </c>
      <c r="E90" s="15">
        <v>10.1180743916035</v>
      </c>
      <c r="F90" s="15">
        <f>爬塔!X93</f>
        <v>10.1180743916036</v>
      </c>
      <c r="G90" s="15">
        <v>16.3511829392918</v>
      </c>
      <c r="H90" s="15">
        <f>爬塔!Y93</f>
        <v>16.3511829392918</v>
      </c>
      <c r="I90" s="16">
        <f t="shared" si="4"/>
        <v>5.55111512312578e-15</v>
      </c>
      <c r="J90" s="16">
        <f t="shared" si="5"/>
        <v>-2.44249065417534e-15</v>
      </c>
    </row>
    <row r="91" ht="25" customHeight="1" spans="1:10">
      <c r="A91" s="14">
        <v>90</v>
      </c>
      <c r="B91" s="14">
        <v>268</v>
      </c>
      <c r="C91" s="14">
        <f>爬塔!J94</f>
        <v>268</v>
      </c>
      <c r="D91" s="14">
        <f t="shared" si="3"/>
        <v>0</v>
      </c>
      <c r="E91" s="15">
        <v>10.8594371050346</v>
      </c>
      <c r="F91" s="15">
        <f>爬塔!X94</f>
        <v>10.8594371050346</v>
      </c>
      <c r="G91" s="15">
        <v>16.8952957535221</v>
      </c>
      <c r="H91" s="15">
        <f>爬塔!Y94</f>
        <v>16.895295753522</v>
      </c>
      <c r="I91" s="16">
        <f t="shared" si="4"/>
        <v>-3.44169137633799e-15</v>
      </c>
      <c r="J91" s="16">
        <f t="shared" si="5"/>
        <v>3.33066907387547e-15</v>
      </c>
    </row>
    <row r="92" ht="25" customHeight="1" spans="1:10">
      <c r="A92" s="14">
        <v>91</v>
      </c>
      <c r="B92" s="14">
        <v>269</v>
      </c>
      <c r="C92" s="14">
        <f>爬塔!J95</f>
        <v>269</v>
      </c>
      <c r="D92" s="14">
        <f t="shared" si="3"/>
        <v>0</v>
      </c>
      <c r="E92" s="15">
        <v>10.1421679799433</v>
      </c>
      <c r="F92" s="15">
        <f>爬塔!X95</f>
        <v>10.1421679799433</v>
      </c>
      <c r="G92" s="15">
        <v>16.3343241138849</v>
      </c>
      <c r="H92" s="15">
        <f>爬塔!Y95</f>
        <v>16.3343241138849</v>
      </c>
      <c r="I92" s="16">
        <f t="shared" si="4"/>
        <v>0</v>
      </c>
      <c r="J92" s="16">
        <f t="shared" si="5"/>
        <v>-1.11022302462516e-15</v>
      </c>
    </row>
    <row r="93" ht="25" customHeight="1" spans="1:10">
      <c r="A93" s="14">
        <v>92</v>
      </c>
      <c r="B93" s="14">
        <v>270</v>
      </c>
      <c r="C93" s="14">
        <f>爬塔!J96</f>
        <v>270</v>
      </c>
      <c r="D93" s="14">
        <f t="shared" si="3"/>
        <v>0</v>
      </c>
      <c r="E93" s="15">
        <v>10.1302375334849</v>
      </c>
      <c r="F93" s="15">
        <f>爬塔!X96</f>
        <v>10.1302375334849</v>
      </c>
      <c r="G93" s="15">
        <v>16.3511096147507</v>
      </c>
      <c r="H93" s="15">
        <f>爬塔!Y96</f>
        <v>16.3511096147507</v>
      </c>
      <c r="I93" s="16">
        <f t="shared" si="4"/>
        <v>-9.99200722162641e-16</v>
      </c>
      <c r="J93" s="16">
        <f t="shared" si="5"/>
        <v>-2.44249065417534e-15</v>
      </c>
    </row>
    <row r="94" ht="25" customHeight="1" spans="1:10">
      <c r="A94" s="14">
        <v>93</v>
      </c>
      <c r="B94" s="14">
        <v>272</v>
      </c>
      <c r="C94" s="14">
        <f>爬塔!J97</f>
        <v>272</v>
      </c>
      <c r="D94" s="14">
        <f t="shared" si="3"/>
        <v>0</v>
      </c>
      <c r="E94" s="15">
        <v>10.2094542522233</v>
      </c>
      <c r="F94" s="15">
        <f>爬塔!X97</f>
        <v>10.2094542522233</v>
      </c>
      <c r="G94" s="15">
        <v>16.2764231801046</v>
      </c>
      <c r="H94" s="15">
        <f>爬塔!Y97</f>
        <v>16.2764231801045</v>
      </c>
      <c r="I94" s="16">
        <f t="shared" si="4"/>
        <v>0</v>
      </c>
      <c r="J94" s="16">
        <f t="shared" si="5"/>
        <v>3.77475828372553e-15</v>
      </c>
    </row>
    <row r="95" ht="25" customHeight="1" spans="1:10">
      <c r="A95" s="14">
        <v>94</v>
      </c>
      <c r="B95" s="14">
        <v>273</v>
      </c>
      <c r="C95" s="14">
        <f>爬塔!J98</f>
        <v>273</v>
      </c>
      <c r="D95" s="14">
        <f t="shared" si="3"/>
        <v>0</v>
      </c>
      <c r="E95" s="15">
        <v>10.1757908694178</v>
      </c>
      <c r="F95" s="15">
        <f>爬塔!X98</f>
        <v>10.1757908694178</v>
      </c>
      <c r="G95" s="15">
        <v>16.3112648137538</v>
      </c>
      <c r="H95" s="15">
        <f>爬塔!Y98</f>
        <v>16.3112648137538</v>
      </c>
      <c r="I95" s="16">
        <f t="shared" si="4"/>
        <v>0</v>
      </c>
      <c r="J95" s="16">
        <f t="shared" si="5"/>
        <v>-1.99840144432528e-15</v>
      </c>
    </row>
    <row r="96" ht="25" customHeight="1" spans="1:10">
      <c r="A96" s="14">
        <v>95</v>
      </c>
      <c r="B96" s="14">
        <v>274</v>
      </c>
      <c r="C96" s="14">
        <f>爬塔!J99</f>
        <v>274</v>
      </c>
      <c r="D96" s="14">
        <f t="shared" si="3"/>
        <v>0</v>
      </c>
      <c r="E96" s="15">
        <v>10.1444067482369</v>
      </c>
      <c r="F96" s="15">
        <f>爬塔!X99</f>
        <v>10.144406748237</v>
      </c>
      <c r="G96" s="15">
        <v>16.3447671358059</v>
      </c>
      <c r="H96" s="15">
        <f>爬塔!Y99</f>
        <v>16.344767135806</v>
      </c>
      <c r="I96" s="16">
        <f t="shared" si="4"/>
        <v>5.10702591327572e-15</v>
      </c>
      <c r="J96" s="16">
        <f t="shared" si="5"/>
        <v>-3.88578058618805e-15</v>
      </c>
    </row>
    <row r="97" ht="25" customHeight="1" spans="1:10">
      <c r="A97" s="14">
        <v>96</v>
      </c>
      <c r="B97" s="14">
        <v>275</v>
      </c>
      <c r="C97" s="14">
        <f>爬塔!J100</f>
        <v>275</v>
      </c>
      <c r="D97" s="14">
        <f t="shared" si="3"/>
        <v>0</v>
      </c>
      <c r="E97" s="15">
        <v>10.115158031245</v>
      </c>
      <c r="F97" s="15">
        <f>爬塔!X100</f>
        <v>10.115158031245</v>
      </c>
      <c r="G97" s="15">
        <v>16.3757737431693</v>
      </c>
      <c r="H97" s="15">
        <f>爬塔!Y100</f>
        <v>16.3757737431693</v>
      </c>
      <c r="I97" s="16">
        <f t="shared" si="4"/>
        <v>-2.33146835171283e-15</v>
      </c>
      <c r="J97" s="16">
        <f t="shared" si="5"/>
        <v>-2.22044604925031e-15</v>
      </c>
    </row>
    <row r="98" ht="25" customHeight="1" spans="1:10">
      <c r="A98" s="14">
        <v>97</v>
      </c>
      <c r="B98" s="14">
        <v>276</v>
      </c>
      <c r="C98" s="14">
        <f>爬塔!J101</f>
        <v>276</v>
      </c>
      <c r="D98" s="14">
        <f t="shared" si="3"/>
        <v>0</v>
      </c>
      <c r="E98" s="15">
        <v>10.0879200618806</v>
      </c>
      <c r="F98" s="15">
        <f>爬塔!X101</f>
        <v>10.0879200618806</v>
      </c>
      <c r="G98" s="15">
        <v>16.4039883728109</v>
      </c>
      <c r="H98" s="15">
        <f>爬塔!Y101</f>
        <v>16.4039883728109</v>
      </c>
      <c r="I98" s="16">
        <f t="shared" si="4"/>
        <v>1.99840144432528e-15</v>
      </c>
      <c r="J98" s="16">
        <f t="shared" si="5"/>
        <v>2.88657986402541e-15</v>
      </c>
    </row>
    <row r="99" ht="25" customHeight="1" spans="1:10">
      <c r="A99" s="14">
        <v>98</v>
      </c>
      <c r="B99" s="14">
        <v>278</v>
      </c>
      <c r="C99" s="14">
        <f>爬塔!J102</f>
        <v>278</v>
      </c>
      <c r="D99" s="14">
        <f t="shared" si="3"/>
        <v>0</v>
      </c>
      <c r="E99" s="15">
        <v>10.1898231512443</v>
      </c>
      <c r="F99" s="15">
        <f>爬塔!X102</f>
        <v>10.1898231512443</v>
      </c>
      <c r="G99" s="15">
        <v>16.3096575798843</v>
      </c>
      <c r="H99" s="15">
        <f>爬塔!Y102</f>
        <v>16.3096575798843</v>
      </c>
      <c r="I99" s="16">
        <f t="shared" si="4"/>
        <v>4.44089209850063e-15</v>
      </c>
      <c r="J99" s="16">
        <f t="shared" si="5"/>
        <v>0</v>
      </c>
    </row>
    <row r="100" ht="25" customHeight="1" spans="1:10">
      <c r="A100" s="14">
        <v>99</v>
      </c>
      <c r="B100" s="14">
        <v>279</v>
      </c>
      <c r="C100" s="14">
        <f>爬塔!J103</f>
        <v>279</v>
      </c>
      <c r="D100" s="14">
        <f t="shared" si="3"/>
        <v>0</v>
      </c>
      <c r="E100" s="15">
        <v>10.1528097107269</v>
      </c>
      <c r="F100" s="15">
        <f>爬塔!X103</f>
        <v>10.1528097107269</v>
      </c>
      <c r="G100" s="15">
        <v>16.3424134013775</v>
      </c>
      <c r="H100" s="15">
        <f>爬塔!Y103</f>
        <v>16.3424134013775</v>
      </c>
      <c r="I100" s="16">
        <f t="shared" si="4"/>
        <v>0</v>
      </c>
      <c r="J100" s="16">
        <f t="shared" si="5"/>
        <v>1.77635683940025e-15</v>
      </c>
    </row>
    <row r="101" ht="25" customHeight="1" spans="1:10">
      <c r="A101" s="14">
        <v>100</v>
      </c>
      <c r="B101" s="14">
        <v>280</v>
      </c>
      <c r="C101" s="14">
        <f>爬塔!J104</f>
        <v>280</v>
      </c>
      <c r="D101" s="14">
        <f t="shared" si="3"/>
        <v>0</v>
      </c>
      <c r="E101" s="15">
        <v>10.1430142197331</v>
      </c>
      <c r="F101" s="15">
        <f>爬塔!X104</f>
        <v>10.1430142197331</v>
      </c>
      <c r="G101" s="15">
        <v>16.3577145901043</v>
      </c>
      <c r="H101" s="15">
        <f>爬塔!Y104</f>
        <v>16.3577145901043</v>
      </c>
      <c r="I101" s="16">
        <f t="shared" si="4"/>
        <v>-1.77635683940025e-15</v>
      </c>
      <c r="J101" s="16">
        <f t="shared" si="5"/>
        <v>-2.55351295663786e-15</v>
      </c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showGridLines="0" workbookViewId="0">
      <selection activeCell="A1" sqref="A1:D1"/>
    </sheetView>
  </sheetViews>
  <sheetFormatPr defaultColWidth="9" defaultRowHeight="13.5" outlineLevelCol="3"/>
  <cols>
    <col min="1" max="1" width="24" customWidth="1"/>
    <col min="2" max="2" width="14" customWidth="1"/>
    <col min="3" max="3" width="28" customWidth="1"/>
    <col min="4" max="4" width="36" customWidth="1"/>
  </cols>
  <sheetData>
    <row r="1" ht="36" customHeight="1" spans="1:4">
      <c r="A1" s="8" t="s">
        <v>6217</v>
      </c>
      <c r="B1" s="8"/>
      <c r="C1" s="8"/>
      <c r="D1" s="8"/>
    </row>
    <row r="2" ht="28" customHeight="1" spans="1:4">
      <c r="A2" s="9"/>
      <c r="B2" s="9"/>
      <c r="C2" s="9"/>
      <c r="D2" s="9"/>
    </row>
    <row r="3" ht="28" customHeight="1" spans="1:4">
      <c r="A3" s="10" t="s">
        <v>6218</v>
      </c>
      <c r="B3" s="10" t="s">
        <v>6219</v>
      </c>
      <c r="C3" s="10" t="s">
        <v>24</v>
      </c>
      <c r="D3" s="10" t="s">
        <v>6220</v>
      </c>
    </row>
    <row r="4" ht="28" customHeight="1" spans="1:4">
      <c r="A4" s="9" t="s">
        <v>6221</v>
      </c>
      <c r="B4" s="11">
        <v>0.5</v>
      </c>
      <c r="C4" s="9" t="s">
        <v>6222</v>
      </c>
      <c r="D4" s="9" t="s">
        <v>6223</v>
      </c>
    </row>
    <row r="5" ht="28" customHeight="1" spans="1:4">
      <c r="A5" s="9" t="s">
        <v>6224</v>
      </c>
      <c r="B5" s="12">
        <v>3</v>
      </c>
      <c r="C5" s="9" t="s">
        <v>6225</v>
      </c>
      <c r="D5" s="9" t="s">
        <v>6226</v>
      </c>
    </row>
    <row r="6" ht="28" customHeight="1" spans="1:4">
      <c r="A6" s="9"/>
      <c r="B6" s="9"/>
      <c r="C6" s="9"/>
      <c r="D6" s="9"/>
    </row>
    <row r="7" ht="36" customHeight="1" spans="1:4">
      <c r="A7" s="2" t="s">
        <v>6227</v>
      </c>
      <c r="B7" s="2"/>
      <c r="C7" s="2"/>
      <c r="D7" s="2"/>
    </row>
    <row r="8" ht="36" customHeight="1" spans="1:4">
      <c r="A8" s="2" t="s">
        <v>6228</v>
      </c>
      <c r="B8" s="2"/>
      <c r="C8" s="2"/>
      <c r="D8" s="2"/>
    </row>
    <row r="9" ht="36" customHeight="1" spans="1:4">
      <c r="A9" s="2" t="s">
        <v>6229</v>
      </c>
      <c r="B9" s="2"/>
      <c r="C9" s="2"/>
      <c r="D9" s="2"/>
    </row>
    <row r="10" ht="36" customHeight="1" spans="1:4">
      <c r="A10" s="2" t="s">
        <v>6230</v>
      </c>
      <c r="B10" s="2"/>
      <c r="C10" s="2"/>
      <c r="D10" s="2"/>
    </row>
  </sheetData>
  <mergeCells count="5">
    <mergeCell ref="A1:D1"/>
    <mergeCell ref="A7:D7"/>
    <mergeCell ref="A8:D8"/>
    <mergeCell ref="A9:D9"/>
    <mergeCell ref="A10:D10"/>
  </mergeCells>
  <dataValidations count="1">
    <dataValidation type="decimal" operator="greaterThan" sqref="B4">
      <formula1>0</formula1>
    </dataValidation>
  </dataValidations>
  <pageMargins left="0.7" right="0.7" top="0.75" bottom="0.75" header="0.3" footer="0.3"/>
  <headerFooter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4"/>
  <sheetViews>
    <sheetView showGridLines="0" workbookViewId="0">
      <selection activeCell="A1" sqref="A1:H1"/>
    </sheetView>
  </sheetViews>
  <sheetFormatPr defaultColWidth="9" defaultRowHeight="13.5"/>
  <cols>
    <col min="1" max="2" width="12" customWidth="1"/>
    <col min="3" max="4" width="20" customWidth="1"/>
    <col min="5" max="5" width="14" customWidth="1"/>
    <col min="6" max="15" width="16" customWidth="1"/>
    <col min="16" max="16" width="25" customWidth="1"/>
    <col min="17" max="18" width="16" customWidth="1"/>
  </cols>
  <sheetData>
    <row r="1" ht="36" customHeight="1" spans="1:18">
      <c r="A1" s="1" t="s">
        <v>6231</v>
      </c>
      <c r="B1" s="1"/>
      <c r="C1" s="1"/>
      <c r="D1" s="1"/>
      <c r="E1" s="1"/>
      <c r="F1" s="1"/>
      <c r="G1" s="1"/>
      <c r="H1" s="1"/>
      <c r="I1" s="1" t="s">
        <v>6232</v>
      </c>
      <c r="J1" s="1"/>
      <c r="K1" s="1"/>
      <c r="L1" s="1"/>
      <c r="M1" s="1"/>
      <c r="N1" s="1"/>
      <c r="O1" s="1"/>
      <c r="P1" s="1"/>
      <c r="Q1" s="1"/>
      <c r="R1" s="1"/>
    </row>
    <row r="2" ht="30" customHeight="1" spans="1:18">
      <c r="A2" s="2" t="s">
        <v>6233</v>
      </c>
      <c r="B2" s="2"/>
      <c r="C2" s="2"/>
      <c r="D2" s="2"/>
      <c r="E2" s="2"/>
      <c r="F2" s="2"/>
      <c r="G2" s="2"/>
      <c r="H2" s="2"/>
      <c r="I2" s="2" t="s">
        <v>6234</v>
      </c>
      <c r="J2" s="2"/>
      <c r="K2" s="2"/>
      <c r="L2" s="2"/>
      <c r="M2" s="2"/>
      <c r="N2" s="2"/>
      <c r="O2" s="2"/>
      <c r="P2" s="2"/>
      <c r="Q2" s="2"/>
      <c r="R2" s="2"/>
    </row>
    <row r="3" ht="30" customHeight="1" spans="1:18">
      <c r="A3" s="2" t="s">
        <v>6235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ht="36" customHeight="1" spans="1:18">
      <c r="A4" s="3" t="s">
        <v>6143</v>
      </c>
      <c r="B4" s="3" t="s">
        <v>6210</v>
      </c>
      <c r="C4" s="3" t="s">
        <v>6236</v>
      </c>
      <c r="D4" s="3" t="s">
        <v>6237</v>
      </c>
      <c r="E4" s="3" t="s">
        <v>6238</v>
      </c>
      <c r="F4" s="3" t="s">
        <v>6239</v>
      </c>
      <c r="G4" s="3" t="s">
        <v>6240</v>
      </c>
      <c r="H4" s="3" t="s">
        <v>6241</v>
      </c>
      <c r="I4" s="3" t="s">
        <v>6242</v>
      </c>
      <c r="J4" s="3" t="s">
        <v>6243</v>
      </c>
      <c r="K4" s="3" t="s">
        <v>6244</v>
      </c>
      <c r="L4" s="3" t="s">
        <v>6245</v>
      </c>
      <c r="M4" s="3" t="s">
        <v>6246</v>
      </c>
      <c r="N4" s="3" t="s">
        <v>6247</v>
      </c>
      <c r="O4" s="3" t="s">
        <v>6248</v>
      </c>
      <c r="P4" s="3" t="s">
        <v>6249</v>
      </c>
      <c r="Q4" s="3" t="s">
        <v>6250</v>
      </c>
      <c r="R4" s="3" t="s">
        <v>6251</v>
      </c>
    </row>
    <row r="5" ht="25" customHeight="1" spans="1:18">
      <c r="A5" s="4">
        <v>1</v>
      </c>
      <c r="B5" s="4">
        <f>爬塔!J5</f>
        <v>15</v>
      </c>
      <c r="C5" s="4">
        <v>35500</v>
      </c>
      <c r="D5" s="5">
        <f>IF(P5="通过",ROUND(O5,-MAX(0,INT(LOG10(O5))-推荐战力参数!$B$5+1)),0)</f>
        <v>16000</v>
      </c>
      <c r="E5" s="6">
        <f t="shared" ref="E5:E68" si="0">D5/C5-1</f>
        <v>-0.549295774647887</v>
      </c>
      <c r="F5" s="4">
        <f t="shared" ref="F5:F68" si="1">MAX(G5,H5)</f>
        <v>14</v>
      </c>
      <c r="G5" s="4">
        <f>MIN(ROWS(_玩家曲线!$H$2:$H$280),COUNTIF(_玩家曲线!$H$2:$H$280,"&lt;"&amp;M5)+1)</f>
        <v>13</v>
      </c>
      <c r="H5" s="4">
        <f>MIN(ROWS(_玩家曲线!$I$2:$I$280),COUNTIF(_玩家曲线!$I$2:$I$280,"&lt;"&amp;N5)+1)</f>
        <v>14</v>
      </c>
      <c r="I5" s="7">
        <v>5.59548573011629</v>
      </c>
      <c r="J5" s="7">
        <v>8.68099067253635</v>
      </c>
      <c r="K5" s="4">
        <f>爬塔!W5</f>
        <v>52318.3924583333</v>
      </c>
      <c r="L5" s="4">
        <f>爬塔!T5*IF(爬塔!O5="",1,爬塔!O5)</f>
        <v>4162</v>
      </c>
      <c r="M5" s="4">
        <f t="shared" ref="M5:M68" si="2">K5/I5</f>
        <v>9350.10738687846</v>
      </c>
      <c r="N5" s="4">
        <f t="shared" ref="N5:N68" si="3">L5*J5</f>
        <v>36130.2831790963</v>
      </c>
      <c r="O5" s="4">
        <f>INDEX(_统一战力!$D$2:$D$280,MATCH(F5,_统一战力!$C$2:$C$280,0))</f>
        <v>15980</v>
      </c>
      <c r="P5" s="4" t="str">
        <f>IF(AND(INDEX(_玩家曲线!$H$2:$H$280,F5)&gt;=M5,INDEX(_玩家曲线!$I$2:$I$280,F5)&gt;=N5),"通过","超出玩家曲线")</f>
        <v>通过</v>
      </c>
      <c r="Q5" s="4">
        <v>31</v>
      </c>
      <c r="R5" s="4">
        <v>24</v>
      </c>
    </row>
    <row r="6" ht="25" customHeight="1" spans="1:18">
      <c r="A6" s="4">
        <v>2</v>
      </c>
      <c r="B6" s="4">
        <f>爬塔!J6</f>
        <v>18</v>
      </c>
      <c r="C6" s="4">
        <v>37400</v>
      </c>
      <c r="D6" s="5">
        <f>IF(P6="通过",ROUND(O6,-MAX(0,INT(LOG10(O6))-推荐战力参数!$B$5+1)),0)</f>
        <v>16700</v>
      </c>
      <c r="E6" s="6">
        <f t="shared" si="0"/>
        <v>-0.553475935828877</v>
      </c>
      <c r="F6" s="4">
        <f t="shared" si="1"/>
        <v>15</v>
      </c>
      <c r="G6" s="4">
        <f>MIN(ROWS(_玩家曲线!$H$2:$H$280),COUNTIF(_玩家曲线!$H$2:$H$280,"&lt;"&amp;M6)+1)</f>
        <v>13</v>
      </c>
      <c r="H6" s="4">
        <f>MIN(ROWS(_玩家曲线!$I$2:$I$280),COUNTIF(_玩家曲线!$I$2:$I$280,"&lt;"&amp;N6)+1)</f>
        <v>15</v>
      </c>
      <c r="I6" s="7">
        <v>6.51758894880623</v>
      </c>
      <c r="J6" s="7">
        <v>7.410779239939</v>
      </c>
      <c r="K6" s="4">
        <f>爬塔!W6</f>
        <v>65542.633875</v>
      </c>
      <c r="L6" s="4">
        <f>爬塔!T6*IF(爬塔!O6="",1,爬塔!O6)</f>
        <v>5259</v>
      </c>
      <c r="M6" s="4">
        <f t="shared" si="2"/>
        <v>10056.2699473407</v>
      </c>
      <c r="N6" s="4">
        <f t="shared" si="3"/>
        <v>38973.2880228392</v>
      </c>
      <c r="O6" s="4">
        <f>INDEX(_统一战力!$D$2:$D$280,MATCH(F6,_统一战力!$C$2:$C$280,0))</f>
        <v>16704</v>
      </c>
      <c r="P6" s="4" t="str">
        <f>IF(AND(INDEX(_玩家曲线!$H$2:$H$280,F6)&gt;=M6,INDEX(_玩家曲线!$I$2:$I$280,F6)&gt;=N6),"通过","超出玩家曲线")</f>
        <v>通过</v>
      </c>
      <c r="Q6" s="4">
        <v>36</v>
      </c>
      <c r="R6" s="4">
        <v>25</v>
      </c>
    </row>
    <row r="7" ht="25" customHeight="1" spans="1:18">
      <c r="A7" s="4">
        <v>3</v>
      </c>
      <c r="B7" s="4">
        <f>爬塔!J7</f>
        <v>22</v>
      </c>
      <c r="C7" s="4">
        <v>41300</v>
      </c>
      <c r="D7" s="5">
        <f>IF(P7="通过",ROUND(O7,-MAX(0,INT(LOG10(O7))-推荐战力参数!$B$5+1)),0)</f>
        <v>19800</v>
      </c>
      <c r="E7" s="6">
        <f t="shared" si="0"/>
        <v>-0.520581113801453</v>
      </c>
      <c r="F7" s="4">
        <f t="shared" si="1"/>
        <v>17</v>
      </c>
      <c r="G7" s="4">
        <f>MIN(ROWS(_玩家曲线!$H$2:$H$280),COUNTIF(_玩家曲线!$H$2:$H$280,"&lt;"&amp;M7)+1)</f>
        <v>16</v>
      </c>
      <c r="H7" s="4">
        <f>MIN(ROWS(_玩家曲线!$I$2:$I$280),COUNTIF(_玩家曲线!$I$2:$I$280,"&lt;"&amp;N7)+1)</f>
        <v>17</v>
      </c>
      <c r="I7" s="7">
        <v>9.41421960275015</v>
      </c>
      <c r="J7" s="7">
        <v>8.29043006370909</v>
      </c>
      <c r="K7" s="4">
        <f>爬塔!W7</f>
        <v>111996.822708333</v>
      </c>
      <c r="L7" s="4">
        <f>爬塔!T7*IF(爬塔!O7="",1,爬塔!O7)</f>
        <v>5525</v>
      </c>
      <c r="M7" s="4">
        <f t="shared" si="2"/>
        <v>11896.5593999545</v>
      </c>
      <c r="N7" s="4">
        <f t="shared" si="3"/>
        <v>45804.6261019927</v>
      </c>
      <c r="O7" s="4">
        <f>INDEX(_统一战力!$D$2:$D$280,MATCH(F7,_统一战力!$C$2:$C$280,0))</f>
        <v>19808</v>
      </c>
      <c r="P7" s="4" t="str">
        <f>IF(AND(INDEX(_玩家曲线!$H$2:$H$280,F7)&gt;=M7,INDEX(_玩家曲线!$I$2:$I$280,F7)&gt;=N7),"通过","超出玩家曲线")</f>
        <v>通过</v>
      </c>
      <c r="Q7" s="4">
        <v>41</v>
      </c>
      <c r="R7" s="4">
        <v>27</v>
      </c>
    </row>
    <row r="8" ht="25" customHeight="1" spans="1:18">
      <c r="A8" s="4">
        <v>4</v>
      </c>
      <c r="B8" s="4">
        <f>爬塔!J8</f>
        <v>25</v>
      </c>
      <c r="C8" s="4">
        <v>45400</v>
      </c>
      <c r="D8" s="5">
        <f>IF(P8="通过",ROUND(O8,-MAX(0,INT(LOG10(O8))-推荐战力参数!$B$5+1)),0)</f>
        <v>23100</v>
      </c>
      <c r="E8" s="6">
        <f t="shared" si="0"/>
        <v>-0.491189427312775</v>
      </c>
      <c r="F8" s="4">
        <f t="shared" si="1"/>
        <v>19</v>
      </c>
      <c r="G8" s="4">
        <f>MIN(ROWS(_玩家曲线!$H$2:$H$280),COUNTIF(_玩家曲线!$H$2:$H$280,"&lt;"&amp;M8)+1)</f>
        <v>17</v>
      </c>
      <c r="H8" s="4">
        <f>MIN(ROWS(_玩家曲线!$I$2:$I$280),COUNTIF(_玩家曲线!$I$2:$I$280,"&lt;"&amp;N8)+1)</f>
        <v>19</v>
      </c>
      <c r="I8" s="7">
        <v>7.59464047244333</v>
      </c>
      <c r="J8" s="7">
        <v>6.82406767752878</v>
      </c>
      <c r="K8" s="4">
        <f>爬塔!W8</f>
        <v>101705.4685</v>
      </c>
      <c r="L8" s="4">
        <f>爬塔!T8*IF(爬塔!O8="",1,爬塔!O8)</f>
        <v>7395</v>
      </c>
      <c r="M8" s="4">
        <f t="shared" si="2"/>
        <v>13391.7423568676</v>
      </c>
      <c r="N8" s="4">
        <f t="shared" si="3"/>
        <v>50463.9804753253</v>
      </c>
      <c r="O8" s="4">
        <f>INDEX(_统一战力!$D$2:$D$280,MATCH(F8,_统一战力!$C$2:$C$280,0))</f>
        <v>23100</v>
      </c>
      <c r="P8" s="4" t="str">
        <f>IF(AND(INDEX(_玩家曲线!$H$2:$H$280,F8)&gt;=M8,INDEX(_玩家曲线!$I$2:$I$280,F8)&gt;=N8),"通过","超出玩家曲线")</f>
        <v>通过</v>
      </c>
      <c r="Q8" s="4">
        <v>46</v>
      </c>
      <c r="R8" s="4">
        <v>29</v>
      </c>
    </row>
    <row r="9" ht="25" customHeight="1" spans="1:18">
      <c r="A9" s="4">
        <v>5</v>
      </c>
      <c r="B9" s="4">
        <f>爬塔!J9</f>
        <v>28</v>
      </c>
      <c r="C9" s="4">
        <v>46600</v>
      </c>
      <c r="D9" s="5">
        <f>IF(P9="通过",ROUND(O9,-MAX(0,INT(LOG10(O9))-推荐战力参数!$B$5+1)),0)</f>
        <v>23100</v>
      </c>
      <c r="E9" s="6">
        <f t="shared" si="0"/>
        <v>-0.504291845493562</v>
      </c>
      <c r="F9" s="4">
        <f t="shared" si="1"/>
        <v>19</v>
      </c>
      <c r="G9" s="4">
        <f>MIN(ROWS(_玩家曲线!$H$2:$H$280),COUNTIF(_玩家曲线!$H$2:$H$280,"&lt;"&amp;M9)+1)</f>
        <v>17</v>
      </c>
      <c r="H9" s="4">
        <f>MIN(ROWS(_玩家曲线!$I$2:$I$280),COUNTIF(_玩家曲线!$I$2:$I$280,"&lt;"&amp;N9)+1)</f>
        <v>19</v>
      </c>
      <c r="I9" s="7">
        <v>10.5939633376518</v>
      </c>
      <c r="J9" s="7">
        <v>7.05812539438918</v>
      </c>
      <c r="K9" s="4">
        <f>爬塔!W9</f>
        <v>143281.79275</v>
      </c>
      <c r="L9" s="4">
        <f>爬塔!T9*IF(爬塔!O9="",1,爬塔!O9)</f>
        <v>7343</v>
      </c>
      <c r="M9" s="4">
        <f t="shared" si="2"/>
        <v>13524.8526149571</v>
      </c>
      <c r="N9" s="4">
        <f t="shared" si="3"/>
        <v>51827.8147709998</v>
      </c>
      <c r="O9" s="4">
        <f>INDEX(_统一战力!$D$2:$D$280,MATCH(F9,_统一战力!$C$2:$C$280,0))</f>
        <v>23100</v>
      </c>
      <c r="P9" s="4" t="str">
        <f>IF(AND(INDEX(_玩家曲线!$H$2:$H$280,F9)&gt;=M9,INDEX(_玩家曲线!$I$2:$I$280,F9)&gt;=N9),"通过","超出玩家曲线")</f>
        <v>通过</v>
      </c>
      <c r="Q9" s="4">
        <v>51</v>
      </c>
      <c r="R9" s="4">
        <v>30</v>
      </c>
    </row>
    <row r="10" ht="25" customHeight="1" spans="1:18">
      <c r="A10" s="4">
        <v>6</v>
      </c>
      <c r="B10" s="4">
        <f>爬塔!J10</f>
        <v>32</v>
      </c>
      <c r="C10" s="4">
        <v>51500</v>
      </c>
      <c r="D10" s="5">
        <f>IF(P10="通过",ROUND(O10,-MAX(0,INT(LOG10(O10))-推荐战力参数!$B$5+1)),0)</f>
        <v>27800</v>
      </c>
      <c r="E10" s="6">
        <f t="shared" si="0"/>
        <v>-0.460194174757282</v>
      </c>
      <c r="F10" s="4">
        <f t="shared" si="1"/>
        <v>21</v>
      </c>
      <c r="G10" s="4">
        <f>MIN(ROWS(_玩家曲线!$H$2:$H$280),COUNTIF(_玩家曲线!$H$2:$H$280,"&lt;"&amp;M10)+1)</f>
        <v>20</v>
      </c>
      <c r="H10" s="4">
        <f>MIN(ROWS(_玩家曲线!$I$2:$I$280),COUNTIF(_玩家曲线!$I$2:$I$280,"&lt;"&amp;N10)+1)</f>
        <v>21</v>
      </c>
      <c r="I10" s="7">
        <v>9.76353117292066</v>
      </c>
      <c r="J10" s="7">
        <v>6.75347204295174</v>
      </c>
      <c r="K10" s="4">
        <f>爬塔!W10</f>
        <v>163961.459041667</v>
      </c>
      <c r="L10" s="4">
        <f>爬塔!T10*IF(爬塔!O10="",1,爬塔!O10)</f>
        <v>9057</v>
      </c>
      <c r="M10" s="4">
        <f t="shared" si="2"/>
        <v>16793.2540120747</v>
      </c>
      <c r="N10" s="4">
        <f t="shared" si="3"/>
        <v>61166.1962930139</v>
      </c>
      <c r="O10" s="4">
        <f>INDEX(_统一战力!$D$2:$D$280,MATCH(F10,_统一战力!$C$2:$C$280,0))</f>
        <v>27758</v>
      </c>
      <c r="P10" s="4" t="str">
        <f>IF(AND(INDEX(_玩家曲线!$H$2:$H$280,F10)&gt;=M10,INDEX(_玩家曲线!$I$2:$I$280,F10)&gt;=N10),"通过","超出玩家曲线")</f>
        <v>通过</v>
      </c>
      <c r="Q10" s="4">
        <v>54</v>
      </c>
      <c r="R10" s="4">
        <v>32</v>
      </c>
    </row>
    <row r="11" ht="25" customHeight="1" spans="1:18">
      <c r="A11" s="4">
        <v>7</v>
      </c>
      <c r="B11" s="4">
        <f>爬塔!J11</f>
        <v>35</v>
      </c>
      <c r="C11" s="4">
        <v>56700</v>
      </c>
      <c r="D11" s="5">
        <f>IF(P11="通过",ROUND(O11,-MAX(0,INT(LOG10(O11))-推荐战力参数!$B$5+1)),0)</f>
        <v>32800</v>
      </c>
      <c r="E11" s="6">
        <f t="shared" si="0"/>
        <v>-0.421516754850088</v>
      </c>
      <c r="F11" s="4">
        <f t="shared" si="1"/>
        <v>23</v>
      </c>
      <c r="G11" s="4">
        <f>MIN(ROWS(_玩家曲线!$H$2:$H$280),COUNTIF(_玩家曲线!$H$2:$H$280,"&lt;"&amp;M11)+1)</f>
        <v>21</v>
      </c>
      <c r="H11" s="4">
        <f>MIN(ROWS(_玩家曲线!$I$2:$I$280),COUNTIF(_玩家曲线!$I$2:$I$280,"&lt;"&amp;N11)+1)</f>
        <v>23</v>
      </c>
      <c r="I11" s="7">
        <v>9.97887244411419</v>
      </c>
      <c r="J11" s="7">
        <v>7.39048566080056</v>
      </c>
      <c r="K11" s="4">
        <f>爬塔!W11</f>
        <v>199928.89375</v>
      </c>
      <c r="L11" s="4">
        <f>爬塔!T11*IF(爬塔!O11="",1,爬塔!O11)</f>
        <v>9519</v>
      </c>
      <c r="M11" s="4">
        <f t="shared" si="2"/>
        <v>20035.2188956903</v>
      </c>
      <c r="N11" s="4">
        <f t="shared" si="3"/>
        <v>70350.0330051605</v>
      </c>
      <c r="O11" s="4">
        <f>INDEX(_统一战力!$D$2:$D$280,MATCH(F11,_统一战力!$C$2:$C$280,0))</f>
        <v>32780</v>
      </c>
      <c r="P11" s="4" t="str">
        <f>IF(AND(INDEX(_玩家曲线!$H$2:$H$280,F11)&gt;=M11,INDEX(_玩家曲线!$I$2:$I$280,F11)&gt;=N11),"通过","超出玩家曲线")</f>
        <v>通过</v>
      </c>
      <c r="Q11" s="4">
        <v>56</v>
      </c>
      <c r="R11" s="4">
        <v>34</v>
      </c>
    </row>
    <row r="12" ht="25" customHeight="1" spans="1:18">
      <c r="A12" s="4">
        <v>8</v>
      </c>
      <c r="B12" s="4">
        <f>爬塔!J12</f>
        <v>38</v>
      </c>
      <c r="C12" s="4">
        <v>62400</v>
      </c>
      <c r="D12" s="5">
        <f>IF(P12="通过",ROUND(O12,-MAX(0,INT(LOG10(O12))-推荐战力参数!$B$5+1)),0)</f>
        <v>35500</v>
      </c>
      <c r="E12" s="6">
        <f t="shared" si="0"/>
        <v>-0.431089743589744</v>
      </c>
      <c r="F12" s="4">
        <f t="shared" si="1"/>
        <v>24</v>
      </c>
      <c r="G12" s="4">
        <f>MIN(ROWS(_玩家曲线!$H$2:$H$280),COUNTIF(_玩家曲线!$H$2:$H$280,"&lt;"&amp;M12)+1)</f>
        <v>22</v>
      </c>
      <c r="H12" s="4">
        <f>MIN(ROWS(_玩家曲线!$I$2:$I$280),COUNTIF(_玩家曲线!$I$2:$I$280,"&lt;"&amp;N12)+1)</f>
        <v>24</v>
      </c>
      <c r="I12" s="7">
        <v>11.0521665745845</v>
      </c>
      <c r="J12" s="7">
        <v>8.2338500789579</v>
      </c>
      <c r="K12" s="4">
        <f>爬塔!W12</f>
        <v>245489.966083333</v>
      </c>
      <c r="L12" s="4">
        <f>爬塔!T12*IF(爬塔!O12="",1,爬塔!O12)</f>
        <v>9350</v>
      </c>
      <c r="M12" s="4">
        <f t="shared" si="2"/>
        <v>22211.9314278035</v>
      </c>
      <c r="N12" s="4">
        <f t="shared" si="3"/>
        <v>76986.4982382564</v>
      </c>
      <c r="O12" s="4">
        <f>INDEX(_统一战力!$D$2:$D$280,MATCH(F12,_统一战力!$C$2:$C$280,0))</f>
        <v>35487</v>
      </c>
      <c r="P12" s="4" t="str">
        <f>IF(AND(INDEX(_玩家曲线!$H$2:$H$280,F12)&gt;=M12,INDEX(_玩家曲线!$I$2:$I$280,F12)&gt;=N12),"通过","超出玩家曲线")</f>
        <v>通过</v>
      </c>
      <c r="Q12" s="4">
        <v>60</v>
      </c>
      <c r="R12" s="4">
        <v>36</v>
      </c>
    </row>
    <row r="13" ht="25" customHeight="1" spans="1:18">
      <c r="A13" s="4">
        <v>9</v>
      </c>
      <c r="B13" s="4">
        <f>爬塔!J13</f>
        <v>42</v>
      </c>
      <c r="C13" s="4">
        <v>68300</v>
      </c>
      <c r="D13" s="5">
        <f>IF(P13="通过",ROUND(O13,-MAX(0,INT(LOG10(O13))-推荐战力参数!$B$5+1)),0)</f>
        <v>39300</v>
      </c>
      <c r="E13" s="6">
        <f t="shared" si="0"/>
        <v>-0.424597364568082</v>
      </c>
      <c r="F13" s="4">
        <f t="shared" si="1"/>
        <v>26</v>
      </c>
      <c r="G13" s="4">
        <f>MIN(ROWS(_玩家曲线!$H$2:$H$280),COUNTIF(_玩家曲线!$H$2:$H$280,"&lt;"&amp;M13)+1)</f>
        <v>24</v>
      </c>
      <c r="H13" s="4">
        <f>MIN(ROWS(_玩家曲线!$I$2:$I$280),COUNTIF(_玩家曲线!$I$2:$I$280,"&lt;"&amp;N13)+1)</f>
        <v>26</v>
      </c>
      <c r="I13" s="7">
        <v>10.2061736266774</v>
      </c>
      <c r="J13" s="7">
        <v>7.81313469510556</v>
      </c>
      <c r="K13" s="4">
        <f>爬塔!W13</f>
        <v>270290.754333333</v>
      </c>
      <c r="L13" s="4">
        <f>爬塔!T13*IF(爬塔!O13="",1,爬塔!O13)</f>
        <v>11264</v>
      </c>
      <c r="M13" s="4">
        <f t="shared" si="2"/>
        <v>26483.0644882264</v>
      </c>
      <c r="N13" s="4">
        <f t="shared" si="3"/>
        <v>88007.149205669</v>
      </c>
      <c r="O13" s="4">
        <f>INDEX(_统一战力!$D$2:$D$280,MATCH(F13,_统一战力!$C$2:$C$280,0))</f>
        <v>39292</v>
      </c>
      <c r="P13" s="4" t="str">
        <f>IF(AND(INDEX(_玩家曲线!$H$2:$H$280,F13)&gt;=M13,INDEX(_玩家曲线!$I$2:$I$280,F13)&gt;=N13),"通过","超出玩家曲线")</f>
        <v>通过</v>
      </c>
      <c r="Q13" s="4">
        <v>63</v>
      </c>
      <c r="R13" s="4">
        <v>38</v>
      </c>
    </row>
    <row r="14" ht="25" customHeight="1" spans="1:18">
      <c r="A14" s="4">
        <v>10</v>
      </c>
      <c r="B14" s="4">
        <f>爬塔!J14</f>
        <v>45</v>
      </c>
      <c r="C14" s="4">
        <v>74500</v>
      </c>
      <c r="D14" s="5">
        <f>IF(P14="通过",ROUND(O14,-MAX(0,INT(LOG10(O14))-推荐战力参数!$B$5+1)),0)</f>
        <v>45400</v>
      </c>
      <c r="E14" s="6">
        <f t="shared" si="0"/>
        <v>-0.390604026845638</v>
      </c>
      <c r="F14" s="4">
        <f t="shared" si="1"/>
        <v>29</v>
      </c>
      <c r="G14" s="4">
        <f>MIN(ROWS(_玩家曲线!$H$2:$H$280),COUNTIF(_玩家曲线!$H$2:$H$280,"&lt;"&amp;M14)+1)</f>
        <v>27</v>
      </c>
      <c r="H14" s="4">
        <f>MIN(ROWS(_玩家曲线!$I$2:$I$280),COUNTIF(_玩家曲线!$I$2:$I$280,"&lt;"&amp;N14)+1)</f>
        <v>29</v>
      </c>
      <c r="I14" s="7">
        <v>9.31390848009875</v>
      </c>
      <c r="J14" s="7">
        <v>7.68829468986938</v>
      </c>
      <c r="K14" s="4">
        <f>爬塔!W14</f>
        <v>280379.88</v>
      </c>
      <c r="L14" s="4">
        <f>爬塔!T14*IF(爬塔!O14="",1,爬塔!O14)</f>
        <v>12618</v>
      </c>
      <c r="M14" s="4">
        <f t="shared" si="2"/>
        <v>30103.3535597966</v>
      </c>
      <c r="N14" s="4">
        <f t="shared" si="3"/>
        <v>97010.9023967718</v>
      </c>
      <c r="O14" s="4">
        <f>INDEX(_统一战力!$D$2:$D$280,MATCH(F14,_统一战力!$C$2:$C$280,0))</f>
        <v>45415</v>
      </c>
      <c r="P14" s="4" t="str">
        <f>IF(AND(INDEX(_玩家曲线!$H$2:$H$280,F14)&gt;=M14,INDEX(_玩家曲线!$I$2:$I$280,F14)&gt;=N14),"通过","超出玩家曲线")</f>
        <v>通过</v>
      </c>
      <c r="Q14" s="4">
        <v>66</v>
      </c>
      <c r="R14" s="4">
        <v>40</v>
      </c>
    </row>
    <row r="15" ht="25" customHeight="1" spans="1:18">
      <c r="A15" s="4">
        <v>11</v>
      </c>
      <c r="B15" s="4">
        <f>爬塔!J15</f>
        <v>49</v>
      </c>
      <c r="C15" s="4">
        <v>82700</v>
      </c>
      <c r="D15" s="5">
        <f>IF(P15="通过",ROUND(O15,-MAX(0,INT(LOG10(O15))-推荐战力参数!$B$5+1)),0)</f>
        <v>51500</v>
      </c>
      <c r="E15" s="6">
        <f t="shared" si="0"/>
        <v>-0.37726723095526</v>
      </c>
      <c r="F15" s="4">
        <f t="shared" si="1"/>
        <v>32</v>
      </c>
      <c r="G15" s="4">
        <f>MIN(ROWS(_玩家曲线!$H$2:$H$280),COUNTIF(_玩家曲线!$H$2:$H$280,"&lt;"&amp;M15)+1)</f>
        <v>29</v>
      </c>
      <c r="H15" s="4">
        <f>MIN(ROWS(_玩家曲线!$I$2:$I$280),COUNTIF(_玩家曲线!$I$2:$I$280,"&lt;"&amp;N15)+1)</f>
        <v>32</v>
      </c>
      <c r="I15" s="7">
        <v>9.32988815066755</v>
      </c>
      <c r="J15" s="7">
        <v>7.90921404229295</v>
      </c>
      <c r="K15" s="4">
        <f>爬塔!W15</f>
        <v>323867.379</v>
      </c>
      <c r="L15" s="4">
        <f>爬塔!T15*IF(爬塔!O15="",1,爬塔!O15)</f>
        <v>13761</v>
      </c>
      <c r="M15" s="4">
        <f t="shared" si="2"/>
        <v>34712.8897763718</v>
      </c>
      <c r="N15" s="4">
        <f t="shared" si="3"/>
        <v>108838.694435993</v>
      </c>
      <c r="O15" s="4">
        <f>INDEX(_统一战力!$D$2:$D$280,MATCH(F15,_统一战力!$C$2:$C$280,0))</f>
        <v>51540</v>
      </c>
      <c r="P15" s="4" t="str">
        <f>IF(AND(INDEX(_玩家曲线!$H$2:$H$280,F15)&gt;=M15,INDEX(_玩家曲线!$I$2:$I$280,F15)&gt;=N15),"通过","超出玩家曲线")</f>
        <v>通过</v>
      </c>
      <c r="Q15" s="4">
        <v>70</v>
      </c>
      <c r="R15" s="4">
        <v>42</v>
      </c>
    </row>
    <row r="16" ht="25" customHeight="1" spans="1:18">
      <c r="A16" s="4">
        <v>12</v>
      </c>
      <c r="B16" s="4">
        <f>爬塔!J16</f>
        <v>52</v>
      </c>
      <c r="C16" s="4">
        <v>91400</v>
      </c>
      <c r="D16" s="5">
        <f>IF(P16="通过",ROUND(O16,-MAX(0,INT(LOG10(O16))-推荐战力参数!$B$5+1)),0)</f>
        <v>54100</v>
      </c>
      <c r="E16" s="6">
        <f t="shared" si="0"/>
        <v>-0.408096280087527</v>
      </c>
      <c r="F16" s="4">
        <f t="shared" si="1"/>
        <v>33</v>
      </c>
      <c r="G16" s="4">
        <f>MIN(ROWS(_玩家曲线!$H$2:$H$280),COUNTIF(_玩家曲线!$H$2:$H$280,"&lt;"&amp;M16)+1)</f>
        <v>31</v>
      </c>
      <c r="H16" s="4">
        <f>MIN(ROWS(_玩家曲线!$I$2:$I$280),COUNTIF(_玩家曲线!$I$2:$I$280,"&lt;"&amp;N16)+1)</f>
        <v>33</v>
      </c>
      <c r="I16" s="7">
        <v>10.7465543406297</v>
      </c>
      <c r="J16" s="7">
        <v>8.29855223914776</v>
      </c>
      <c r="K16" s="4">
        <f>爬塔!W16</f>
        <v>399085.308</v>
      </c>
      <c r="L16" s="4">
        <f>爬塔!T16*IF(爬塔!O16="",1,爬塔!O16)</f>
        <v>14033</v>
      </c>
      <c r="M16" s="4">
        <f t="shared" si="2"/>
        <v>37136.1178057948</v>
      </c>
      <c r="N16" s="4">
        <f t="shared" si="3"/>
        <v>116453.583571961</v>
      </c>
      <c r="O16" s="4">
        <f>INDEX(_统一战力!$D$2:$D$280,MATCH(F16,_统一战力!$C$2:$C$280,0))</f>
        <v>54095</v>
      </c>
      <c r="P16" s="4" t="str">
        <f>IF(AND(INDEX(_玩家曲线!$H$2:$H$280,F16)&gt;=M16,INDEX(_玩家曲线!$I$2:$I$280,F16)&gt;=N16),"通过","超出玩家曲线")</f>
        <v>通过</v>
      </c>
      <c r="Q16" s="4">
        <v>75</v>
      </c>
      <c r="R16" s="4">
        <v>44</v>
      </c>
    </row>
    <row r="17" ht="25" customHeight="1" spans="1:18">
      <c r="A17" s="4">
        <v>13</v>
      </c>
      <c r="B17" s="4">
        <f>爬塔!J17</f>
        <v>56</v>
      </c>
      <c r="C17" s="4">
        <v>105000</v>
      </c>
      <c r="D17" s="5">
        <f>IF(P17="通过",ROUND(O17,-MAX(0,INT(LOG10(O17))-推荐战力参数!$B$5+1)),0)</f>
        <v>62400</v>
      </c>
      <c r="E17" s="6">
        <f t="shared" si="0"/>
        <v>-0.405714285714286</v>
      </c>
      <c r="F17" s="4">
        <f t="shared" si="1"/>
        <v>36</v>
      </c>
      <c r="G17" s="4">
        <f>MIN(ROWS(_玩家曲线!$H$2:$H$280),COUNTIF(_玩家曲线!$H$2:$H$280,"&lt;"&amp;M17)+1)</f>
        <v>34</v>
      </c>
      <c r="H17" s="4">
        <f>MIN(ROWS(_玩家曲线!$I$2:$I$280),COUNTIF(_玩家曲线!$I$2:$I$280,"&lt;"&amp;N17)+1)</f>
        <v>36</v>
      </c>
      <c r="I17" s="7">
        <v>8.83332614987284</v>
      </c>
      <c r="J17" s="7">
        <v>8.12932361968991</v>
      </c>
      <c r="K17" s="4">
        <f>爬塔!W17</f>
        <v>385802.07725</v>
      </c>
      <c r="L17" s="4">
        <f>爬塔!T17*IF(爬塔!O17="",1,爬塔!O17)</f>
        <v>16279</v>
      </c>
      <c r="M17" s="4">
        <f t="shared" si="2"/>
        <v>43675.7423765626</v>
      </c>
      <c r="N17" s="4">
        <f t="shared" si="3"/>
        <v>132337.259204932</v>
      </c>
      <c r="O17" s="4">
        <f>INDEX(_统一战力!$D$2:$D$280,MATCH(F17,_统一战力!$C$2:$C$280,0))</f>
        <v>62355</v>
      </c>
      <c r="P17" s="4" t="str">
        <f>IF(AND(INDEX(_玩家曲线!$H$2:$H$280,F17)&gt;=M17,INDEX(_玩家曲线!$I$2:$I$280,F17)&gt;=N17),"通过","超出玩家曲线")</f>
        <v>通过</v>
      </c>
      <c r="Q17" s="4">
        <v>80</v>
      </c>
      <c r="R17" s="4">
        <v>47</v>
      </c>
    </row>
    <row r="18" ht="25" customHeight="1" spans="1:18">
      <c r="A18" s="4">
        <v>14</v>
      </c>
      <c r="B18" s="4">
        <f>爬塔!J18</f>
        <v>59</v>
      </c>
      <c r="C18" s="4">
        <v>115000</v>
      </c>
      <c r="D18" s="5">
        <f>IF(P18="通过",ROUND(O18,-MAX(0,INT(LOG10(O18))-推荐战力参数!$B$5+1)),0)</f>
        <v>68300</v>
      </c>
      <c r="E18" s="6">
        <f t="shared" si="0"/>
        <v>-0.406086956521739</v>
      </c>
      <c r="F18" s="4">
        <f t="shared" si="1"/>
        <v>38</v>
      </c>
      <c r="G18" s="4">
        <f>MIN(ROWS(_玩家曲线!$H$2:$H$280),COUNTIF(_玩家曲线!$H$2:$H$280,"&lt;"&amp;M18)+1)</f>
        <v>35</v>
      </c>
      <c r="H18" s="4">
        <f>MIN(ROWS(_玩家曲线!$I$2:$I$280),COUNTIF(_玩家曲线!$I$2:$I$280,"&lt;"&amp;N18)+1)</f>
        <v>38</v>
      </c>
      <c r="I18" s="7">
        <v>11.2881875033337</v>
      </c>
      <c r="J18" s="7">
        <v>9.19589935694646</v>
      </c>
      <c r="K18" s="4">
        <f>爬塔!W18</f>
        <v>520353.514541667</v>
      </c>
      <c r="L18" s="4">
        <f>爬塔!T18*IF(爬塔!O18="",1,爬塔!O18)</f>
        <v>15304</v>
      </c>
      <c r="M18" s="4">
        <f t="shared" si="2"/>
        <v>46097.1714358919</v>
      </c>
      <c r="N18" s="4">
        <f t="shared" si="3"/>
        <v>140734.043758709</v>
      </c>
      <c r="O18" s="4">
        <f>INDEX(_统一战力!$D$2:$D$280,MATCH(F18,_统一战力!$C$2:$C$280,0))</f>
        <v>68280</v>
      </c>
      <c r="P18" s="4" t="str">
        <f>IF(AND(INDEX(_玩家曲线!$H$2:$H$280,F18)&gt;=M18,INDEX(_玩家曲线!$I$2:$I$280,F18)&gt;=N18),"通过","超出玩家曲线")</f>
        <v>通过</v>
      </c>
      <c r="Q18" s="4">
        <v>85</v>
      </c>
      <c r="R18" s="4">
        <v>49</v>
      </c>
    </row>
    <row r="19" ht="25" customHeight="1" spans="1:18">
      <c r="A19" s="4">
        <v>15</v>
      </c>
      <c r="B19" s="4">
        <f>爬塔!J19</f>
        <v>63</v>
      </c>
      <c r="C19" s="4">
        <v>125000</v>
      </c>
      <c r="D19" s="5">
        <f>IF(P19="通过",ROUND(O19,-MAX(0,INT(LOG10(O19))-推荐战力参数!$B$5+1)),0)</f>
        <v>74500</v>
      </c>
      <c r="E19" s="6">
        <f t="shared" si="0"/>
        <v>-0.404</v>
      </c>
      <c r="F19" s="4">
        <f t="shared" si="1"/>
        <v>40</v>
      </c>
      <c r="G19" s="4">
        <f>MIN(ROWS(_玩家曲线!$H$2:$H$280),COUNTIF(_玩家曲线!$H$2:$H$280,"&lt;"&amp;M19)+1)</f>
        <v>37</v>
      </c>
      <c r="H19" s="4">
        <f>MIN(ROWS(_玩家曲线!$I$2:$I$280),COUNTIF(_玩家曲线!$I$2:$I$280,"&lt;"&amp;N19)+1)</f>
        <v>40</v>
      </c>
      <c r="I19" s="7">
        <v>11.1656674615391</v>
      </c>
      <c r="J19" s="7">
        <v>8.86245008294144</v>
      </c>
      <c r="K19" s="4">
        <f>爬塔!W19</f>
        <v>566757.864291667</v>
      </c>
      <c r="L19" s="4">
        <f>爬塔!T19*IF(爬塔!O19="",1,爬塔!O19)</f>
        <v>17199</v>
      </c>
      <c r="M19" s="4">
        <f t="shared" si="2"/>
        <v>50758.977575134</v>
      </c>
      <c r="N19" s="4">
        <f t="shared" si="3"/>
        <v>152425.27897651</v>
      </c>
      <c r="O19" s="4">
        <f>INDEX(_统一战力!$D$2:$D$280,MATCH(F19,_统一战力!$C$2:$C$280,0))</f>
        <v>74525</v>
      </c>
      <c r="P19" s="4" t="str">
        <f>IF(AND(INDEX(_玩家曲线!$H$2:$H$280,F19)&gt;=M19,INDEX(_玩家曲线!$I$2:$I$280,F19)&gt;=N19),"通过","超出玩家曲线")</f>
        <v>通过</v>
      </c>
      <c r="Q19" s="4">
        <v>90</v>
      </c>
      <c r="R19" s="4">
        <v>51</v>
      </c>
    </row>
    <row r="20" ht="25" customHeight="1" spans="1:18">
      <c r="A20" s="4">
        <v>16</v>
      </c>
      <c r="B20" s="4">
        <f>爬塔!J20</f>
        <v>66</v>
      </c>
      <c r="C20" s="4">
        <v>136000</v>
      </c>
      <c r="D20" s="5">
        <f>IF(P20="通过",ROUND(O20,-MAX(0,INT(LOG10(O20))-推荐战力参数!$B$5+1)),0)</f>
        <v>78600</v>
      </c>
      <c r="E20" s="6">
        <f t="shared" si="0"/>
        <v>-0.422058823529412</v>
      </c>
      <c r="F20" s="4">
        <f t="shared" si="1"/>
        <v>41</v>
      </c>
      <c r="G20" s="4">
        <f>MIN(ROWS(_玩家曲线!$H$2:$H$280),COUNTIF(_玩家曲线!$H$2:$H$280,"&lt;"&amp;M20)+1)</f>
        <v>38</v>
      </c>
      <c r="H20" s="4">
        <f>MIN(ROWS(_玩家曲线!$I$2:$I$280),COUNTIF(_玩家曲线!$I$2:$I$280,"&lt;"&amp;N20)+1)</f>
        <v>41</v>
      </c>
      <c r="I20" s="7">
        <v>12.5594166659718</v>
      </c>
      <c r="J20" s="7">
        <v>8.76301372396944</v>
      </c>
      <c r="K20" s="4">
        <f>爬塔!W20</f>
        <v>659899.299916667</v>
      </c>
      <c r="L20" s="4">
        <f>爬塔!T20*IF(爬塔!O20="",1,爬塔!O20)</f>
        <v>18166</v>
      </c>
      <c r="M20" s="4">
        <f t="shared" si="2"/>
        <v>52542.1934367846</v>
      </c>
      <c r="N20" s="4">
        <f t="shared" si="3"/>
        <v>159188.907309629</v>
      </c>
      <c r="O20" s="4">
        <f>INDEX(_统一战力!$D$2:$D$280,MATCH(F20,_统一战力!$C$2:$C$280,0))</f>
        <v>78575</v>
      </c>
      <c r="P20" s="4" t="str">
        <f>IF(AND(INDEX(_玩家曲线!$H$2:$H$280,F20)&gt;=M20,INDEX(_玩家曲线!$I$2:$I$280,F20)&gt;=N20),"通过","超出玩家曲线")</f>
        <v>通过</v>
      </c>
      <c r="Q20" s="4">
        <v>96</v>
      </c>
      <c r="R20" s="4">
        <v>53</v>
      </c>
    </row>
    <row r="21" ht="25" customHeight="1" spans="1:18">
      <c r="A21" s="4">
        <v>17</v>
      </c>
      <c r="B21" s="4">
        <f>爬塔!J21</f>
        <v>70</v>
      </c>
      <c r="C21" s="4">
        <v>147000</v>
      </c>
      <c r="D21" s="5">
        <f>IF(P21="通过",ROUND(O21,-MAX(0,INT(LOG10(O21))-推荐战力参数!$B$5+1)),0)</f>
        <v>82700</v>
      </c>
      <c r="E21" s="6">
        <f t="shared" si="0"/>
        <v>-0.437414965986395</v>
      </c>
      <c r="F21" s="4">
        <f t="shared" si="1"/>
        <v>42</v>
      </c>
      <c r="G21" s="4">
        <f>MIN(ROWS(_玩家曲线!$H$2:$H$280),COUNTIF(_玩家曲线!$H$2:$H$280,"&lt;"&amp;M21)+1)</f>
        <v>39</v>
      </c>
      <c r="H21" s="4">
        <f>MIN(ROWS(_玩家曲线!$I$2:$I$280),COUNTIF(_玩家曲线!$I$2:$I$280,"&lt;"&amp;N21)+1)</f>
        <v>42</v>
      </c>
      <c r="I21" s="7">
        <v>13.1176924700102</v>
      </c>
      <c r="J21" s="7">
        <v>8.74032966921796</v>
      </c>
      <c r="K21" s="4">
        <f>爬塔!W21</f>
        <v>732009.20825</v>
      </c>
      <c r="L21" s="4">
        <f>爬塔!T21*IF(爬塔!O21="",1,爬塔!O21)</f>
        <v>19278</v>
      </c>
      <c r="M21" s="4">
        <f t="shared" si="2"/>
        <v>55803.1993754638</v>
      </c>
      <c r="N21" s="4">
        <f t="shared" si="3"/>
        <v>168496.075363184</v>
      </c>
      <c r="O21" s="4">
        <f>INDEX(_统一战力!$D$2:$D$280,MATCH(F21,_统一战力!$C$2:$C$280,0))</f>
        <v>82740</v>
      </c>
      <c r="P21" s="4" t="str">
        <f>IF(AND(INDEX(_玩家曲线!$H$2:$H$280,F21)&gt;=M21,INDEX(_玩家曲线!$I$2:$I$280,F21)&gt;=N21),"通过","超出玩家曲线")</f>
        <v>通过</v>
      </c>
      <c r="Q21" s="4">
        <v>102</v>
      </c>
      <c r="R21" s="4">
        <v>55</v>
      </c>
    </row>
    <row r="22" ht="25" customHeight="1" spans="1:18">
      <c r="A22" s="4">
        <v>18</v>
      </c>
      <c r="B22" s="4">
        <f>爬塔!J22</f>
        <v>73</v>
      </c>
      <c r="C22" s="4">
        <v>161000</v>
      </c>
      <c r="D22" s="5">
        <f>IF(P22="通过",ROUND(O22,-MAX(0,INT(LOG10(O22))-推荐战力参数!$B$5+1)),0)</f>
        <v>91400</v>
      </c>
      <c r="E22" s="6">
        <f t="shared" si="0"/>
        <v>-0.432298136645963</v>
      </c>
      <c r="F22" s="4">
        <f t="shared" si="1"/>
        <v>44</v>
      </c>
      <c r="G22" s="4">
        <f>MIN(ROWS(_玩家曲线!$H$2:$H$280),COUNTIF(_玩家曲线!$H$2:$H$280,"&lt;"&amp;M22)+1)</f>
        <v>41</v>
      </c>
      <c r="H22" s="4">
        <f>MIN(ROWS(_玩家曲线!$I$2:$I$280),COUNTIF(_玩家曲线!$I$2:$I$280,"&lt;"&amp;N22)+1)</f>
        <v>44</v>
      </c>
      <c r="I22" s="7">
        <v>11.7061367130464</v>
      </c>
      <c r="J22" s="7">
        <v>8.96268217209865</v>
      </c>
      <c r="K22" s="4">
        <f>爬塔!W22</f>
        <v>724734.556083333</v>
      </c>
      <c r="L22" s="4">
        <f>爬塔!T22*IF(爬塔!O22="",1,爬塔!O22)</f>
        <v>20385</v>
      </c>
      <c r="M22" s="4">
        <f t="shared" si="2"/>
        <v>61910.6519809923</v>
      </c>
      <c r="N22" s="4">
        <f t="shared" si="3"/>
        <v>182704.276078231</v>
      </c>
      <c r="O22" s="4">
        <f>INDEX(_统一战力!$D$2:$D$280,MATCH(F22,_统一战力!$C$2:$C$280,0))</f>
        <v>91410</v>
      </c>
      <c r="P22" s="4" t="str">
        <f>IF(AND(INDEX(_玩家曲线!$H$2:$H$280,F22)&gt;=M22,INDEX(_玩家曲线!$I$2:$I$280,F22)&gt;=N22),"通过","超出玩家曲线")</f>
        <v>通过</v>
      </c>
      <c r="Q22" s="4">
        <v>106</v>
      </c>
      <c r="R22" s="4">
        <v>58</v>
      </c>
    </row>
    <row r="23" ht="25" customHeight="1" spans="1:18">
      <c r="A23" s="4">
        <v>19</v>
      </c>
      <c r="B23" s="4">
        <f>爬塔!J23</f>
        <v>77</v>
      </c>
      <c r="C23" s="4">
        <v>170000</v>
      </c>
      <c r="D23" s="5">
        <f>IF(P23="通过",ROUND(O23,-MAX(0,INT(LOG10(O23))-推荐战力参数!$B$5+1)),0)</f>
        <v>95900</v>
      </c>
      <c r="E23" s="6">
        <f t="shared" si="0"/>
        <v>-0.435882352941176</v>
      </c>
      <c r="F23" s="4">
        <f t="shared" si="1"/>
        <v>45</v>
      </c>
      <c r="G23" s="4">
        <f>MIN(ROWS(_玩家曲线!$H$2:$H$280),COUNTIF(_玩家曲线!$H$2:$H$280,"&lt;"&amp;M23)+1)</f>
        <v>42</v>
      </c>
      <c r="H23" s="4">
        <f>MIN(ROWS(_玩家曲线!$I$2:$I$280),COUNTIF(_玩家曲线!$I$2:$I$280,"&lt;"&amp;N23)+1)</f>
        <v>45</v>
      </c>
      <c r="I23" s="7">
        <v>13.7833561236789</v>
      </c>
      <c r="J23" s="7">
        <v>9.23549323098009</v>
      </c>
      <c r="K23" s="4">
        <f>爬塔!W23</f>
        <v>885322.40725</v>
      </c>
      <c r="L23" s="4">
        <f>爬塔!T23*IF(爬塔!O23="",1,爬塔!O23)</f>
        <v>20654</v>
      </c>
      <c r="M23" s="4">
        <f t="shared" si="2"/>
        <v>64231.2655427276</v>
      </c>
      <c r="N23" s="4">
        <f t="shared" si="3"/>
        <v>190749.877192663</v>
      </c>
      <c r="O23" s="4">
        <f>INDEX(_统一战力!$D$2:$D$280,MATCH(F23,_统一战力!$C$2:$C$280,0))</f>
        <v>95915</v>
      </c>
      <c r="P23" s="4" t="str">
        <f>IF(AND(INDEX(_玩家曲线!$H$2:$H$280,F23)&gt;=M23,INDEX(_玩家曲线!$I$2:$I$280,F23)&gt;=N23),"通过","超出玩家曲线")</f>
        <v>通过</v>
      </c>
      <c r="Q23" s="4">
        <v>112</v>
      </c>
      <c r="R23" s="4">
        <v>60</v>
      </c>
    </row>
    <row r="24" ht="25" customHeight="1" spans="1:18">
      <c r="A24" s="4">
        <v>20</v>
      </c>
      <c r="B24" s="4">
        <f>爬塔!J24</f>
        <v>80</v>
      </c>
      <c r="C24" s="4">
        <v>180000</v>
      </c>
      <c r="D24" s="5">
        <f>IF(P24="通过",ROUND(O24,-MAX(0,INT(LOG10(O24))-推荐战力参数!$B$5+1)),0)</f>
        <v>101000</v>
      </c>
      <c r="E24" s="6">
        <f t="shared" si="0"/>
        <v>-0.438888888888889</v>
      </c>
      <c r="F24" s="4">
        <f t="shared" si="1"/>
        <v>46</v>
      </c>
      <c r="G24" s="4">
        <f>MIN(ROWS(_玩家曲线!$H$2:$H$280),COUNTIF(_玩家曲线!$H$2:$H$280,"&lt;"&amp;M24)+1)</f>
        <v>43</v>
      </c>
      <c r="H24" s="4">
        <f>MIN(ROWS(_玩家曲线!$I$2:$I$280),COUNTIF(_玩家曲线!$I$2:$I$280,"&lt;"&amp;N24)+1)</f>
        <v>46</v>
      </c>
      <c r="I24" s="7">
        <v>12.1046699241379</v>
      </c>
      <c r="J24" s="7">
        <v>8.49973304346376</v>
      </c>
      <c r="K24" s="4">
        <f>爬塔!W24</f>
        <v>817162.828875</v>
      </c>
      <c r="L24" s="4">
        <f>爬塔!T24*IF(爬塔!O24="",1,爬塔!O24)</f>
        <v>23324</v>
      </c>
      <c r="M24" s="4">
        <f t="shared" si="2"/>
        <v>67508.0637469921</v>
      </c>
      <c r="N24" s="4">
        <f t="shared" si="3"/>
        <v>198247.773505749</v>
      </c>
      <c r="O24" s="4">
        <f>INDEX(_统一战力!$D$2:$D$280,MATCH(F24,_统一战力!$C$2:$C$280,0))</f>
        <v>100540</v>
      </c>
      <c r="P24" s="4" t="str">
        <f>IF(AND(INDEX(_玩家曲线!$H$2:$H$280,F24)&gt;=M24,INDEX(_玩家曲线!$I$2:$I$280,F24)&gt;=N24),"通过","超出玩家曲线")</f>
        <v>通过</v>
      </c>
      <c r="Q24" s="4">
        <v>117</v>
      </c>
      <c r="R24" s="4">
        <v>62</v>
      </c>
    </row>
    <row r="25" ht="25" customHeight="1" spans="1:18">
      <c r="A25" s="4">
        <v>21</v>
      </c>
      <c r="B25" s="4">
        <f>爬塔!J25</f>
        <v>84</v>
      </c>
      <c r="C25" s="4">
        <v>197000</v>
      </c>
      <c r="D25" s="5">
        <f>IF(P25="通过",ROUND(O25,-MAX(0,INT(LOG10(O25))-推荐战力参数!$B$5+1)),0)</f>
        <v>110000</v>
      </c>
      <c r="E25" s="6">
        <f t="shared" si="0"/>
        <v>-0.441624365482233</v>
      </c>
      <c r="F25" s="4">
        <f t="shared" si="1"/>
        <v>48</v>
      </c>
      <c r="G25" s="4">
        <f>MIN(ROWS(_玩家曲线!$H$2:$H$280),COUNTIF(_玩家曲线!$H$2:$H$280,"&lt;"&amp;M25)+1)</f>
        <v>44</v>
      </c>
      <c r="H25" s="4">
        <f>MIN(ROWS(_玩家曲线!$I$2:$I$280),COUNTIF(_玩家曲线!$I$2:$I$280,"&lt;"&amp;N25)+1)</f>
        <v>48</v>
      </c>
      <c r="I25" s="7">
        <v>14.6794150850065</v>
      </c>
      <c r="J25" s="7">
        <v>9.05466564783957</v>
      </c>
      <c r="K25" s="4">
        <f>爬塔!W25</f>
        <v>1081019.53933333</v>
      </c>
      <c r="L25" s="4">
        <f>爬塔!T25*IF(爬塔!O25="",1,爬塔!O25)</f>
        <v>23895</v>
      </c>
      <c r="M25" s="4">
        <f t="shared" si="2"/>
        <v>73641.8674091097</v>
      </c>
      <c r="N25" s="4">
        <f t="shared" si="3"/>
        <v>216361.235655127</v>
      </c>
      <c r="O25" s="4">
        <f>INDEX(_统一战力!$D$2:$D$280,MATCH(F25,_统一战力!$C$2:$C$280,0))</f>
        <v>110150</v>
      </c>
      <c r="P25" s="4" t="str">
        <f>IF(AND(INDEX(_玩家曲线!$H$2:$H$280,F25)&gt;=M25,INDEX(_玩家曲线!$I$2:$I$280,F25)&gt;=N25),"通过","超出玩家曲线")</f>
        <v>通过</v>
      </c>
      <c r="Q25" s="4">
        <v>122</v>
      </c>
      <c r="R25" s="4">
        <v>65</v>
      </c>
    </row>
    <row r="26" ht="25" customHeight="1" spans="1:18">
      <c r="A26" s="4">
        <v>22</v>
      </c>
      <c r="B26" s="4">
        <f>爬塔!J26</f>
        <v>88</v>
      </c>
      <c r="C26" s="4">
        <v>211000</v>
      </c>
      <c r="D26" s="5">
        <f>IF(P26="通过",ROUND(O26,-MAX(0,INT(LOG10(O26))-推荐战力参数!$B$5+1)),0)</f>
        <v>125000</v>
      </c>
      <c r="E26" s="6">
        <f t="shared" si="0"/>
        <v>-0.407582938388626</v>
      </c>
      <c r="F26" s="4">
        <f t="shared" si="1"/>
        <v>51</v>
      </c>
      <c r="G26" s="4">
        <f>MIN(ROWS(_玩家曲线!$H$2:$H$280),COUNTIF(_玩家曲线!$H$2:$H$280,"&lt;"&amp;M26)+1)</f>
        <v>46</v>
      </c>
      <c r="H26" s="4">
        <f>MIN(ROWS(_玩家曲线!$I$2:$I$280),COUNTIF(_玩家曲线!$I$2:$I$280,"&lt;"&amp;N26)+1)</f>
        <v>51</v>
      </c>
      <c r="I26" s="7">
        <v>14.1292339549844</v>
      </c>
      <c r="J26" s="7">
        <v>8.9075122025921</v>
      </c>
      <c r="K26" s="4">
        <f>爬塔!W26</f>
        <v>1143586.61666667</v>
      </c>
      <c r="L26" s="4">
        <f>爬塔!T26*IF(爬塔!O26="",1,爬塔!O26)</f>
        <v>26307</v>
      </c>
      <c r="M26" s="4">
        <f t="shared" si="2"/>
        <v>80937.6233920482</v>
      </c>
      <c r="N26" s="4">
        <f t="shared" si="3"/>
        <v>234329.92351359</v>
      </c>
      <c r="O26" s="4">
        <f>INDEX(_统一战力!$D$2:$D$280,MATCH(F26,_统一战力!$C$2:$C$280,0))</f>
        <v>125460</v>
      </c>
      <c r="P26" s="4" t="str">
        <f>IF(AND(INDEX(_玩家曲线!$H$2:$H$280,F26)&gt;=M26,INDEX(_玩家曲线!$I$2:$I$280,F26)&gt;=N26),"通过","超出玩家曲线")</f>
        <v>通过</v>
      </c>
      <c r="Q26" s="4">
        <v>126</v>
      </c>
      <c r="R26" s="4">
        <v>67</v>
      </c>
    </row>
    <row r="27" ht="25" customHeight="1" spans="1:18">
      <c r="A27" s="4">
        <v>23</v>
      </c>
      <c r="B27" s="4">
        <f>爬塔!J27</f>
        <v>92</v>
      </c>
      <c r="C27" s="4">
        <v>225000</v>
      </c>
      <c r="D27" s="5">
        <f>IF(P27="通过",ROUND(O27,-MAX(0,INT(LOG10(O27))-推荐战力参数!$B$5+1)),0)</f>
        <v>136000</v>
      </c>
      <c r="E27" s="6">
        <f t="shared" si="0"/>
        <v>-0.395555555555556</v>
      </c>
      <c r="F27" s="4">
        <f t="shared" si="1"/>
        <v>53</v>
      </c>
      <c r="G27" s="4">
        <f>MIN(ROWS(_玩家曲线!$H$2:$H$280),COUNTIF(_玩家曲线!$H$2:$H$280,"&lt;"&amp;M27)+1)</f>
        <v>48</v>
      </c>
      <c r="H27" s="4">
        <f>MIN(ROWS(_玩家曲线!$I$2:$I$280),COUNTIF(_玩家曲线!$I$2:$I$280,"&lt;"&amp;N27)+1)</f>
        <v>53</v>
      </c>
      <c r="I27" s="7">
        <v>15.5197120113035</v>
      </c>
      <c r="J27" s="7">
        <v>9.91095885646733</v>
      </c>
      <c r="K27" s="4">
        <f>爬塔!W27</f>
        <v>1365025.49775</v>
      </c>
      <c r="L27" s="4">
        <f>爬塔!T27*IF(爬塔!O27="",1,爬塔!O27)</f>
        <v>25532</v>
      </c>
      <c r="M27" s="4">
        <f t="shared" si="2"/>
        <v>87954.3059017982</v>
      </c>
      <c r="N27" s="4">
        <f t="shared" si="3"/>
        <v>253046.601523324</v>
      </c>
      <c r="O27" s="4">
        <f>INDEX(_统一战力!$D$2:$D$280,MATCH(F27,_统一战力!$C$2:$C$280,0))</f>
        <v>136285</v>
      </c>
      <c r="P27" s="4" t="str">
        <f>IF(AND(INDEX(_玩家曲线!$H$2:$H$280,F27)&gt;=M27,INDEX(_玩家曲线!$I$2:$I$280,F27)&gt;=N27),"通过","超出玩家曲线")</f>
        <v>通过</v>
      </c>
      <c r="Q27" s="4">
        <v>130</v>
      </c>
      <c r="R27" s="4">
        <v>69</v>
      </c>
    </row>
    <row r="28" ht="25" customHeight="1" spans="1:18">
      <c r="A28" s="4">
        <v>24</v>
      </c>
      <c r="B28" s="4">
        <f>爬塔!J28</f>
        <v>96</v>
      </c>
      <c r="C28" s="4">
        <v>243000</v>
      </c>
      <c r="D28" s="5">
        <f>IF(P28="通过",ROUND(O28,-MAX(0,INT(LOG10(O28))-推荐战力参数!$B$5+1)),0)</f>
        <v>147000</v>
      </c>
      <c r="E28" s="6">
        <f t="shared" si="0"/>
        <v>-0.395061728395062</v>
      </c>
      <c r="F28" s="4">
        <f t="shared" si="1"/>
        <v>55</v>
      </c>
      <c r="G28" s="4">
        <f>MIN(ROWS(_玩家曲线!$H$2:$H$280),COUNTIF(_玩家曲线!$H$2:$H$280,"&lt;"&amp;M28)+1)</f>
        <v>50</v>
      </c>
      <c r="H28" s="4">
        <f>MIN(ROWS(_玩家曲线!$I$2:$I$280),COUNTIF(_玩家曲线!$I$2:$I$280,"&lt;"&amp;N28)+1)</f>
        <v>55</v>
      </c>
      <c r="I28" s="7">
        <v>15.4856145395847</v>
      </c>
      <c r="J28" s="7">
        <v>10.6637377914468</v>
      </c>
      <c r="K28" s="4">
        <f>爬塔!W28</f>
        <v>1514963.13895833</v>
      </c>
      <c r="L28" s="4">
        <f>爬塔!T28*IF(爬塔!O28="",1,爬塔!O28)</f>
        <v>26010</v>
      </c>
      <c r="M28" s="4">
        <f t="shared" si="2"/>
        <v>97830.3531374714</v>
      </c>
      <c r="N28" s="4">
        <f t="shared" si="3"/>
        <v>277363.819955531</v>
      </c>
      <c r="O28" s="4">
        <f>INDEX(_统一战力!$D$2:$D$280,MATCH(F28,_统一战力!$C$2:$C$280,0))</f>
        <v>146810</v>
      </c>
      <c r="P28" s="4" t="str">
        <f>IF(AND(INDEX(_玩家曲线!$H$2:$H$280,F28)&gt;=M28,INDEX(_玩家曲线!$I$2:$I$280,F28)&gt;=N28),"通过","超出玩家曲线")</f>
        <v>通过</v>
      </c>
      <c r="Q28" s="4">
        <v>134</v>
      </c>
      <c r="R28" s="4">
        <v>72</v>
      </c>
    </row>
    <row r="29" ht="25" customHeight="1" spans="1:18">
      <c r="A29" s="4">
        <v>25</v>
      </c>
      <c r="B29" s="4">
        <f>爬塔!J29</f>
        <v>100</v>
      </c>
      <c r="C29" s="4">
        <v>255000</v>
      </c>
      <c r="D29" s="5">
        <f>IF(P29="通过",ROUND(O29,-MAX(0,INT(LOG10(O29))-推荐战力参数!$B$5+1)),0)</f>
        <v>161000</v>
      </c>
      <c r="E29" s="6">
        <f t="shared" si="0"/>
        <v>-0.368627450980392</v>
      </c>
      <c r="F29" s="4">
        <f t="shared" si="1"/>
        <v>58</v>
      </c>
      <c r="G29" s="4">
        <f>MIN(ROWS(_玩家曲线!$H$2:$H$280),COUNTIF(_玩家曲线!$H$2:$H$280,"&lt;"&amp;M29)+1)</f>
        <v>52</v>
      </c>
      <c r="H29" s="4">
        <f>MIN(ROWS(_玩家曲线!$I$2:$I$280),COUNTIF(_玩家曲线!$I$2:$I$280,"&lt;"&amp;N29)+1)</f>
        <v>58</v>
      </c>
      <c r="I29" s="7">
        <v>14.8636989012013</v>
      </c>
      <c r="J29" s="7">
        <v>10.4211582611178</v>
      </c>
      <c r="K29" s="4">
        <f>爬塔!W29</f>
        <v>1563819.08395833</v>
      </c>
      <c r="L29" s="4">
        <f>爬塔!T29*IF(爬塔!O29="",1,爬塔!O29)</f>
        <v>28273</v>
      </c>
      <c r="M29" s="4">
        <f t="shared" si="2"/>
        <v>105210.627203431</v>
      </c>
      <c r="N29" s="4">
        <f t="shared" si="3"/>
        <v>294637.407516584</v>
      </c>
      <c r="O29" s="4">
        <f>INDEX(_统一战力!$D$2:$D$280,MATCH(F29,_统一战力!$C$2:$C$280,0))</f>
        <v>160710</v>
      </c>
      <c r="P29" s="4" t="str">
        <f>IF(AND(INDEX(_玩家曲线!$H$2:$H$280,F29)&gt;=M29,INDEX(_玩家曲线!$I$2:$I$280,F29)&gt;=N29),"通过","超出玩家曲线")</f>
        <v>通过</v>
      </c>
      <c r="Q29" s="4">
        <v>138</v>
      </c>
      <c r="R29" s="4">
        <v>74</v>
      </c>
    </row>
    <row r="30" ht="25" customHeight="1" spans="1:18">
      <c r="A30" s="4">
        <v>26</v>
      </c>
      <c r="B30" s="4">
        <f>爬塔!J30</f>
        <v>104</v>
      </c>
      <c r="C30" s="4">
        <v>268000</v>
      </c>
      <c r="D30" s="5">
        <f>IF(P30="通过",ROUND(O30,-MAX(0,INT(LOG10(O30))-推荐战力参数!$B$5+1)),0)</f>
        <v>175000</v>
      </c>
      <c r="E30" s="6">
        <f t="shared" si="0"/>
        <v>-0.347014925373134</v>
      </c>
      <c r="F30" s="4">
        <f t="shared" si="1"/>
        <v>61</v>
      </c>
      <c r="G30" s="4">
        <f>MIN(ROWS(_玩家曲线!$H$2:$H$280),COUNTIF(_玩家曲线!$H$2:$H$280,"&lt;"&amp;M30)+1)</f>
        <v>55</v>
      </c>
      <c r="H30" s="4">
        <f>MIN(ROWS(_玩家曲线!$I$2:$I$280),COUNTIF(_玩家曲线!$I$2:$I$280,"&lt;"&amp;N30)+1)</f>
        <v>61</v>
      </c>
      <c r="I30" s="7">
        <v>13.0474549918587</v>
      </c>
      <c r="J30" s="7">
        <v>9.9624955984768</v>
      </c>
      <c r="K30" s="4">
        <f>爬塔!W30</f>
        <v>1562436.808625</v>
      </c>
      <c r="L30" s="4">
        <f>爬塔!T30*IF(爬塔!O30="",1,爬塔!O30)</f>
        <v>32411</v>
      </c>
      <c r="M30" s="4">
        <f t="shared" si="2"/>
        <v>119750.312194978</v>
      </c>
      <c r="N30" s="4">
        <f t="shared" si="3"/>
        <v>322894.444842232</v>
      </c>
      <c r="O30" s="4">
        <f>INDEX(_统一战力!$D$2:$D$280,MATCH(F30,_统一战力!$C$2:$C$280,0))</f>
        <v>175325</v>
      </c>
      <c r="P30" s="4" t="str">
        <f>IF(AND(INDEX(_玩家曲线!$H$2:$H$280,F30)&gt;=M30,INDEX(_玩家曲线!$I$2:$I$280,F30)&gt;=N30),"通过","超出玩家曲线")</f>
        <v>通过</v>
      </c>
      <c r="Q30" s="4">
        <v>139</v>
      </c>
      <c r="R30" s="4">
        <v>76</v>
      </c>
    </row>
    <row r="31" ht="25" customHeight="1" spans="1:18">
      <c r="A31" s="4">
        <v>27</v>
      </c>
      <c r="B31" s="4">
        <f>爬塔!J31</f>
        <v>108</v>
      </c>
      <c r="C31" s="4">
        <v>287000</v>
      </c>
      <c r="D31" s="5">
        <f>IF(P31="通过",ROUND(O31,-MAX(0,INT(LOG10(O31))-推荐战力参数!$B$5+1)),0)</f>
        <v>191000</v>
      </c>
      <c r="E31" s="6">
        <f t="shared" si="0"/>
        <v>-0.334494773519164</v>
      </c>
      <c r="F31" s="4">
        <f t="shared" si="1"/>
        <v>64</v>
      </c>
      <c r="G31" s="4">
        <f>MIN(ROWS(_玩家曲线!$H$2:$H$280),COUNTIF(_玩家曲线!$H$2:$H$280,"&lt;"&amp;M31)+1)</f>
        <v>56</v>
      </c>
      <c r="H31" s="4">
        <f>MIN(ROWS(_玩家曲线!$I$2:$I$280),COUNTIF(_玩家曲线!$I$2:$I$280,"&lt;"&amp;N31)+1)</f>
        <v>64</v>
      </c>
      <c r="I31" s="7">
        <v>15.5854293715865</v>
      </c>
      <c r="J31" s="7">
        <v>11.0194664398993</v>
      </c>
      <c r="K31" s="4">
        <f>爬塔!W31</f>
        <v>1991224.09854167</v>
      </c>
      <c r="L31" s="4">
        <f>爬塔!T31*IF(爬塔!O31="",1,爬塔!O31)</f>
        <v>31382</v>
      </c>
      <c r="M31" s="4">
        <f t="shared" si="2"/>
        <v>127761.901906394</v>
      </c>
      <c r="N31" s="4">
        <f t="shared" si="3"/>
        <v>345812.89581692</v>
      </c>
      <c r="O31" s="4">
        <f>INDEX(_统一战力!$D$2:$D$280,MATCH(F31,_统一战力!$C$2:$C$280,0))</f>
        <v>190675</v>
      </c>
      <c r="P31" s="4" t="str">
        <f>IF(AND(INDEX(_玩家曲线!$H$2:$H$280,F31)&gt;=M31,INDEX(_玩家曲线!$I$2:$I$280,F31)&gt;=N31),"通过","超出玩家曲线")</f>
        <v>通过</v>
      </c>
      <c r="Q31" s="4">
        <v>144</v>
      </c>
      <c r="R31" s="4">
        <v>79</v>
      </c>
    </row>
    <row r="32" ht="25" customHeight="1" spans="1:18">
      <c r="A32" s="4">
        <v>28</v>
      </c>
      <c r="B32" s="4">
        <f>爬塔!J32</f>
        <v>112</v>
      </c>
      <c r="C32" s="4">
        <v>300000</v>
      </c>
      <c r="D32" s="5">
        <f>IF(P32="通过",ROUND(O32,-MAX(0,INT(LOG10(O32))-推荐战力参数!$B$5+1)),0)</f>
        <v>204000</v>
      </c>
      <c r="E32" s="6">
        <f t="shared" si="0"/>
        <v>-0.32</v>
      </c>
      <c r="F32" s="4">
        <f t="shared" si="1"/>
        <v>66</v>
      </c>
      <c r="G32" s="4">
        <f>MIN(ROWS(_玩家曲线!$H$2:$H$280),COUNTIF(_玩家曲线!$H$2:$H$280,"&lt;"&amp;M32)+1)</f>
        <v>59</v>
      </c>
      <c r="H32" s="4">
        <f>MIN(ROWS(_玩家曲线!$I$2:$I$280),COUNTIF(_玩家曲线!$I$2:$I$280,"&lt;"&amp;N32)+1)</f>
        <v>66</v>
      </c>
      <c r="I32" s="7">
        <v>15.7806114246783</v>
      </c>
      <c r="J32" s="7">
        <v>10.7686869996477</v>
      </c>
      <c r="K32" s="4">
        <f>爬塔!W32</f>
        <v>2186680.74308333</v>
      </c>
      <c r="L32" s="4">
        <f>爬塔!T32*IF(爬塔!O32="",1,爬塔!O32)</f>
        <v>34280</v>
      </c>
      <c r="M32" s="4">
        <f t="shared" si="2"/>
        <v>138567.555098893</v>
      </c>
      <c r="N32" s="4">
        <f t="shared" si="3"/>
        <v>369150.590347923</v>
      </c>
      <c r="O32" s="4">
        <f>INDEX(_统一战力!$D$2:$D$280,MATCH(F32,_统一战力!$C$2:$C$280,0))</f>
        <v>203900</v>
      </c>
      <c r="P32" s="4" t="str">
        <f>IF(AND(INDEX(_玩家曲线!$H$2:$H$280,F32)&gt;=M32,INDEX(_玩家曲线!$I$2:$I$280,F32)&gt;=N32),"通过","超出玩家曲线")</f>
        <v>通过</v>
      </c>
      <c r="Q32" s="4">
        <v>147</v>
      </c>
      <c r="R32" s="4">
        <v>81</v>
      </c>
    </row>
    <row r="33" ht="25" customHeight="1" spans="1:18">
      <c r="A33" s="4">
        <v>29</v>
      </c>
      <c r="B33" s="4">
        <f>爬塔!J33</f>
        <v>116</v>
      </c>
      <c r="C33" s="4">
        <v>320000</v>
      </c>
      <c r="D33" s="5">
        <f>IF(P33="通过",ROUND(O33,-MAX(0,INT(LOG10(O33))-推荐战力参数!$B$5+1)),0)</f>
        <v>218000</v>
      </c>
      <c r="E33" s="6">
        <f t="shared" si="0"/>
        <v>-0.31875</v>
      </c>
      <c r="F33" s="4">
        <f t="shared" si="1"/>
        <v>68</v>
      </c>
      <c r="G33" s="4">
        <f>MIN(ROWS(_玩家曲线!$H$2:$H$280),COUNTIF(_玩家曲线!$H$2:$H$280,"&lt;"&amp;M33)+1)</f>
        <v>62</v>
      </c>
      <c r="H33" s="4">
        <f>MIN(ROWS(_玩家曲线!$I$2:$I$280),COUNTIF(_玩家曲线!$I$2:$I$280,"&lt;"&amp;N33)+1)</f>
        <v>68</v>
      </c>
      <c r="I33" s="7">
        <v>14.0236499733922</v>
      </c>
      <c r="J33" s="7">
        <v>10.6540248873655</v>
      </c>
      <c r="K33" s="4">
        <f>爬塔!W33</f>
        <v>2132361.8775</v>
      </c>
      <c r="L33" s="4">
        <f>爬塔!T33*IF(爬塔!O33="",1,爬塔!O33)</f>
        <v>37347</v>
      </c>
      <c r="M33" s="4">
        <f t="shared" si="2"/>
        <v>152054.699136519</v>
      </c>
      <c r="N33" s="4">
        <f t="shared" si="3"/>
        <v>397895.867468439</v>
      </c>
      <c r="O33" s="4">
        <f>INDEX(_统一战力!$D$2:$D$280,MATCH(F33,_统一战力!$C$2:$C$280,0))</f>
        <v>217560</v>
      </c>
      <c r="P33" s="4" t="str">
        <f>IF(AND(INDEX(_玩家曲线!$H$2:$H$280,F33)&gt;=M33,INDEX(_玩家曲线!$I$2:$I$280,F33)&gt;=N33),"通过","超出玩家曲线")</f>
        <v>通过</v>
      </c>
      <c r="Q33" s="4">
        <v>151</v>
      </c>
      <c r="R33" s="4">
        <v>84</v>
      </c>
    </row>
    <row r="34" ht="25" customHeight="1" spans="1:18">
      <c r="A34" s="4">
        <v>30</v>
      </c>
      <c r="B34" s="4">
        <f>爬塔!J34</f>
        <v>120</v>
      </c>
      <c r="C34" s="4">
        <v>332000</v>
      </c>
      <c r="D34" s="5">
        <f>IF(P34="通过",ROUND(O34,-MAX(0,INT(LOG10(O34))-推荐战力参数!$B$5+1)),0)</f>
        <v>231000</v>
      </c>
      <c r="E34" s="6">
        <f t="shared" si="0"/>
        <v>-0.30421686746988</v>
      </c>
      <c r="F34" s="4">
        <f t="shared" si="1"/>
        <v>70</v>
      </c>
      <c r="G34" s="4">
        <f>MIN(ROWS(_玩家曲线!$H$2:$H$280),COUNTIF(_玩家曲线!$H$2:$H$280,"&lt;"&amp;M34)+1)</f>
        <v>64</v>
      </c>
      <c r="H34" s="4">
        <f>MIN(ROWS(_玩家曲线!$I$2:$I$280),COUNTIF(_玩家曲线!$I$2:$I$280,"&lt;"&amp;N34)+1)</f>
        <v>70</v>
      </c>
      <c r="I34" s="7">
        <v>14.0528913278515</v>
      </c>
      <c r="J34" s="7">
        <v>11.155586089803</v>
      </c>
      <c r="K34" s="4">
        <f>爬塔!W34</f>
        <v>2290827.14933333</v>
      </c>
      <c r="L34" s="4">
        <f>爬塔!T34*IF(爬塔!O34="",1,爬塔!O34)</f>
        <v>37621</v>
      </c>
      <c r="M34" s="4">
        <f t="shared" si="2"/>
        <v>163014.649148615</v>
      </c>
      <c r="N34" s="4">
        <f t="shared" si="3"/>
        <v>419684.304284479</v>
      </c>
      <c r="O34" s="4">
        <f>INDEX(_统一战力!$D$2:$D$280,MATCH(F34,_统一战力!$C$2:$C$280,0))</f>
        <v>231250</v>
      </c>
      <c r="P34" s="4" t="str">
        <f>IF(AND(INDEX(_玩家曲线!$H$2:$H$280,F34)&gt;=M34,INDEX(_玩家曲线!$I$2:$I$280,F34)&gt;=N34),"通过","超出玩家曲线")</f>
        <v>通过</v>
      </c>
      <c r="Q34" s="4">
        <v>154</v>
      </c>
      <c r="R34" s="4">
        <v>86</v>
      </c>
    </row>
    <row r="35" ht="25" customHeight="1" spans="1:18">
      <c r="A35" s="4">
        <v>31</v>
      </c>
      <c r="B35" s="4">
        <f>爬塔!J35</f>
        <v>124</v>
      </c>
      <c r="C35" s="4">
        <v>347000</v>
      </c>
      <c r="D35" s="5">
        <f>IF(P35="通过",ROUND(O35,-MAX(0,INT(LOG10(O35))-推荐战力参数!$B$5+1)),0)</f>
        <v>249000</v>
      </c>
      <c r="E35" s="6">
        <f t="shared" si="0"/>
        <v>-0.282420749279539</v>
      </c>
      <c r="F35" s="4">
        <f t="shared" si="1"/>
        <v>73</v>
      </c>
      <c r="G35" s="4">
        <f>MIN(ROWS(_玩家曲线!$H$2:$H$280),COUNTIF(_玩家曲线!$H$2:$H$280,"&lt;"&amp;M35)+1)</f>
        <v>67</v>
      </c>
      <c r="H35" s="4">
        <f>MIN(ROWS(_玩家曲线!$I$2:$I$280),COUNTIF(_玩家曲线!$I$2:$I$280,"&lt;"&amp;N35)+1)</f>
        <v>73</v>
      </c>
      <c r="I35" s="7">
        <v>13.9209424410824</v>
      </c>
      <c r="J35" s="7">
        <v>11.447435485562</v>
      </c>
      <c r="K35" s="4">
        <f>爬塔!W35</f>
        <v>2507250.89858333</v>
      </c>
      <c r="L35" s="4">
        <f>爬塔!T35*IF(爬塔!O35="",1,爬塔!O35)</f>
        <v>39538</v>
      </c>
      <c r="M35" s="4">
        <f t="shared" si="2"/>
        <v>180106.405093963</v>
      </c>
      <c r="N35" s="4">
        <f t="shared" si="3"/>
        <v>452608.70422815</v>
      </c>
      <c r="O35" s="4">
        <f>INDEX(_统一战力!$D$2:$D$280,MATCH(F35,_统一战力!$C$2:$C$280,0))</f>
        <v>249095</v>
      </c>
      <c r="P35" s="4" t="str">
        <f>IF(AND(INDEX(_玩家曲线!$H$2:$H$280,F35)&gt;=M35,INDEX(_玩家曲线!$I$2:$I$280,F35)&gt;=N35),"通过","超出玩家曲线")</f>
        <v>通过</v>
      </c>
      <c r="Q35" s="4">
        <v>156</v>
      </c>
      <c r="R35" s="4">
        <v>89</v>
      </c>
    </row>
    <row r="36" ht="25" customHeight="1" spans="1:18">
      <c r="A36" s="4">
        <v>32</v>
      </c>
      <c r="B36" s="4">
        <f>爬塔!J36</f>
        <v>128</v>
      </c>
      <c r="C36" s="4">
        <v>358000</v>
      </c>
      <c r="D36" s="5">
        <f>IF(P36="通过",ROUND(O36,-MAX(0,INT(LOG10(O36))-推荐战力参数!$B$5+1)),0)</f>
        <v>261000</v>
      </c>
      <c r="E36" s="6">
        <f t="shared" si="0"/>
        <v>-0.270949720670391</v>
      </c>
      <c r="F36" s="4">
        <f t="shared" si="1"/>
        <v>75</v>
      </c>
      <c r="G36" s="4">
        <f>MIN(ROWS(_玩家曲线!$H$2:$H$280),COUNTIF(_玩家曲线!$H$2:$H$280,"&lt;"&amp;M36)+1)</f>
        <v>69</v>
      </c>
      <c r="H36" s="4">
        <f>MIN(ROWS(_玩家曲线!$I$2:$I$280),COUNTIF(_玩家曲线!$I$2:$I$280,"&lt;"&amp;N36)+1)</f>
        <v>75</v>
      </c>
      <c r="I36" s="7">
        <v>14.7441599903037</v>
      </c>
      <c r="J36" s="7">
        <v>12.0386485146227</v>
      </c>
      <c r="K36" s="4">
        <f>爬塔!W36</f>
        <v>2870601.9945</v>
      </c>
      <c r="L36" s="4">
        <f>爬塔!T36*IF(爬塔!O36="",1,爬塔!O36)</f>
        <v>39858</v>
      </c>
      <c r="M36" s="4">
        <f t="shared" si="2"/>
        <v>194694.17019266</v>
      </c>
      <c r="N36" s="4">
        <f t="shared" si="3"/>
        <v>479836.452495832</v>
      </c>
      <c r="O36" s="4">
        <f>INDEX(_统一战力!$D$2:$D$280,MATCH(F36,_统一战力!$C$2:$C$280,0))</f>
        <v>261365</v>
      </c>
      <c r="P36" s="4" t="str">
        <f>IF(AND(INDEX(_玩家曲线!$H$2:$H$280,F36)&gt;=M36,INDEX(_玩家曲线!$I$2:$I$280,F36)&gt;=N36),"通过","超出玩家曲线")</f>
        <v>通过</v>
      </c>
      <c r="Q36" s="4">
        <v>158</v>
      </c>
      <c r="R36" s="4">
        <v>91</v>
      </c>
    </row>
    <row r="37" ht="25" customHeight="1" spans="1:18">
      <c r="A37" s="4">
        <v>33</v>
      </c>
      <c r="B37" s="4">
        <f>爬塔!J37</f>
        <v>132</v>
      </c>
      <c r="C37" s="4">
        <v>375000</v>
      </c>
      <c r="D37" s="5">
        <f>IF(P37="通过",ROUND(O37,-MAX(0,INT(LOG10(O37))-推荐战力参数!$B$5+1)),0)</f>
        <v>280000</v>
      </c>
      <c r="E37" s="6">
        <f t="shared" si="0"/>
        <v>-0.253333333333333</v>
      </c>
      <c r="F37" s="4">
        <f t="shared" si="1"/>
        <v>78</v>
      </c>
      <c r="G37" s="4">
        <f>MIN(ROWS(_玩家曲线!$H$2:$H$280),COUNTIF(_玩家曲线!$H$2:$H$280,"&lt;"&amp;M37)+1)</f>
        <v>72</v>
      </c>
      <c r="H37" s="4">
        <f>MIN(ROWS(_玩家曲线!$I$2:$I$280),COUNTIF(_玩家曲线!$I$2:$I$280,"&lt;"&amp;N37)+1)</f>
        <v>78</v>
      </c>
      <c r="I37" s="7">
        <v>13.8890428510489</v>
      </c>
      <c r="J37" s="7">
        <v>11.8214346933289</v>
      </c>
      <c r="K37" s="4">
        <f>爬塔!W37</f>
        <v>2931583.83383333</v>
      </c>
      <c r="L37" s="4">
        <f>爬塔!T37*IF(爬塔!O37="",1,爬塔!O37)</f>
        <v>43200</v>
      </c>
      <c r="M37" s="4">
        <f t="shared" si="2"/>
        <v>211071.696248092</v>
      </c>
      <c r="N37" s="4">
        <f t="shared" si="3"/>
        <v>510685.978751808</v>
      </c>
      <c r="O37" s="4">
        <f>INDEX(_统一战力!$D$2:$D$280,MATCH(F37,_统一战力!$C$2:$C$280,0))</f>
        <v>280345</v>
      </c>
      <c r="P37" s="4" t="str">
        <f>IF(AND(INDEX(_玩家曲线!$H$2:$H$280,F37)&gt;=M37,INDEX(_玩家曲线!$I$2:$I$280,F37)&gt;=N37),"通过","超出玩家曲线")</f>
        <v>通过</v>
      </c>
      <c r="Q37" s="4">
        <v>161</v>
      </c>
      <c r="R37" s="4">
        <v>94</v>
      </c>
    </row>
    <row r="38" ht="25" customHeight="1" spans="1:18">
      <c r="A38" s="4">
        <v>34</v>
      </c>
      <c r="B38" s="4">
        <f>爬塔!J38</f>
        <v>136</v>
      </c>
      <c r="C38" s="4">
        <v>386000</v>
      </c>
      <c r="D38" s="5">
        <f>IF(P38="通过",ROUND(O38,-MAX(0,INT(LOG10(O38))-推荐战力参数!$B$5+1)),0)</f>
        <v>293000</v>
      </c>
      <c r="E38" s="6">
        <f t="shared" si="0"/>
        <v>-0.240932642487047</v>
      </c>
      <c r="F38" s="4">
        <f t="shared" si="1"/>
        <v>80</v>
      </c>
      <c r="G38" s="4">
        <f>MIN(ROWS(_玩家曲线!$H$2:$H$280),COUNTIF(_玩家曲线!$H$2:$H$280,"&lt;"&amp;M38)+1)</f>
        <v>74</v>
      </c>
      <c r="H38" s="4">
        <f>MIN(ROWS(_玩家曲线!$I$2:$I$280),COUNTIF(_玩家曲线!$I$2:$I$280,"&lt;"&amp;N38)+1)</f>
        <v>80</v>
      </c>
      <c r="I38" s="7">
        <v>13.9521170669626</v>
      </c>
      <c r="J38" s="7">
        <v>11.9257687664948</v>
      </c>
      <c r="K38" s="4">
        <f>爬塔!W38</f>
        <v>3180254.2</v>
      </c>
      <c r="L38" s="4">
        <f>爬塔!T38*IF(爬塔!O38="",1,爬塔!O38)</f>
        <v>45279</v>
      </c>
      <c r="M38" s="4">
        <f t="shared" si="2"/>
        <v>227940.618956715</v>
      </c>
      <c r="N38" s="4">
        <f t="shared" si="3"/>
        <v>539986.883978118</v>
      </c>
      <c r="O38" s="4">
        <f>INDEX(_统一战力!$D$2:$D$280,MATCH(F38,_统一战力!$C$2:$C$280,0))</f>
        <v>293380</v>
      </c>
      <c r="P38" s="4" t="str">
        <f>IF(AND(INDEX(_玩家曲线!$H$2:$H$280,F38)&gt;=M38,INDEX(_玩家曲线!$I$2:$I$280,F38)&gt;=N38),"通过","超出玩家曲线")</f>
        <v>通过</v>
      </c>
      <c r="Q38" s="4">
        <v>163</v>
      </c>
      <c r="R38" s="4">
        <v>96</v>
      </c>
    </row>
    <row r="39" ht="25" customHeight="1" spans="1:18">
      <c r="A39" s="4">
        <v>35</v>
      </c>
      <c r="B39" s="4">
        <f>爬塔!J39</f>
        <v>140</v>
      </c>
      <c r="C39" s="4">
        <v>403000</v>
      </c>
      <c r="D39" s="5">
        <f>IF(P39="通过",ROUND(O39,-MAX(0,INT(LOG10(O39))-推荐战力参数!$B$5+1)),0)</f>
        <v>307000</v>
      </c>
      <c r="E39" s="6">
        <f t="shared" si="0"/>
        <v>-0.238213399503722</v>
      </c>
      <c r="F39" s="4">
        <f t="shared" si="1"/>
        <v>82</v>
      </c>
      <c r="G39" s="4">
        <f>MIN(ROWS(_玩家曲线!$H$2:$H$280),COUNTIF(_玩家曲线!$H$2:$H$280,"&lt;"&amp;M39)+1)</f>
        <v>76</v>
      </c>
      <c r="H39" s="4">
        <f>MIN(ROWS(_玩家曲线!$I$2:$I$280),COUNTIF(_玩家曲线!$I$2:$I$280,"&lt;"&amp;N39)+1)</f>
        <v>82</v>
      </c>
      <c r="I39" s="7">
        <v>14.8156515000677</v>
      </c>
      <c r="J39" s="7">
        <v>12.5616580257489</v>
      </c>
      <c r="K39" s="4">
        <f>爬塔!W39</f>
        <v>3576226.943625</v>
      </c>
      <c r="L39" s="4">
        <f>爬塔!T39*IF(爬塔!O39="",1,爬塔!O39)</f>
        <v>45188</v>
      </c>
      <c r="M39" s="4">
        <f t="shared" si="2"/>
        <v>241381.68636112</v>
      </c>
      <c r="N39" s="4">
        <f t="shared" si="3"/>
        <v>567636.202867541</v>
      </c>
      <c r="O39" s="4">
        <f>INDEX(_统一战力!$D$2:$D$280,MATCH(F39,_统一战力!$C$2:$C$280,0))</f>
        <v>306730</v>
      </c>
      <c r="P39" s="4" t="str">
        <f>IF(AND(INDEX(_玩家曲线!$H$2:$H$280,F39)&gt;=M39,INDEX(_玩家曲线!$I$2:$I$280,F39)&gt;=N39),"通过","超出玩家曲线")</f>
        <v>通过</v>
      </c>
      <c r="Q39" s="4">
        <v>167</v>
      </c>
      <c r="R39" s="4">
        <v>99</v>
      </c>
    </row>
    <row r="40" ht="25" customHeight="1" spans="1:18">
      <c r="A40" s="4">
        <v>36</v>
      </c>
      <c r="B40" s="4">
        <f>爬塔!J40</f>
        <v>144</v>
      </c>
      <c r="C40" s="4">
        <v>417000</v>
      </c>
      <c r="D40" s="5">
        <f>IF(P40="通过",ROUND(O40,-MAX(0,INT(LOG10(O40))-推荐战力参数!$B$5+1)),0)</f>
        <v>326000</v>
      </c>
      <c r="E40" s="6">
        <f t="shared" si="0"/>
        <v>-0.218225419664269</v>
      </c>
      <c r="F40" s="4">
        <f t="shared" si="1"/>
        <v>85</v>
      </c>
      <c r="G40" s="4">
        <f>MIN(ROWS(_玩家曲线!$H$2:$H$280),COUNTIF(_玩家曲线!$H$2:$H$280,"&lt;"&amp;M40)+1)</f>
        <v>79</v>
      </c>
      <c r="H40" s="4">
        <f>MIN(ROWS(_玩家曲线!$I$2:$I$280),COUNTIF(_玩家曲线!$I$2:$I$280,"&lt;"&amp;N40)+1)</f>
        <v>85</v>
      </c>
      <c r="I40" s="7">
        <v>14.301515753009</v>
      </c>
      <c r="J40" s="7">
        <v>12.077565700487</v>
      </c>
      <c r="K40" s="4">
        <f>爬塔!W40</f>
        <v>3687037.15283333</v>
      </c>
      <c r="L40" s="4">
        <f>爬塔!T40*IF(爬塔!O40="",1,爬塔!O40)</f>
        <v>49270</v>
      </c>
      <c r="M40" s="4">
        <f t="shared" si="2"/>
        <v>257807.439191024</v>
      </c>
      <c r="N40" s="4">
        <f t="shared" si="3"/>
        <v>595061.662062994</v>
      </c>
      <c r="O40" s="4">
        <f>INDEX(_统一战力!$D$2:$D$280,MATCH(F40,_统一战力!$C$2:$C$280,0))</f>
        <v>326365</v>
      </c>
      <c r="P40" s="4" t="str">
        <f>IF(AND(INDEX(_玩家曲线!$H$2:$H$280,F40)&gt;=M40,INDEX(_玩家曲线!$I$2:$I$280,F40)&gt;=N40),"通过","超出玩家曲线")</f>
        <v>通过</v>
      </c>
      <c r="Q40" s="4">
        <v>170</v>
      </c>
      <c r="R40" s="4">
        <v>101</v>
      </c>
    </row>
    <row r="41" ht="25" customHeight="1" spans="1:18">
      <c r="A41" s="4">
        <v>37</v>
      </c>
      <c r="B41" s="4">
        <f>爬塔!J41</f>
        <v>148</v>
      </c>
      <c r="C41" s="4">
        <v>445000</v>
      </c>
      <c r="D41" s="5">
        <f>IF(P41="通过",ROUND(O41,-MAX(0,INT(LOG10(O41))-推荐战力参数!$B$5+1)),0)</f>
        <v>342000</v>
      </c>
      <c r="E41" s="6">
        <f t="shared" si="0"/>
        <v>-0.231460674157303</v>
      </c>
      <c r="F41" s="4">
        <f t="shared" si="1"/>
        <v>88</v>
      </c>
      <c r="G41" s="4">
        <f>MIN(ROWS(_玩家曲线!$H$2:$H$280),COUNTIF(_玩家曲线!$H$2:$H$280,"&lt;"&amp;M41)+1)</f>
        <v>81</v>
      </c>
      <c r="H41" s="4">
        <f>MIN(ROWS(_玩家曲线!$I$2:$I$280),COUNTIF(_玩家曲线!$I$2:$I$280,"&lt;"&amp;N41)+1)</f>
        <v>88</v>
      </c>
      <c r="I41" s="7">
        <v>16.107243611418</v>
      </c>
      <c r="J41" s="7">
        <v>12.7478426444045</v>
      </c>
      <c r="K41" s="4">
        <f>爬塔!W41</f>
        <v>4422645.98416667</v>
      </c>
      <c r="L41" s="4">
        <f>爬塔!T41*IF(爬塔!O41="",1,爬塔!O41)</f>
        <v>49270</v>
      </c>
      <c r="M41" s="4">
        <f t="shared" si="2"/>
        <v>274574.973276717</v>
      </c>
      <c r="N41" s="4">
        <f t="shared" si="3"/>
        <v>628086.20708981</v>
      </c>
      <c r="O41" s="4">
        <f>INDEX(_统一战力!$D$2:$D$280,MATCH(F41,_统一战力!$C$2:$C$280,0))</f>
        <v>342145</v>
      </c>
      <c r="P41" s="4" t="str">
        <f>IF(AND(INDEX(_玩家曲线!$H$2:$H$280,F41)&gt;=M41,INDEX(_玩家曲线!$I$2:$I$280,F41)&gt;=N41),"通过","超出玩家曲线")</f>
        <v>通过</v>
      </c>
      <c r="Q41" s="4">
        <v>175</v>
      </c>
      <c r="R41" s="4">
        <v>104</v>
      </c>
    </row>
    <row r="42" ht="25" customHeight="1" spans="1:18">
      <c r="A42" s="4">
        <v>38</v>
      </c>
      <c r="B42" s="4">
        <f>爬塔!J42</f>
        <v>152</v>
      </c>
      <c r="C42" s="4">
        <v>463000</v>
      </c>
      <c r="D42" s="5">
        <f>IF(P42="通过",ROUND(O42,-MAX(0,INT(LOG10(O42))-推荐战力参数!$B$5+1)),0)</f>
        <v>358000</v>
      </c>
      <c r="E42" s="6">
        <f t="shared" si="0"/>
        <v>-0.226781857451404</v>
      </c>
      <c r="F42" s="4">
        <f t="shared" si="1"/>
        <v>91</v>
      </c>
      <c r="G42" s="4">
        <f>MIN(ROWS(_玩家曲线!$H$2:$H$280),COUNTIF(_玩家曲线!$H$2:$H$280,"&lt;"&amp;M42)+1)</f>
        <v>84</v>
      </c>
      <c r="H42" s="4">
        <f>MIN(ROWS(_玩家曲线!$I$2:$I$280),COUNTIF(_玩家曲线!$I$2:$I$280,"&lt;"&amp;N42)+1)</f>
        <v>91</v>
      </c>
      <c r="I42" s="7">
        <v>13.450367464329</v>
      </c>
      <c r="J42" s="7">
        <v>11.9376616426997</v>
      </c>
      <c r="K42" s="4">
        <f>爬塔!W42</f>
        <v>3994508.75825</v>
      </c>
      <c r="L42" s="4">
        <f>爬塔!T42*IF(爬塔!O42="",1,爬塔!O42)</f>
        <v>55435</v>
      </c>
      <c r="M42" s="4">
        <f t="shared" si="2"/>
        <v>296981.38499514</v>
      </c>
      <c r="N42" s="4">
        <f t="shared" si="3"/>
        <v>661764.273163058</v>
      </c>
      <c r="O42" s="4">
        <f>INDEX(_统一战力!$D$2:$D$280,MATCH(F42,_统一战力!$C$2:$C$280,0))</f>
        <v>358330</v>
      </c>
      <c r="P42" s="4" t="str">
        <f>IF(AND(INDEX(_玩家曲线!$H$2:$H$280,F42)&gt;=M42,INDEX(_玩家曲线!$I$2:$I$280,F42)&gt;=N42),"通过","超出玩家曲线")</f>
        <v>通过</v>
      </c>
      <c r="Q42" s="4">
        <v>178</v>
      </c>
      <c r="R42" s="4">
        <v>106</v>
      </c>
    </row>
    <row r="43" ht="25" customHeight="1" spans="1:18">
      <c r="A43" s="4">
        <v>39</v>
      </c>
      <c r="B43" s="4">
        <f>爬塔!J43</f>
        <v>156</v>
      </c>
      <c r="C43" s="4">
        <v>492000</v>
      </c>
      <c r="D43" s="5">
        <f>IF(P43="通过",ROUND(O43,-MAX(0,INT(LOG10(O43))-推荐战力参数!$B$5+1)),0)</f>
        <v>381000</v>
      </c>
      <c r="E43" s="6">
        <f t="shared" si="0"/>
        <v>-0.225609756097561</v>
      </c>
      <c r="F43" s="4">
        <f t="shared" si="1"/>
        <v>95</v>
      </c>
      <c r="G43" s="4">
        <f>MIN(ROWS(_玩家曲线!$H$2:$H$280),COUNTIF(_玩家曲线!$H$2:$H$280,"&lt;"&amp;M43)+1)</f>
        <v>89</v>
      </c>
      <c r="H43" s="4">
        <f>MIN(ROWS(_玩家曲线!$I$2:$I$280),COUNTIF(_玩家曲线!$I$2:$I$280,"&lt;"&amp;N43)+1)</f>
        <v>95</v>
      </c>
      <c r="I43" s="7">
        <v>14.3407592549446</v>
      </c>
      <c r="J43" s="7">
        <v>12.1359057611971</v>
      </c>
      <c r="K43" s="4">
        <f>爬塔!W43</f>
        <v>4603664.734</v>
      </c>
      <c r="L43" s="4">
        <f>爬塔!T43*IF(爬塔!O43="",1,爬塔!O43)</f>
        <v>57952</v>
      </c>
      <c r="M43" s="4">
        <f t="shared" si="2"/>
        <v>321019.595417355</v>
      </c>
      <c r="N43" s="4">
        <f t="shared" si="3"/>
        <v>703300.010672894</v>
      </c>
      <c r="O43" s="4">
        <f>INDEX(_统一战力!$D$2:$D$280,MATCH(F43,_统一战力!$C$2:$C$280,0))</f>
        <v>380540</v>
      </c>
      <c r="P43" s="4" t="str">
        <f>IF(AND(INDEX(_玩家曲线!$H$2:$H$280,F43)&gt;=M43,INDEX(_玩家曲线!$I$2:$I$280,F43)&gt;=N43),"通过","超出玩家曲线")</f>
        <v>通过</v>
      </c>
      <c r="Q43" s="4">
        <v>182</v>
      </c>
      <c r="R43" s="4">
        <v>109</v>
      </c>
    </row>
    <row r="44" ht="25" customHeight="1" spans="1:18">
      <c r="A44" s="4">
        <v>40</v>
      </c>
      <c r="B44" s="4">
        <f>爬塔!J44</f>
        <v>160</v>
      </c>
      <c r="C44" s="4">
        <v>512000</v>
      </c>
      <c r="D44" s="5">
        <f>IF(P44="通过",ROUND(O44,-MAX(0,INT(LOG10(O44))-推荐战力参数!$B$5+1)),0)</f>
        <v>392000</v>
      </c>
      <c r="E44" s="6">
        <f t="shared" si="0"/>
        <v>-0.234375</v>
      </c>
      <c r="F44" s="4">
        <f t="shared" si="1"/>
        <v>97</v>
      </c>
      <c r="G44" s="4">
        <f>MIN(ROWS(_玩家曲线!$H$2:$H$280),COUNTIF(_玩家曲线!$H$2:$H$280,"&lt;"&amp;M44)+1)</f>
        <v>91</v>
      </c>
      <c r="H44" s="4">
        <f>MIN(ROWS(_玩家曲线!$I$2:$I$280),COUNTIF(_玩家曲线!$I$2:$I$280,"&lt;"&amp;N44)+1)</f>
        <v>97</v>
      </c>
      <c r="I44" s="7">
        <v>15.3614952152703</v>
      </c>
      <c r="J44" s="7">
        <v>13.0350341484455</v>
      </c>
      <c r="K44" s="4">
        <f>爬塔!W44</f>
        <v>5122243.21625</v>
      </c>
      <c r="L44" s="4">
        <f>爬塔!T44*IF(爬塔!O44="",1,爬塔!O44)</f>
        <v>55692</v>
      </c>
      <c r="M44" s="4">
        <f t="shared" si="2"/>
        <v>333446.91675314</v>
      </c>
      <c r="N44" s="4">
        <f t="shared" si="3"/>
        <v>725947.121795227</v>
      </c>
      <c r="O44" s="4">
        <f>INDEX(_统一战力!$D$2:$D$280,MATCH(F44,_统一战力!$C$2:$C$280,0))</f>
        <v>391915</v>
      </c>
      <c r="P44" s="4" t="str">
        <f>IF(AND(INDEX(_玩家曲线!$H$2:$H$280,F44)&gt;=M44,INDEX(_玩家曲线!$I$2:$I$280,F44)&gt;=N44),"通过","超出玩家曲线")</f>
        <v>通过</v>
      </c>
      <c r="Q44" s="4">
        <v>187</v>
      </c>
      <c r="R44" s="4">
        <v>111</v>
      </c>
    </row>
    <row r="45" ht="25" customHeight="1" spans="1:18">
      <c r="A45" s="4">
        <v>41</v>
      </c>
      <c r="B45" s="4">
        <f>爬塔!J45</f>
        <v>164</v>
      </c>
      <c r="C45" s="4">
        <v>542000</v>
      </c>
      <c r="D45" s="5">
        <f>IF(P45="通过",ROUND(O45,-MAX(0,INT(LOG10(O45))-推荐战力参数!$B$5+1)),0)</f>
        <v>417000</v>
      </c>
      <c r="E45" s="6">
        <f t="shared" si="0"/>
        <v>-0.230627306273063</v>
      </c>
      <c r="F45" s="4">
        <f t="shared" si="1"/>
        <v>101</v>
      </c>
      <c r="G45" s="4">
        <f>MIN(ROWS(_玩家曲线!$H$2:$H$280),COUNTIF(_玩家曲线!$H$2:$H$280,"&lt;"&amp;M45)+1)</f>
        <v>96</v>
      </c>
      <c r="H45" s="4">
        <f>MIN(ROWS(_玩家曲线!$I$2:$I$280),COUNTIF(_玩家曲线!$I$2:$I$280,"&lt;"&amp;N45)+1)</f>
        <v>101</v>
      </c>
      <c r="I45" s="7">
        <v>15.9711317012272</v>
      </c>
      <c r="J45" s="7">
        <v>13.3598225191747</v>
      </c>
      <c r="K45" s="4">
        <f>爬塔!W45</f>
        <v>5836664.66341667</v>
      </c>
      <c r="L45" s="4">
        <f>爬塔!T45*IF(爬塔!O45="",1,爬塔!O45)</f>
        <v>58136</v>
      </c>
      <c r="M45" s="4">
        <f t="shared" si="2"/>
        <v>365450.913097673</v>
      </c>
      <c r="N45" s="4">
        <f t="shared" si="3"/>
        <v>776686.64197474</v>
      </c>
      <c r="O45" s="4">
        <f>INDEX(_统一战力!$D$2:$D$280,MATCH(F45,_统一战力!$C$2:$C$280,0))</f>
        <v>417380</v>
      </c>
      <c r="P45" s="4" t="str">
        <f>IF(AND(INDEX(_玩家曲线!$H$2:$H$280,F45)&gt;=M45,INDEX(_玩家曲线!$I$2:$I$280,F45)&gt;=N45),"通过","超出玩家曲线")</f>
        <v>通过</v>
      </c>
      <c r="Q45" s="4">
        <v>190</v>
      </c>
      <c r="R45" s="4">
        <v>114</v>
      </c>
    </row>
    <row r="46" ht="25" customHeight="1" spans="1:18">
      <c r="A46" s="4">
        <v>42</v>
      </c>
      <c r="B46" s="4">
        <f>爬塔!J46</f>
        <v>167</v>
      </c>
      <c r="C46" s="4">
        <v>569000</v>
      </c>
      <c r="D46" s="5">
        <f>IF(P46="通过",ROUND(O46,-MAX(0,INT(LOG10(O46))-推荐战力参数!$B$5+1)),0)</f>
        <v>435000</v>
      </c>
      <c r="E46" s="6">
        <f t="shared" si="0"/>
        <v>-0.235500878734622</v>
      </c>
      <c r="F46" s="4">
        <f t="shared" si="1"/>
        <v>103</v>
      </c>
      <c r="G46" s="4">
        <f>MIN(ROWS(_玩家曲线!$H$2:$H$280),COUNTIF(_玩家曲线!$H$2:$H$280,"&lt;"&amp;M46)+1)</f>
        <v>98</v>
      </c>
      <c r="H46" s="4">
        <f>MIN(ROWS(_玩家曲线!$I$2:$I$280),COUNTIF(_玩家曲线!$I$2:$I$280,"&lt;"&amp;N46)+1)</f>
        <v>103</v>
      </c>
      <c r="I46" s="7">
        <v>15.2438857898809</v>
      </c>
      <c r="J46" s="7">
        <v>13.3685299773235</v>
      </c>
      <c r="K46" s="4">
        <f>爬塔!W46</f>
        <v>5769261.36458333</v>
      </c>
      <c r="L46" s="4">
        <f>爬塔!T46*IF(爬塔!O46="",1,爬塔!O46)</f>
        <v>59877</v>
      </c>
      <c r="M46" s="4">
        <f t="shared" si="2"/>
        <v>378463.958868876</v>
      </c>
      <c r="N46" s="4">
        <f t="shared" si="3"/>
        <v>800467.469452199</v>
      </c>
      <c r="O46" s="4">
        <f>INDEX(_统一战力!$D$2:$D$280,MATCH(F46,_统一战力!$C$2:$C$280,0))</f>
        <v>435440</v>
      </c>
      <c r="P46" s="4" t="str">
        <f>IF(AND(INDEX(_玩家曲线!$H$2:$H$280,F46)&gt;=M46,INDEX(_玩家曲线!$I$2:$I$280,F46)&gt;=N46),"通过","超出玩家曲线")</f>
        <v>通过</v>
      </c>
      <c r="Q46" s="4">
        <v>195</v>
      </c>
      <c r="R46" s="4">
        <v>117</v>
      </c>
    </row>
    <row r="47" ht="25" customHeight="1" spans="1:18">
      <c r="A47" s="4">
        <v>43</v>
      </c>
      <c r="B47" s="4">
        <f>爬塔!J47</f>
        <v>171</v>
      </c>
      <c r="C47" s="4">
        <v>586000</v>
      </c>
      <c r="D47" s="5">
        <f>IF(P47="通过",ROUND(O47,-MAX(0,INT(LOG10(O47))-推荐战力参数!$B$5+1)),0)</f>
        <v>454000</v>
      </c>
      <c r="E47" s="6">
        <f t="shared" si="0"/>
        <v>-0.225255972696246</v>
      </c>
      <c r="F47" s="4">
        <f t="shared" si="1"/>
        <v>105</v>
      </c>
      <c r="G47" s="4">
        <f>MIN(ROWS(_玩家曲线!$H$2:$H$280),COUNTIF(_玩家曲线!$H$2:$H$280,"&lt;"&amp;M47)+1)</f>
        <v>101</v>
      </c>
      <c r="H47" s="4">
        <f>MIN(ROWS(_玩家曲线!$I$2:$I$280),COUNTIF(_玩家曲线!$I$2:$I$280,"&lt;"&amp;N47)+1)</f>
        <v>105</v>
      </c>
      <c r="I47" s="7">
        <v>16.2613445362629</v>
      </c>
      <c r="J47" s="7">
        <v>13.446541520712</v>
      </c>
      <c r="K47" s="4">
        <f>爬塔!W47</f>
        <v>6516867.81220833</v>
      </c>
      <c r="L47" s="4">
        <f>爬塔!T47*IF(爬塔!O47="",1,爬塔!O47)</f>
        <v>62036</v>
      </c>
      <c r="M47" s="4">
        <f t="shared" si="2"/>
        <v>400758.239743072</v>
      </c>
      <c r="N47" s="4">
        <f t="shared" si="3"/>
        <v>834169.64977889</v>
      </c>
      <c r="O47" s="4">
        <f>INDEX(_统一战力!$D$2:$D$280,MATCH(F47,_统一战力!$C$2:$C$280,0))</f>
        <v>453920</v>
      </c>
      <c r="P47" s="4" t="str">
        <f>IF(AND(INDEX(_玩家曲线!$H$2:$H$280,F47)&gt;=M47,INDEX(_玩家曲线!$I$2:$I$280,F47)&gt;=N47),"通过","超出玩家曲线")</f>
        <v>通过</v>
      </c>
      <c r="Q47" s="4">
        <v>198</v>
      </c>
      <c r="R47" s="4">
        <v>119</v>
      </c>
    </row>
    <row r="48" ht="25" customHeight="1" spans="1:18">
      <c r="A48" s="4">
        <v>44</v>
      </c>
      <c r="B48" s="4">
        <f>爬塔!J48</f>
        <v>174</v>
      </c>
      <c r="C48" s="4">
        <v>613000</v>
      </c>
      <c r="D48" s="5">
        <f>IF(P48="通过",ROUND(O48,-MAX(0,INT(LOG10(O48))-推荐战力参数!$B$5+1)),0)</f>
        <v>473000</v>
      </c>
      <c r="E48" s="6">
        <f t="shared" si="0"/>
        <v>-0.228384991843393</v>
      </c>
      <c r="F48" s="4">
        <f t="shared" si="1"/>
        <v>107</v>
      </c>
      <c r="G48" s="4">
        <f>MIN(ROWS(_玩家曲线!$H$2:$H$280),COUNTIF(_玩家曲线!$H$2:$H$280,"&lt;"&amp;M48)+1)</f>
        <v>103</v>
      </c>
      <c r="H48" s="4">
        <f>MIN(ROWS(_玩家曲线!$I$2:$I$280),COUNTIF(_玩家曲线!$I$2:$I$280,"&lt;"&amp;N48)+1)</f>
        <v>107</v>
      </c>
      <c r="I48" s="7">
        <v>16.2244164224072</v>
      </c>
      <c r="J48" s="7">
        <v>13.5792836025766</v>
      </c>
      <c r="K48" s="4">
        <f>爬塔!W48</f>
        <v>6909411.378</v>
      </c>
      <c r="L48" s="4">
        <f>爬塔!T48*IF(爬塔!O48="",1,爬塔!O48)</f>
        <v>64272</v>
      </c>
      <c r="M48" s="4">
        <f t="shared" si="2"/>
        <v>425865.017151406</v>
      </c>
      <c r="N48" s="4">
        <f t="shared" si="3"/>
        <v>872767.715704803</v>
      </c>
      <c r="O48" s="4">
        <f>INDEX(_统一战力!$D$2:$D$280,MATCH(F48,_统一战力!$C$2:$C$280,0))</f>
        <v>472810</v>
      </c>
      <c r="P48" s="4" t="str">
        <f>IF(AND(INDEX(_玩家曲线!$H$2:$H$280,F48)&gt;=M48,INDEX(_玩家曲线!$I$2:$I$280,F48)&gt;=N48),"通过","超出玩家曲线")</f>
        <v>通过</v>
      </c>
      <c r="Q48" s="4">
        <v>201</v>
      </c>
      <c r="R48" s="4">
        <v>122</v>
      </c>
    </row>
    <row r="49" ht="25" customHeight="1" spans="1:18">
      <c r="A49" s="4">
        <v>45</v>
      </c>
      <c r="B49" s="4">
        <f>爬塔!J49</f>
        <v>178</v>
      </c>
      <c r="C49" s="4">
        <v>631000</v>
      </c>
      <c r="D49" s="5">
        <f>IF(P49="通过",ROUND(O49,-MAX(0,INT(LOG10(O49))-推荐战力参数!$B$5+1)),0)</f>
        <v>502000</v>
      </c>
      <c r="E49" s="6">
        <f t="shared" si="0"/>
        <v>-0.204437400950872</v>
      </c>
      <c r="F49" s="4">
        <f t="shared" si="1"/>
        <v>110</v>
      </c>
      <c r="G49" s="4">
        <f>MIN(ROWS(_玩家曲线!$H$2:$H$280),COUNTIF(_玩家曲线!$H$2:$H$280,"&lt;"&amp;M49)+1)</f>
        <v>106</v>
      </c>
      <c r="H49" s="4">
        <f>MIN(ROWS(_玩家曲线!$I$2:$I$280),COUNTIF(_玩家曲线!$I$2:$I$280,"&lt;"&amp;N49)+1)</f>
        <v>110</v>
      </c>
      <c r="I49" s="7">
        <v>14.3998485410277</v>
      </c>
      <c r="J49" s="7">
        <v>13.1155958278818</v>
      </c>
      <c r="K49" s="4">
        <f>爬塔!W49</f>
        <v>6517813.66366667</v>
      </c>
      <c r="L49" s="4">
        <f>爬塔!T49*IF(爬塔!O49="",1,爬塔!O49)</f>
        <v>69260</v>
      </c>
      <c r="M49" s="4">
        <f t="shared" si="2"/>
        <v>452630.709628387</v>
      </c>
      <c r="N49" s="4">
        <f t="shared" si="3"/>
        <v>908386.167039093</v>
      </c>
      <c r="O49" s="4">
        <f>INDEX(_统一战力!$D$2:$D$280,MATCH(F49,_统一战力!$C$2:$C$280,0))</f>
        <v>501930</v>
      </c>
      <c r="P49" s="4" t="str">
        <f>IF(AND(INDEX(_玩家曲线!$H$2:$H$280,F49)&gt;=M49,INDEX(_玩家曲线!$I$2:$I$280,F49)&gt;=N49),"通过","超出玩家曲线")</f>
        <v>通过</v>
      </c>
      <c r="Q49" s="4">
        <v>204</v>
      </c>
      <c r="R49" s="4">
        <v>124</v>
      </c>
    </row>
    <row r="50" ht="25" customHeight="1" spans="1:18">
      <c r="A50" s="4">
        <v>46</v>
      </c>
      <c r="B50" s="4">
        <f>爬塔!J50</f>
        <v>182</v>
      </c>
      <c r="C50" s="4">
        <v>659000</v>
      </c>
      <c r="D50" s="5">
        <f>IF(P50="通过",ROUND(O50,-MAX(0,INT(LOG10(O50))-推荐战力参数!$B$5+1)),0)</f>
        <v>522000</v>
      </c>
      <c r="E50" s="6">
        <f t="shared" si="0"/>
        <v>-0.207890743550835</v>
      </c>
      <c r="F50" s="4">
        <f t="shared" si="1"/>
        <v>112</v>
      </c>
      <c r="G50" s="4">
        <f>MIN(ROWS(_玩家曲线!$H$2:$H$280),COUNTIF(_玩家曲线!$H$2:$H$280,"&lt;"&amp;M50)+1)</f>
        <v>108</v>
      </c>
      <c r="H50" s="4">
        <f>MIN(ROWS(_玩家曲线!$I$2:$I$280),COUNTIF(_玩家曲线!$I$2:$I$280,"&lt;"&amp;N50)+1)</f>
        <v>112</v>
      </c>
      <c r="I50" s="7">
        <v>16.199171534605</v>
      </c>
      <c r="J50" s="7">
        <v>14.2492423479061</v>
      </c>
      <c r="K50" s="4">
        <f>爬塔!W50</f>
        <v>7769050.45579167</v>
      </c>
      <c r="L50" s="4">
        <f>爬塔!T50*IF(爬塔!O50="",1,爬塔!O50)</f>
        <v>66660</v>
      </c>
      <c r="M50" s="4">
        <f t="shared" si="2"/>
        <v>479595.542228518</v>
      </c>
      <c r="N50" s="4">
        <f t="shared" si="3"/>
        <v>949854.494911421</v>
      </c>
      <c r="O50" s="4">
        <f>INDEX(_统一战力!$D$2:$D$280,MATCH(F50,_统一战力!$C$2:$C$280,0))</f>
        <v>521870</v>
      </c>
      <c r="P50" s="4" t="str">
        <f>IF(AND(INDEX(_玩家曲线!$H$2:$H$280,F50)&gt;=M50,INDEX(_玩家曲线!$I$2:$I$280,F50)&gt;=N50),"通过","超出玩家曲线")</f>
        <v>通过</v>
      </c>
      <c r="Q50" s="4">
        <v>208</v>
      </c>
      <c r="R50" s="4">
        <v>127</v>
      </c>
    </row>
    <row r="51" ht="25" customHeight="1" spans="1:18">
      <c r="A51" s="4">
        <v>47</v>
      </c>
      <c r="B51" s="4">
        <f>爬塔!J51</f>
        <v>185</v>
      </c>
      <c r="C51" s="4">
        <v>686000</v>
      </c>
      <c r="D51" s="5">
        <f>IF(P51="通过",ROUND(O51,-MAX(0,INT(LOG10(O51))-推荐战力参数!$B$5+1)),0)</f>
        <v>542000</v>
      </c>
      <c r="E51" s="6">
        <f t="shared" si="0"/>
        <v>-0.209912536443149</v>
      </c>
      <c r="F51" s="4">
        <f t="shared" si="1"/>
        <v>114</v>
      </c>
      <c r="G51" s="4">
        <f>MIN(ROWS(_玩家曲线!$H$2:$H$280),COUNTIF(_玩家曲线!$H$2:$H$280,"&lt;"&amp;M51)+1)</f>
        <v>111</v>
      </c>
      <c r="H51" s="4">
        <f>MIN(ROWS(_玩家曲线!$I$2:$I$280),COUNTIF(_玩家曲线!$I$2:$I$280,"&lt;"&amp;N51)+1)</f>
        <v>114</v>
      </c>
      <c r="I51" s="7">
        <v>14.3322979960428</v>
      </c>
      <c r="J51" s="7">
        <v>13.3332055212407</v>
      </c>
      <c r="K51" s="4">
        <f>爬塔!W51</f>
        <v>7293585.2</v>
      </c>
      <c r="L51" s="4">
        <f>爬塔!T51*IF(爬塔!O51="",1,爬塔!O51)</f>
        <v>74287</v>
      </c>
      <c r="M51" s="4">
        <f t="shared" si="2"/>
        <v>508891.540073601</v>
      </c>
      <c r="N51" s="4">
        <f t="shared" si="3"/>
        <v>990483.838556408</v>
      </c>
      <c r="O51" s="4">
        <f>INDEX(_统一战力!$D$2:$D$280,MATCH(F51,_统一战力!$C$2:$C$280,0))</f>
        <v>542235</v>
      </c>
      <c r="P51" s="4" t="str">
        <f>IF(AND(INDEX(_玩家曲线!$H$2:$H$280,F51)&gt;=M51,INDEX(_玩家曲线!$I$2:$I$280,F51)&gt;=N51),"通过","超出玩家曲线")</f>
        <v>通过</v>
      </c>
      <c r="Q51" s="4">
        <v>211</v>
      </c>
      <c r="R51" s="4">
        <v>130</v>
      </c>
    </row>
    <row r="52" ht="25" customHeight="1" spans="1:18">
      <c r="A52" s="4">
        <v>48</v>
      </c>
      <c r="B52" s="4">
        <f>爬塔!J52</f>
        <v>189</v>
      </c>
      <c r="C52" s="4">
        <v>702000</v>
      </c>
      <c r="D52" s="5">
        <f>IF(P52="通过",ROUND(O52,-MAX(0,INT(LOG10(O52))-推荐战力参数!$B$5+1)),0)</f>
        <v>569000</v>
      </c>
      <c r="E52" s="6">
        <f t="shared" si="0"/>
        <v>-0.189458689458689</v>
      </c>
      <c r="F52" s="4">
        <f t="shared" si="1"/>
        <v>117</v>
      </c>
      <c r="G52" s="4">
        <f>MIN(ROWS(_玩家曲线!$H$2:$H$280),COUNTIF(_玩家曲线!$H$2:$H$280,"&lt;"&amp;M52)+1)</f>
        <v>113</v>
      </c>
      <c r="H52" s="4">
        <f>MIN(ROWS(_玩家曲线!$I$2:$I$280),COUNTIF(_玩家曲线!$I$2:$I$280,"&lt;"&amp;N52)+1)</f>
        <v>117</v>
      </c>
      <c r="I52" s="7">
        <v>15.1636428479388</v>
      </c>
      <c r="J52" s="7">
        <v>13.9275833727987</v>
      </c>
      <c r="K52" s="4">
        <f>爬塔!W52</f>
        <v>8216030.63216667</v>
      </c>
      <c r="L52" s="4">
        <f>爬塔!T52*IF(爬塔!O52="",1,爬塔!O52)</f>
        <v>74178</v>
      </c>
      <c r="M52" s="4">
        <f t="shared" si="2"/>
        <v>541824.330377412</v>
      </c>
      <c r="N52" s="4">
        <f t="shared" si="3"/>
        <v>1033120.27942746</v>
      </c>
      <c r="O52" s="4">
        <f>INDEX(_统一战力!$D$2:$D$280,MATCH(F52,_统一战力!$C$2:$C$280,0))</f>
        <v>568650</v>
      </c>
      <c r="P52" s="4" t="str">
        <f>IF(AND(INDEX(_玩家曲线!$H$2:$H$280,F52)&gt;=M52,INDEX(_玩家曲线!$I$2:$I$280,F52)&gt;=N52),"通过","超出玩家曲线")</f>
        <v>通过</v>
      </c>
      <c r="Q52" s="4">
        <v>213</v>
      </c>
      <c r="R52" s="4">
        <v>132</v>
      </c>
    </row>
    <row r="53" ht="25" customHeight="1" spans="1:18">
      <c r="A53" s="4">
        <v>49</v>
      </c>
      <c r="B53" s="4">
        <f>爬塔!J53</f>
        <v>192</v>
      </c>
      <c r="C53" s="4">
        <v>726000</v>
      </c>
      <c r="D53" s="5">
        <f>IF(P53="通过",ROUND(O53,-MAX(0,INT(LOG10(O53))-推荐战力参数!$B$5+1)),0)</f>
        <v>586000</v>
      </c>
      <c r="E53" s="6">
        <f t="shared" si="0"/>
        <v>-0.192837465564738</v>
      </c>
      <c r="F53" s="4">
        <f t="shared" si="1"/>
        <v>119</v>
      </c>
      <c r="G53" s="4">
        <f>MIN(ROWS(_玩家曲线!$H$2:$H$280),COUNTIF(_玩家曲线!$H$2:$H$280,"&lt;"&amp;M53)+1)</f>
        <v>114</v>
      </c>
      <c r="H53" s="4">
        <f>MIN(ROWS(_玩家曲线!$I$2:$I$280),COUNTIF(_玩家曲线!$I$2:$I$280,"&lt;"&amp;N53)+1)</f>
        <v>119</v>
      </c>
      <c r="I53" s="7">
        <v>17.3581900041584</v>
      </c>
      <c r="J53" s="7">
        <v>13.9353687984088</v>
      </c>
      <c r="K53" s="4">
        <f>爬塔!W53</f>
        <v>9693048.97225</v>
      </c>
      <c r="L53" s="4">
        <f>爬塔!T53*IF(爬塔!O53="",1,爬塔!O53)</f>
        <v>76144</v>
      </c>
      <c r="M53" s="4">
        <f t="shared" si="2"/>
        <v>558413.577102676</v>
      </c>
      <c r="N53" s="4">
        <f t="shared" si="3"/>
        <v>1061094.72178604</v>
      </c>
      <c r="O53" s="4">
        <f>INDEX(_统一战力!$D$2:$D$280,MATCH(F53,_统一战力!$C$2:$C$280,0))</f>
        <v>586045</v>
      </c>
      <c r="P53" s="4" t="str">
        <f>IF(AND(INDEX(_玩家曲线!$H$2:$H$280,F53)&gt;=M53,INDEX(_玩家曲线!$I$2:$I$280,F53)&gt;=N53),"通过","超出玩家曲线")</f>
        <v>通过</v>
      </c>
      <c r="Q53" s="4">
        <v>217</v>
      </c>
      <c r="R53" s="4">
        <v>135</v>
      </c>
    </row>
    <row r="54" ht="25" customHeight="1" spans="1:18">
      <c r="A54" s="4">
        <v>50</v>
      </c>
      <c r="B54" s="4">
        <f>爬塔!J54</f>
        <v>196</v>
      </c>
      <c r="C54" s="4">
        <v>751000</v>
      </c>
      <c r="D54" s="5">
        <f>IF(P54="通过",ROUND(O54,-MAX(0,INT(LOG10(O54))-推荐战力参数!$B$5+1)),0)</f>
        <v>613000</v>
      </c>
      <c r="E54" s="6">
        <f t="shared" si="0"/>
        <v>-0.18375499334221</v>
      </c>
      <c r="F54" s="4">
        <f t="shared" si="1"/>
        <v>122</v>
      </c>
      <c r="G54" s="4">
        <f>MIN(ROWS(_玩家曲线!$H$2:$H$280),COUNTIF(_玩家曲线!$H$2:$H$280,"&lt;"&amp;M54)+1)</f>
        <v>118</v>
      </c>
      <c r="H54" s="4">
        <f>MIN(ROWS(_玩家曲线!$I$2:$I$280),COUNTIF(_玩家曲线!$I$2:$I$280,"&lt;"&amp;N54)+1)</f>
        <v>122</v>
      </c>
      <c r="I54" s="7">
        <v>15.475710494529</v>
      </c>
      <c r="J54" s="7">
        <v>13.9201689240783</v>
      </c>
      <c r="K54" s="4">
        <f>爬塔!W54</f>
        <v>9232656.57820833</v>
      </c>
      <c r="L54" s="4">
        <f>爬塔!T54*IF(爬塔!O54="",1,爬塔!O54)</f>
        <v>79638</v>
      </c>
      <c r="M54" s="4">
        <f t="shared" si="2"/>
        <v>596590.158588989</v>
      </c>
      <c r="N54" s="4">
        <f t="shared" si="3"/>
        <v>1108574.41277575</v>
      </c>
      <c r="O54" s="4">
        <f>INDEX(_统一战力!$D$2:$D$280,MATCH(F54,_统一战力!$C$2:$C$280,0))</f>
        <v>612680</v>
      </c>
      <c r="P54" s="4" t="str">
        <f>IF(AND(INDEX(_玩家曲线!$H$2:$H$280,F54)&gt;=M54,INDEX(_玩家曲线!$I$2:$I$280,F54)&gt;=N54),"通过","超出玩家曲线")</f>
        <v>通过</v>
      </c>
      <c r="Q54" s="4">
        <v>220</v>
      </c>
      <c r="R54" s="4">
        <v>138</v>
      </c>
    </row>
    <row r="55" ht="25" customHeight="1" spans="1:18">
      <c r="A55" s="4">
        <v>51</v>
      </c>
      <c r="B55" s="4">
        <f>爬塔!J55</f>
        <v>198</v>
      </c>
      <c r="C55" s="4">
        <v>768000</v>
      </c>
      <c r="D55" s="5">
        <f>IF(P55="通过",ROUND(O55,-MAX(0,INT(LOG10(O55))-推荐战力参数!$B$5+1)),0)</f>
        <v>631000</v>
      </c>
      <c r="E55" s="6">
        <f t="shared" si="0"/>
        <v>-0.178385416666667</v>
      </c>
      <c r="F55" s="4">
        <f t="shared" si="1"/>
        <v>124</v>
      </c>
      <c r="G55" s="4">
        <f>MIN(ROWS(_玩家曲线!$H$2:$H$280),COUNTIF(_玩家曲线!$H$2:$H$280,"&lt;"&amp;M55)+1)</f>
        <v>119</v>
      </c>
      <c r="H55" s="4">
        <f>MIN(ROWS(_玩家曲线!$I$2:$I$280),COUNTIF(_玩家曲线!$I$2:$I$280,"&lt;"&amp;N55)+1)</f>
        <v>124</v>
      </c>
      <c r="I55" s="7">
        <v>13.6856298647161</v>
      </c>
      <c r="J55" s="7">
        <v>12.9622710507825</v>
      </c>
      <c r="K55" s="4">
        <f>爬塔!W55</f>
        <v>8445378.07804167</v>
      </c>
      <c r="L55" s="4">
        <f>爬塔!T55*IF(爬塔!O55="",1,爬塔!O55)</f>
        <v>87505</v>
      </c>
      <c r="M55" s="4">
        <f t="shared" si="2"/>
        <v>617098.238190359</v>
      </c>
      <c r="N55" s="4">
        <f t="shared" si="3"/>
        <v>1134263.52829872</v>
      </c>
      <c r="O55" s="4">
        <f>INDEX(_统一战力!$D$2:$D$280,MATCH(F55,_统一战力!$C$2:$C$280,0))</f>
        <v>630805</v>
      </c>
      <c r="P55" s="4" t="str">
        <f>IF(AND(INDEX(_玩家曲线!$H$2:$H$280,F55)&gt;=M55,INDEX(_玩家曲线!$I$2:$I$280,F55)&gt;=N55),"通过","超出玩家曲线")</f>
        <v>通过</v>
      </c>
      <c r="Q55" s="4">
        <v>222</v>
      </c>
      <c r="R55" s="4">
        <v>140</v>
      </c>
    </row>
    <row r="56" ht="25" customHeight="1" spans="1:18">
      <c r="A56" s="4">
        <v>52</v>
      </c>
      <c r="B56" s="4">
        <f>爬塔!J56</f>
        <v>201</v>
      </c>
      <c r="C56" s="4">
        <v>794000</v>
      </c>
      <c r="D56" s="5">
        <f>IF(P56="通过",ROUND(O56,-MAX(0,INT(LOG10(O56))-推荐战力参数!$B$5+1)),0)</f>
        <v>649000</v>
      </c>
      <c r="E56" s="6">
        <f t="shared" si="0"/>
        <v>-0.182619647355164</v>
      </c>
      <c r="F56" s="4">
        <f t="shared" si="1"/>
        <v>126</v>
      </c>
      <c r="G56" s="4">
        <f>MIN(ROWS(_玩家曲线!$H$2:$H$280),COUNTIF(_玩家曲线!$H$2:$H$280,"&lt;"&amp;M56)+1)</f>
        <v>122</v>
      </c>
      <c r="H56" s="4">
        <f>MIN(ROWS(_玩家曲线!$I$2:$I$280),COUNTIF(_玩家曲线!$I$2:$I$280,"&lt;"&amp;N56)+1)</f>
        <v>126</v>
      </c>
      <c r="I56" s="7">
        <v>14.4582862050034</v>
      </c>
      <c r="J56" s="7">
        <v>13.5718054024503</v>
      </c>
      <c r="K56" s="4">
        <f>爬塔!W56</f>
        <v>9335622.5195</v>
      </c>
      <c r="L56" s="4">
        <f>爬塔!T56*IF(爬塔!O56="",1,爬塔!O56)</f>
        <v>86471</v>
      </c>
      <c r="M56" s="4">
        <f t="shared" si="2"/>
        <v>645693.575789732</v>
      </c>
      <c r="N56" s="4">
        <f t="shared" si="3"/>
        <v>1173567.58495528</v>
      </c>
      <c r="O56" s="4">
        <f>INDEX(_统一战力!$D$2:$D$280,MATCH(F56,_统一战力!$C$2:$C$280,0))</f>
        <v>649225</v>
      </c>
      <c r="P56" s="4" t="str">
        <f>IF(AND(INDEX(_玩家曲线!$H$2:$H$280,F56)&gt;=M56,INDEX(_玩家曲线!$I$2:$I$280,F56)&gt;=N56),"通过","超出玩家曲线")</f>
        <v>通过</v>
      </c>
      <c r="Q56" s="4">
        <v>225</v>
      </c>
      <c r="R56" s="4">
        <v>143</v>
      </c>
    </row>
    <row r="57" ht="25" customHeight="1" spans="1:18">
      <c r="A57" s="4">
        <v>53</v>
      </c>
      <c r="B57" s="4">
        <f>爬塔!J57</f>
        <v>203</v>
      </c>
      <c r="C57" s="4">
        <v>817000</v>
      </c>
      <c r="D57" s="5">
        <f>IF(P57="通过",ROUND(O57,-MAX(0,INT(LOG10(O57))-推荐战力参数!$B$5+1)),0)</f>
        <v>668000</v>
      </c>
      <c r="E57" s="6">
        <f t="shared" si="0"/>
        <v>-0.182374541003672</v>
      </c>
      <c r="F57" s="4">
        <f t="shared" si="1"/>
        <v>128</v>
      </c>
      <c r="G57" s="4">
        <f>MIN(ROWS(_玩家曲线!$H$2:$H$280),COUNTIF(_玩家曲线!$H$2:$H$280,"&lt;"&amp;M57)+1)</f>
        <v>123</v>
      </c>
      <c r="H57" s="4">
        <f>MIN(ROWS(_玩家曲线!$I$2:$I$280),COUNTIF(_玩家曲线!$I$2:$I$280,"&lt;"&amp;N57)+1)</f>
        <v>128</v>
      </c>
      <c r="I57" s="7">
        <v>14.5253367865898</v>
      </c>
      <c r="J57" s="7">
        <v>13.5923303749199</v>
      </c>
      <c r="K57" s="4">
        <f>爬塔!W57</f>
        <v>9641008.038</v>
      </c>
      <c r="L57" s="4">
        <f>爬塔!T57*IF(爬塔!O57="",1,爬塔!O57)</f>
        <v>88285</v>
      </c>
      <c r="M57" s="4">
        <f t="shared" si="2"/>
        <v>663737.314986104</v>
      </c>
      <c r="N57" s="4">
        <f t="shared" si="3"/>
        <v>1199998.8871498</v>
      </c>
      <c r="O57" s="4">
        <f>INDEX(_统一战力!$D$2:$D$280,MATCH(F57,_统一战力!$C$2:$C$280,0))</f>
        <v>667940</v>
      </c>
      <c r="P57" s="4" t="str">
        <f>IF(AND(INDEX(_玩家曲线!$H$2:$H$280,F57)&gt;=M57,INDEX(_玩家曲线!$I$2:$I$280,F57)&gt;=N57),"通过","超出玩家曲线")</f>
        <v>通过</v>
      </c>
      <c r="Q57" s="4">
        <v>228</v>
      </c>
      <c r="R57" s="4">
        <v>146</v>
      </c>
    </row>
    <row r="58" ht="25" customHeight="1" spans="1:18">
      <c r="A58" s="4">
        <v>54</v>
      </c>
      <c r="B58" s="4">
        <f>爬塔!J58</f>
        <v>205</v>
      </c>
      <c r="C58" s="4">
        <v>832000</v>
      </c>
      <c r="D58" s="5">
        <f>IF(P58="通过",ROUND(O58,-MAX(0,INT(LOG10(O58))-推荐战力参数!$B$5+1)),0)</f>
        <v>677000</v>
      </c>
      <c r="E58" s="6">
        <f t="shared" si="0"/>
        <v>-0.186298076923077</v>
      </c>
      <c r="F58" s="4">
        <f t="shared" si="1"/>
        <v>129</v>
      </c>
      <c r="G58" s="4">
        <f>MIN(ROWS(_玩家曲线!$H$2:$H$280),COUNTIF(_玩家曲线!$H$2:$H$280,"&lt;"&amp;M58)+1)</f>
        <v>125</v>
      </c>
      <c r="H58" s="4">
        <f>MIN(ROWS(_玩家曲线!$I$2:$I$280),COUNTIF(_玩家曲线!$I$2:$I$280,"&lt;"&amp;N58)+1)</f>
        <v>129</v>
      </c>
      <c r="I58" s="7">
        <v>14.5836963367914</v>
      </c>
      <c r="J58" s="7">
        <v>13.596157123129</v>
      </c>
      <c r="K58" s="4">
        <f>爬塔!W58</f>
        <v>9935926.5845</v>
      </c>
      <c r="L58" s="4">
        <f>爬塔!T58*IF(爬塔!O58="",1,爬塔!O58)</f>
        <v>89952</v>
      </c>
      <c r="M58" s="4">
        <f t="shared" si="2"/>
        <v>681303.721295532</v>
      </c>
      <c r="N58" s="4">
        <f t="shared" si="3"/>
        <v>1223001.5255397</v>
      </c>
      <c r="O58" s="4">
        <f>INDEX(_统一战力!$D$2:$D$280,MATCH(F58,_统一战力!$C$2:$C$280,0))</f>
        <v>677410</v>
      </c>
      <c r="P58" s="4" t="str">
        <f>IF(AND(INDEX(_玩家曲线!$H$2:$H$280,F58)&gt;=M58,INDEX(_玩家曲线!$I$2:$I$280,F58)&gt;=N58),"通过","超出玩家曲线")</f>
        <v>通过</v>
      </c>
      <c r="Q58" s="4">
        <v>230</v>
      </c>
      <c r="R58" s="4">
        <v>148</v>
      </c>
    </row>
    <row r="59" ht="25" customHeight="1" spans="1:18">
      <c r="A59" s="4">
        <v>55</v>
      </c>
      <c r="B59" s="4">
        <f>爬塔!J59</f>
        <v>208</v>
      </c>
      <c r="C59" s="4">
        <v>855000</v>
      </c>
      <c r="D59" s="5">
        <f>IF(P59="通过",ROUND(O59,-MAX(0,INT(LOG10(O59))-推荐战力参数!$B$5+1)),0)</f>
        <v>702000</v>
      </c>
      <c r="E59" s="6">
        <f t="shared" si="0"/>
        <v>-0.178947368421053</v>
      </c>
      <c r="F59" s="4">
        <f t="shared" si="1"/>
        <v>132</v>
      </c>
      <c r="G59" s="4">
        <f>MIN(ROWS(_玩家曲线!$H$2:$H$280),COUNTIF(_玩家曲线!$H$2:$H$280,"&lt;"&amp;M59)+1)</f>
        <v>127</v>
      </c>
      <c r="H59" s="4">
        <f>MIN(ROWS(_玩家曲线!$I$2:$I$280),COUNTIF(_玩家曲线!$I$2:$I$280,"&lt;"&amp;N59)+1)</f>
        <v>132</v>
      </c>
      <c r="I59" s="7">
        <v>15.4268799627553</v>
      </c>
      <c r="J59" s="7">
        <v>14.203158356187</v>
      </c>
      <c r="K59" s="4">
        <f>爬塔!W59</f>
        <v>11068872.335875</v>
      </c>
      <c r="L59" s="4">
        <f>爬塔!T59*IF(爬塔!O59="",1,爬塔!O59)</f>
        <v>89295</v>
      </c>
      <c r="M59" s="4">
        <f t="shared" si="2"/>
        <v>717505.572260773</v>
      </c>
      <c r="N59" s="4">
        <f t="shared" si="3"/>
        <v>1268271.02541572</v>
      </c>
      <c r="O59" s="4">
        <f>INDEX(_统一战力!$D$2:$D$280,MATCH(F59,_统一战力!$C$2:$C$280,0))</f>
        <v>702025</v>
      </c>
      <c r="P59" s="4" t="str">
        <f>IF(AND(INDEX(_玩家曲线!$H$2:$H$280,F59)&gt;=M59,INDEX(_玩家曲线!$I$2:$I$280,F59)&gt;=N59),"通过","超出玩家曲线")</f>
        <v>通过</v>
      </c>
      <c r="Q59" s="4">
        <v>232</v>
      </c>
      <c r="R59" s="4">
        <v>151</v>
      </c>
    </row>
    <row r="60" ht="25" customHeight="1" spans="1:18">
      <c r="A60" s="4">
        <v>56</v>
      </c>
      <c r="B60" s="4">
        <f>爬塔!J60</f>
        <v>210</v>
      </c>
      <c r="C60" s="4">
        <v>878000</v>
      </c>
      <c r="D60" s="5">
        <f>IF(P60="通过",ROUND(O60,-MAX(0,INT(LOG10(O60))-推荐战力参数!$B$5+1)),0)</f>
        <v>718000</v>
      </c>
      <c r="E60" s="6">
        <f t="shared" si="0"/>
        <v>-0.182232346241458</v>
      </c>
      <c r="F60" s="4">
        <f t="shared" si="1"/>
        <v>134</v>
      </c>
      <c r="G60" s="4">
        <f>MIN(ROWS(_玩家曲线!$H$2:$H$280),COUNTIF(_玩家曲线!$H$2:$H$280,"&lt;"&amp;M60)+1)</f>
        <v>129</v>
      </c>
      <c r="H60" s="4">
        <f>MIN(ROWS(_玩家曲线!$I$2:$I$280),COUNTIF(_玩家曲线!$I$2:$I$280,"&lt;"&amp;N60)+1)</f>
        <v>134</v>
      </c>
      <c r="I60" s="7">
        <v>14.4888068727641</v>
      </c>
      <c r="J60" s="7">
        <v>13.7426658295693</v>
      </c>
      <c r="K60" s="4">
        <f>爬塔!W60</f>
        <v>10656965.2292917</v>
      </c>
      <c r="L60" s="4">
        <f>爬塔!T60*IF(爬塔!O60="",1,爬塔!O60)</f>
        <v>94088</v>
      </c>
      <c r="M60" s="4">
        <f t="shared" si="2"/>
        <v>735530.90484797</v>
      </c>
      <c r="N60" s="4">
        <f t="shared" si="3"/>
        <v>1293019.94257252</v>
      </c>
      <c r="O60" s="4">
        <f>INDEX(_统一战力!$D$2:$D$280,MATCH(F60,_统一战力!$C$2:$C$280,0))</f>
        <v>718195</v>
      </c>
      <c r="P60" s="4" t="str">
        <f>IF(AND(INDEX(_玩家曲线!$H$2:$H$280,F60)&gt;=M60,INDEX(_玩家曲线!$I$2:$I$280,F60)&gt;=N60),"通过","超出玩家曲线")</f>
        <v>通过</v>
      </c>
      <c r="Q60" s="4">
        <v>235</v>
      </c>
      <c r="R60" s="4">
        <v>154</v>
      </c>
    </row>
    <row r="61" ht="25" customHeight="1" spans="1:18">
      <c r="A61" s="4">
        <v>57</v>
      </c>
      <c r="B61" s="4">
        <f>爬塔!J61</f>
        <v>212</v>
      </c>
      <c r="C61" s="4">
        <v>893000</v>
      </c>
      <c r="D61" s="5">
        <f>IF(P61="通过",ROUND(O61,-MAX(0,INT(LOG10(O61))-推荐战力参数!$B$5+1)),0)</f>
        <v>726000</v>
      </c>
      <c r="E61" s="6">
        <f t="shared" si="0"/>
        <v>-0.187010078387458</v>
      </c>
      <c r="F61" s="4">
        <f t="shared" si="1"/>
        <v>135</v>
      </c>
      <c r="G61" s="4">
        <f>MIN(ROWS(_玩家曲线!$H$2:$H$280),COUNTIF(_玩家曲线!$H$2:$H$280,"&lt;"&amp;M61)+1)</f>
        <v>130</v>
      </c>
      <c r="H61" s="4">
        <f>MIN(ROWS(_玩家曲线!$I$2:$I$280),COUNTIF(_玩家曲线!$I$2:$I$280,"&lt;"&amp;N61)+1)</f>
        <v>135</v>
      </c>
      <c r="I61" s="7">
        <v>13.6784404035805</v>
      </c>
      <c r="J61" s="7">
        <v>13.2281310557952</v>
      </c>
      <c r="K61" s="4">
        <f>爬塔!W61</f>
        <v>10334614.794</v>
      </c>
      <c r="L61" s="4">
        <f>爬塔!T61*IF(爬塔!O61="",1,爬塔!O61)</f>
        <v>99573</v>
      </c>
      <c r="M61" s="4">
        <f t="shared" si="2"/>
        <v>755540.433637068</v>
      </c>
      <c r="N61" s="4">
        <f t="shared" si="3"/>
        <v>1317164.6936187</v>
      </c>
      <c r="O61" s="4">
        <f>INDEX(_统一战力!$D$2:$D$280,MATCH(F61,_统一战力!$C$2:$C$280,0))</f>
        <v>726360</v>
      </c>
      <c r="P61" s="4" t="str">
        <f>IF(AND(INDEX(_玩家曲线!$H$2:$H$280,F61)&gt;=M61,INDEX(_玩家曲线!$I$2:$I$280,F61)&gt;=N61),"通过","超出玩家曲线")</f>
        <v>通过</v>
      </c>
      <c r="Q61" s="4">
        <v>237</v>
      </c>
      <c r="R61" s="4">
        <v>156</v>
      </c>
    </row>
    <row r="62" ht="25" customHeight="1" spans="1:18">
      <c r="A62" s="4">
        <v>58</v>
      </c>
      <c r="B62" s="4">
        <f>爬塔!J62</f>
        <v>214</v>
      </c>
      <c r="C62" s="4">
        <v>917000</v>
      </c>
      <c r="D62" s="5">
        <f>IF(P62="通过",ROUND(O62,-MAX(0,INT(LOG10(O62))-推荐战力参数!$B$5+1)),0)</f>
        <v>751000</v>
      </c>
      <c r="E62" s="6">
        <f t="shared" si="0"/>
        <v>-0.181025081788441</v>
      </c>
      <c r="F62" s="4">
        <f t="shared" si="1"/>
        <v>138</v>
      </c>
      <c r="G62" s="4">
        <f>MIN(ROWS(_玩家曲线!$H$2:$H$280),COUNTIF(_玩家曲线!$H$2:$H$280,"&lt;"&amp;M62)+1)</f>
        <v>133</v>
      </c>
      <c r="H62" s="4">
        <f>MIN(ROWS(_玩家曲线!$I$2:$I$280),COUNTIF(_玩家曲线!$I$2:$I$280,"&lt;"&amp;N62)+1)</f>
        <v>138</v>
      </c>
      <c r="I62" s="7">
        <v>13.6762481757798</v>
      </c>
      <c r="J62" s="7">
        <v>13.2680938012621</v>
      </c>
      <c r="K62" s="4">
        <f>爬塔!W62</f>
        <v>10724975.3516667</v>
      </c>
      <c r="L62" s="4">
        <f>爬塔!T62*IF(爬塔!O62="",1,爬塔!O62)</f>
        <v>101986</v>
      </c>
      <c r="M62" s="4">
        <f t="shared" si="2"/>
        <v>784204.499203243</v>
      </c>
      <c r="N62" s="4">
        <f t="shared" si="3"/>
        <v>1353159.81441552</v>
      </c>
      <c r="O62" s="4">
        <f>INDEX(_统一战力!$D$2:$D$280,MATCH(F62,_统一战力!$C$2:$C$280,0))</f>
        <v>751165</v>
      </c>
      <c r="P62" s="4" t="str">
        <f>IF(AND(INDEX(_玩家曲线!$H$2:$H$280,F62)&gt;=M62,INDEX(_玩家曲线!$I$2:$I$280,F62)&gt;=N62),"通过","超出玩家曲线")</f>
        <v>通过</v>
      </c>
      <c r="Q62" s="4">
        <v>239</v>
      </c>
      <c r="R62" s="4">
        <v>159</v>
      </c>
    </row>
    <row r="63" ht="25" customHeight="1" spans="1:18">
      <c r="A63" s="4">
        <v>59</v>
      </c>
      <c r="B63" s="4">
        <f>爬塔!J63</f>
        <v>217</v>
      </c>
      <c r="C63" s="4">
        <v>937000</v>
      </c>
      <c r="D63" s="5">
        <f>IF(P63="通过",ROUND(O63,-MAX(0,INT(LOG10(O63))-推荐战力参数!$B$5+1)),0)</f>
        <v>768000</v>
      </c>
      <c r="E63" s="6">
        <f t="shared" si="0"/>
        <v>-0.180362860192102</v>
      </c>
      <c r="F63" s="4">
        <f t="shared" si="1"/>
        <v>140</v>
      </c>
      <c r="G63" s="4">
        <f>MIN(ROWS(_玩家曲线!$H$2:$H$280),COUNTIF(_玩家曲线!$H$2:$H$280,"&lt;"&amp;M63)+1)</f>
        <v>135</v>
      </c>
      <c r="H63" s="4">
        <f>MIN(ROWS(_玩家曲线!$I$2:$I$280),COUNTIF(_玩家曲线!$I$2:$I$280,"&lt;"&amp;N63)+1)</f>
        <v>140</v>
      </c>
      <c r="I63" s="7">
        <v>14.603539760978</v>
      </c>
      <c r="J63" s="7">
        <v>13.7870215366215</v>
      </c>
      <c r="K63" s="4">
        <f>爬塔!W63</f>
        <v>11828043.9209167</v>
      </c>
      <c r="L63" s="4">
        <f>爬塔!T63*IF(爬塔!O63="",1,爬塔!O63)</f>
        <v>100548</v>
      </c>
      <c r="M63" s="4">
        <f t="shared" si="2"/>
        <v>809943.624252134</v>
      </c>
      <c r="N63" s="4">
        <f t="shared" si="3"/>
        <v>1386257.44146422</v>
      </c>
      <c r="O63" s="4">
        <f>INDEX(_统一战力!$D$2:$D$280,MATCH(F63,_统一战力!$C$2:$C$280,0))</f>
        <v>767965</v>
      </c>
      <c r="P63" s="4" t="str">
        <f>IF(AND(INDEX(_玩家曲线!$H$2:$H$280,F63)&gt;=M63,INDEX(_玩家曲线!$I$2:$I$280,F63)&gt;=N63),"通过","超出玩家曲线")</f>
        <v>通过</v>
      </c>
      <c r="Q63" s="4">
        <v>242</v>
      </c>
      <c r="R63" s="4">
        <v>162</v>
      </c>
    </row>
    <row r="64" ht="25" customHeight="1" spans="1:18">
      <c r="A64" s="4">
        <v>60</v>
      </c>
      <c r="B64" s="4">
        <f>爬塔!J64</f>
        <v>219</v>
      </c>
      <c r="C64" s="4">
        <v>958000</v>
      </c>
      <c r="D64" s="5">
        <f>IF(P64="通过",ROUND(O64,-MAX(0,INT(LOG10(O64))-推荐战力参数!$B$5+1)),0)</f>
        <v>776000</v>
      </c>
      <c r="E64" s="6">
        <f t="shared" si="0"/>
        <v>-0.189979123173278</v>
      </c>
      <c r="F64" s="4">
        <f t="shared" si="1"/>
        <v>141</v>
      </c>
      <c r="G64" s="4">
        <f>MIN(ROWS(_玩家曲线!$H$2:$H$280),COUNTIF(_玩家曲线!$H$2:$H$280,"&lt;"&amp;M64)+1)</f>
        <v>136</v>
      </c>
      <c r="H64" s="4">
        <f>MIN(ROWS(_玩家曲线!$I$2:$I$280),COUNTIF(_玩家曲线!$I$2:$I$280,"&lt;"&amp;N64)+1)</f>
        <v>141</v>
      </c>
      <c r="I64" s="7">
        <v>15.7294751410084</v>
      </c>
      <c r="J64" s="7">
        <v>14.2399738357423</v>
      </c>
      <c r="K64" s="4">
        <f>爬塔!W64</f>
        <v>12958220.411</v>
      </c>
      <c r="L64" s="4">
        <f>爬塔!T64*IF(爬塔!O64="",1,爬塔!O64)</f>
        <v>98826</v>
      </c>
      <c r="M64" s="4">
        <f t="shared" si="2"/>
        <v>823817.724039409</v>
      </c>
      <c r="N64" s="4">
        <f t="shared" si="3"/>
        <v>1407279.65429107</v>
      </c>
      <c r="O64" s="4">
        <f>INDEX(_统一战力!$D$2:$D$280,MATCH(F64,_统一战力!$C$2:$C$280,0))</f>
        <v>776445</v>
      </c>
      <c r="P64" s="4" t="str">
        <f>IF(AND(INDEX(_玩家曲线!$H$2:$H$280,F64)&gt;=M64,INDEX(_玩家曲线!$I$2:$I$280,F64)&gt;=N64),"通过","超出玩家曲线")</f>
        <v>通过</v>
      </c>
      <c r="Q64" s="4">
        <v>245</v>
      </c>
      <c r="R64" s="4">
        <v>165</v>
      </c>
    </row>
    <row r="65" ht="25" customHeight="1" spans="1:18">
      <c r="A65" s="4">
        <v>61</v>
      </c>
      <c r="B65" s="4">
        <f>爬塔!J65</f>
        <v>221</v>
      </c>
      <c r="C65" s="4">
        <v>972000</v>
      </c>
      <c r="D65" s="5">
        <f>IF(P65="通过",ROUND(O65,-MAX(0,INT(LOG10(O65))-推荐战力参数!$B$5+1)),0)</f>
        <v>802000</v>
      </c>
      <c r="E65" s="6">
        <f t="shared" si="0"/>
        <v>-0.174897119341564</v>
      </c>
      <c r="F65" s="4">
        <f t="shared" si="1"/>
        <v>144</v>
      </c>
      <c r="G65" s="4">
        <f>MIN(ROWS(_玩家曲线!$H$2:$H$280),COUNTIF(_玩家曲线!$H$2:$H$280,"&lt;"&amp;M65)+1)</f>
        <v>139</v>
      </c>
      <c r="H65" s="4">
        <f>MIN(ROWS(_玩家曲线!$I$2:$I$280),COUNTIF(_玩家曲线!$I$2:$I$280,"&lt;"&amp;N65)+1)</f>
        <v>144</v>
      </c>
      <c r="I65" s="7">
        <v>13.8571406695576</v>
      </c>
      <c r="J65" s="7">
        <v>13.2550106802931</v>
      </c>
      <c r="K65" s="4">
        <f>爬塔!W65</f>
        <v>11853225.7637917</v>
      </c>
      <c r="L65" s="4">
        <f>爬塔!T65*IF(爬塔!O65="",1,爬塔!O65)</f>
        <v>108681</v>
      </c>
      <c r="M65" s="4">
        <f t="shared" si="2"/>
        <v>855387.561290456</v>
      </c>
      <c r="N65" s="4">
        <f t="shared" si="3"/>
        <v>1440567.81574493</v>
      </c>
      <c r="O65" s="4">
        <f>INDEX(_统一战力!$D$2:$D$280,MATCH(F65,_统一战力!$C$2:$C$280,0))</f>
        <v>802200</v>
      </c>
      <c r="P65" s="4" t="str">
        <f>IF(AND(INDEX(_玩家曲线!$H$2:$H$280,F65)&gt;=M65,INDEX(_玩家曲线!$I$2:$I$280,F65)&gt;=N65),"通过","超出玩家曲线")</f>
        <v>通过</v>
      </c>
      <c r="Q65" s="4">
        <v>246</v>
      </c>
      <c r="R65" s="4">
        <v>167</v>
      </c>
    </row>
    <row r="66" ht="25" customHeight="1" spans="1:18">
      <c r="A66" s="4">
        <v>62</v>
      </c>
      <c r="B66" s="4">
        <f>爬塔!J66</f>
        <v>223</v>
      </c>
      <c r="C66" s="4">
        <v>993000</v>
      </c>
      <c r="D66" s="5">
        <f>IF(P66="通过",ROUND(O66,-MAX(0,INT(LOG10(O66))-推荐战力参数!$B$5+1)),0)</f>
        <v>810000</v>
      </c>
      <c r="E66" s="6">
        <f t="shared" si="0"/>
        <v>-0.18429003021148</v>
      </c>
      <c r="F66" s="4">
        <f t="shared" si="1"/>
        <v>145</v>
      </c>
      <c r="G66" s="4">
        <f>MIN(ROWS(_玩家曲线!$H$2:$H$280),COUNTIF(_玩家曲线!$H$2:$H$280,"&lt;"&amp;M66)+1)</f>
        <v>140</v>
      </c>
      <c r="H66" s="4">
        <f>MIN(ROWS(_玩家曲线!$I$2:$I$280),COUNTIF(_玩家曲线!$I$2:$I$280,"&lt;"&amp;N66)+1)</f>
        <v>145</v>
      </c>
      <c r="I66" s="7">
        <v>13.9154289570336</v>
      </c>
      <c r="J66" s="7">
        <v>13.2517090847415</v>
      </c>
      <c r="K66" s="4">
        <f>爬塔!W66</f>
        <v>12118995.677125</v>
      </c>
      <c r="L66" s="4">
        <f>爬塔!T66*IF(爬塔!O66="",1,爬塔!O66)</f>
        <v>110328</v>
      </c>
      <c r="M66" s="4">
        <f t="shared" si="2"/>
        <v>870903.492414398</v>
      </c>
      <c r="N66" s="4">
        <f t="shared" si="3"/>
        <v>1462034.55990136</v>
      </c>
      <c r="O66" s="4">
        <f>INDEX(_统一战力!$D$2:$D$280,MATCH(F66,_统一战力!$C$2:$C$280,0))</f>
        <v>810140</v>
      </c>
      <c r="P66" s="4" t="str">
        <f>IF(AND(INDEX(_玩家曲线!$H$2:$H$280,F66)&gt;=M66,INDEX(_玩家曲线!$I$2:$I$280,F66)&gt;=N66),"通过","超出玩家曲线")</f>
        <v>通过</v>
      </c>
      <c r="Q66" s="4">
        <v>249</v>
      </c>
      <c r="R66" s="4">
        <v>170</v>
      </c>
    </row>
    <row r="67" ht="25" customHeight="1" spans="1:18">
      <c r="A67" s="4">
        <v>63</v>
      </c>
      <c r="B67" s="4">
        <f>爬塔!J67</f>
        <v>225</v>
      </c>
      <c r="C67" s="4">
        <v>1010000</v>
      </c>
      <c r="D67" s="5">
        <f>IF(P67="通过",ROUND(O67,-MAX(0,INT(LOG10(O67))-推荐战力参数!$B$5+1)),0)</f>
        <v>825000</v>
      </c>
      <c r="E67" s="6">
        <f t="shared" si="0"/>
        <v>-0.183168316831683</v>
      </c>
      <c r="F67" s="4">
        <f t="shared" si="1"/>
        <v>147</v>
      </c>
      <c r="G67" s="4">
        <f>MIN(ROWS(_玩家曲线!$H$2:$H$280),COUNTIF(_玩家曲线!$H$2:$H$280,"&lt;"&amp;M67)+1)</f>
        <v>141</v>
      </c>
      <c r="H67" s="4">
        <f>MIN(ROWS(_玩家曲线!$I$2:$I$280),COUNTIF(_玩家曲线!$I$2:$I$280,"&lt;"&amp;N67)+1)</f>
        <v>147</v>
      </c>
      <c r="I67" s="7">
        <v>14.9236893176219</v>
      </c>
      <c r="J67" s="7">
        <v>13.728852081512</v>
      </c>
      <c r="K67" s="4">
        <f>爬塔!W67</f>
        <v>13215191.4314583</v>
      </c>
      <c r="L67" s="4">
        <f>爬塔!T67*IF(爬塔!O67="",1,爬塔!O67)</f>
        <v>108079</v>
      </c>
      <c r="M67" s="4">
        <f t="shared" si="2"/>
        <v>885517.726226974</v>
      </c>
      <c r="N67" s="4">
        <f t="shared" si="3"/>
        <v>1483800.60411774</v>
      </c>
      <c r="O67" s="4">
        <f>INDEX(_统一战力!$D$2:$D$280,MATCH(F67,_统一战力!$C$2:$C$280,0))</f>
        <v>824880</v>
      </c>
      <c r="P67" s="4" t="str">
        <f>IF(AND(INDEX(_玩家曲线!$H$2:$H$280,F67)&gt;=M67,INDEX(_玩家曲线!$I$2:$I$280,F67)&gt;=N67),"通过","超出玩家曲线")</f>
        <v>通过</v>
      </c>
      <c r="Q67" s="4">
        <v>252</v>
      </c>
      <c r="R67" s="4">
        <v>173</v>
      </c>
    </row>
    <row r="68" ht="25" customHeight="1" spans="1:18">
      <c r="A68" s="4">
        <v>64</v>
      </c>
      <c r="B68" s="4">
        <f>爬塔!J68</f>
        <v>227</v>
      </c>
      <c r="C68" s="4">
        <v>1030000</v>
      </c>
      <c r="D68" s="5">
        <f>IF(P68="通过",ROUND(O68,-MAX(0,INT(LOG10(O68))-推荐战力参数!$B$5+1)),0)</f>
        <v>840000</v>
      </c>
      <c r="E68" s="6">
        <f t="shared" si="0"/>
        <v>-0.184466019417476</v>
      </c>
      <c r="F68" s="4">
        <f t="shared" si="1"/>
        <v>149</v>
      </c>
      <c r="G68" s="4">
        <f>MIN(ROWS(_玩家曲线!$H$2:$H$280),COUNTIF(_玩家曲线!$H$2:$H$280,"&lt;"&amp;M68)+1)</f>
        <v>143</v>
      </c>
      <c r="H68" s="4">
        <f>MIN(ROWS(_玩家曲线!$I$2:$I$280),COUNTIF(_玩家曲线!$I$2:$I$280,"&lt;"&amp;N68)+1)</f>
        <v>149</v>
      </c>
      <c r="I68" s="7">
        <v>14.0741722358235</v>
      </c>
      <c r="J68" s="7">
        <v>13.2158280537046</v>
      </c>
      <c r="K68" s="4">
        <f>爬塔!W68</f>
        <v>12849351.784625</v>
      </c>
      <c r="L68" s="4">
        <f>爬塔!T68*IF(爬塔!O68="",1,爬塔!O68)</f>
        <v>114650</v>
      </c>
      <c r="M68" s="4">
        <f t="shared" si="2"/>
        <v>912973.89070734</v>
      </c>
      <c r="N68" s="4">
        <f t="shared" si="3"/>
        <v>1515194.68635723</v>
      </c>
      <c r="O68" s="4">
        <f>INDEX(_统一战力!$D$2:$D$280,MATCH(F68,_统一战力!$C$2:$C$280,0))</f>
        <v>839770</v>
      </c>
      <c r="P68" s="4" t="str">
        <f>IF(AND(INDEX(_玩家曲线!$H$2:$H$280,F68)&gt;=M68,INDEX(_玩家曲线!$I$2:$I$280,F68)&gt;=N68),"通过","超出玩家曲线")</f>
        <v>通过</v>
      </c>
      <c r="Q68" s="4">
        <v>254</v>
      </c>
      <c r="R68" s="4">
        <v>176</v>
      </c>
    </row>
    <row r="69" ht="25" customHeight="1" spans="1:18">
      <c r="A69" s="4">
        <v>65</v>
      </c>
      <c r="B69" s="4">
        <f>爬塔!J69</f>
        <v>229</v>
      </c>
      <c r="C69" s="4">
        <v>1050000</v>
      </c>
      <c r="D69" s="5">
        <f>IF(P69="通过",ROUND(O69,-MAX(0,INT(LOG10(O69))-推荐战力参数!$B$5+1)),0)</f>
        <v>847000</v>
      </c>
      <c r="E69" s="6">
        <f t="shared" ref="E69:E104" si="4">D69/C69-1</f>
        <v>-0.193333333333333</v>
      </c>
      <c r="F69" s="4">
        <f t="shared" ref="F69:F104" si="5">MAX(G69,H69)</f>
        <v>150</v>
      </c>
      <c r="G69" s="4">
        <f>MIN(ROWS(_玩家曲线!$H$2:$H$280),COUNTIF(_玩家曲线!$H$2:$H$280,"&lt;"&amp;M69)+1)</f>
        <v>144</v>
      </c>
      <c r="H69" s="4">
        <f>MIN(ROWS(_玩家曲线!$I$2:$I$280),COUNTIF(_玩家曲线!$I$2:$I$280,"&lt;"&amp;N69)+1)</f>
        <v>150</v>
      </c>
      <c r="I69" s="7">
        <v>15.9754019729614</v>
      </c>
      <c r="J69" s="7">
        <v>14.2415666362711</v>
      </c>
      <c r="K69" s="4">
        <f>爬塔!W69</f>
        <v>14825429.8892917</v>
      </c>
      <c r="L69" s="4">
        <f>爬塔!T69*IF(爬塔!O69="",1,爬塔!O69)</f>
        <v>107827</v>
      </c>
      <c r="M69" s="4">
        <f t="shared" ref="M69:M104" si="6">K69/I69</f>
        <v>928016.078367475</v>
      </c>
      <c r="N69" s="4">
        <f t="shared" ref="N69:N104" si="7">L69*J69</f>
        <v>1535625.4056892</v>
      </c>
      <c r="O69" s="4">
        <f>INDEX(_统一战力!$D$2:$D$280,MATCH(F69,_统一战力!$C$2:$C$280,0))</f>
        <v>847275</v>
      </c>
      <c r="P69" s="4" t="str">
        <f>IF(AND(INDEX(_玩家曲线!$H$2:$H$280,F69)&gt;=M69,INDEX(_玩家曲线!$I$2:$I$280,F69)&gt;=N69),"通过","超出玩家曲线")</f>
        <v>通过</v>
      </c>
      <c r="Q69" s="4">
        <v>256</v>
      </c>
      <c r="R69" s="4">
        <v>178</v>
      </c>
    </row>
    <row r="70" ht="25" customHeight="1" spans="1:18">
      <c r="A70" s="4">
        <v>66</v>
      </c>
      <c r="B70" s="4">
        <f>爬塔!J70</f>
        <v>230</v>
      </c>
      <c r="C70" s="4">
        <v>1070000</v>
      </c>
      <c r="D70" s="5">
        <f>IF(P70="通过",ROUND(O70,-MAX(0,INT(LOG10(O70))-推荐战力参数!$B$5+1)),0)</f>
        <v>870000</v>
      </c>
      <c r="E70" s="6">
        <f t="shared" si="4"/>
        <v>-0.186915887850467</v>
      </c>
      <c r="F70" s="4">
        <f t="shared" si="5"/>
        <v>153</v>
      </c>
      <c r="G70" s="4">
        <f>MIN(ROWS(_玩家曲线!$H$2:$H$280),COUNTIF(_玩家曲线!$H$2:$H$280,"&lt;"&amp;M70)+1)</f>
        <v>146</v>
      </c>
      <c r="H70" s="4">
        <f>MIN(ROWS(_玩家曲线!$I$2:$I$280),COUNTIF(_玩家曲线!$I$2:$I$280,"&lt;"&amp;N70)+1)</f>
        <v>153</v>
      </c>
      <c r="I70" s="7">
        <v>14.0398002325421</v>
      </c>
      <c r="J70" s="7">
        <v>13.2732075290781</v>
      </c>
      <c r="K70" s="4">
        <f>爬塔!W70</f>
        <v>13408765.1318333</v>
      </c>
      <c r="L70" s="4">
        <f>爬塔!T70*IF(爬塔!O70="",1,爬塔!O70)</f>
        <v>117918</v>
      </c>
      <c r="M70" s="4">
        <f t="shared" si="6"/>
        <v>955053.840492251</v>
      </c>
      <c r="N70" s="4">
        <f t="shared" si="7"/>
        <v>1565150.08541383</v>
      </c>
      <c r="O70" s="4">
        <f>INDEX(_统一战力!$D$2:$D$280,MATCH(F70,_统一战力!$C$2:$C$280,0))</f>
        <v>870015</v>
      </c>
      <c r="P70" s="4" t="str">
        <f>IF(AND(INDEX(_玩家曲线!$H$2:$H$280,F70)&gt;=M70,INDEX(_玩家曲线!$I$2:$I$280,F70)&gt;=N70),"通过","超出玩家曲线")</f>
        <v>通过</v>
      </c>
      <c r="Q70" s="4">
        <v>257</v>
      </c>
      <c r="R70" s="4">
        <v>181</v>
      </c>
    </row>
    <row r="71" ht="25" customHeight="1" spans="1:18">
      <c r="A71" s="4">
        <v>67</v>
      </c>
      <c r="B71" s="4">
        <f>爬塔!J71</f>
        <v>232</v>
      </c>
      <c r="C71" s="4">
        <v>1090000</v>
      </c>
      <c r="D71" s="5">
        <f>IF(P71="通过",ROUND(O71,-MAX(0,INT(LOG10(O71))-推荐战力参数!$B$5+1)),0)</f>
        <v>878000</v>
      </c>
      <c r="E71" s="6">
        <f t="shared" si="4"/>
        <v>-0.194495412844037</v>
      </c>
      <c r="F71" s="4">
        <f t="shared" si="5"/>
        <v>154</v>
      </c>
      <c r="G71" s="4">
        <f>MIN(ROWS(_玩家曲线!$H$2:$H$280),COUNTIF(_玩家曲线!$H$2:$H$280,"&lt;"&amp;M71)+1)</f>
        <v>148</v>
      </c>
      <c r="H71" s="4">
        <f>MIN(ROWS(_玩家曲线!$I$2:$I$280),COUNTIF(_玩家曲线!$I$2:$I$280,"&lt;"&amp;N71)+1)</f>
        <v>154</v>
      </c>
      <c r="I71" s="7">
        <v>14.1581800645204</v>
      </c>
      <c r="J71" s="7">
        <v>13.2281353497002</v>
      </c>
      <c r="K71" s="4">
        <f>爬塔!W71</f>
        <v>13712014.8598333</v>
      </c>
      <c r="L71" s="4">
        <f>爬塔!T71*IF(爬塔!O71="",1,爬塔!O71)</f>
        <v>119705</v>
      </c>
      <c r="M71" s="4">
        <f t="shared" si="6"/>
        <v>968487.107618787</v>
      </c>
      <c r="N71" s="4">
        <f t="shared" si="7"/>
        <v>1583473.94203586</v>
      </c>
      <c r="O71" s="4">
        <f>INDEX(_统一战力!$D$2:$D$280,MATCH(F71,_统一战力!$C$2:$C$280,0))</f>
        <v>877675</v>
      </c>
      <c r="P71" s="4" t="str">
        <f>IF(AND(INDEX(_玩家曲线!$H$2:$H$280,F71)&gt;=M71,INDEX(_玩家曲线!$I$2:$I$280,F71)&gt;=N71),"通过","超出玩家曲线")</f>
        <v>通过</v>
      </c>
      <c r="Q71" s="4">
        <v>260</v>
      </c>
      <c r="R71" s="4">
        <v>184</v>
      </c>
    </row>
    <row r="72" ht="25" customHeight="1" spans="1:18">
      <c r="A72" s="4">
        <v>68</v>
      </c>
      <c r="B72" s="4">
        <f>爬塔!J72</f>
        <v>234</v>
      </c>
      <c r="C72" s="4">
        <v>1110000</v>
      </c>
      <c r="D72" s="5">
        <f>IF(P72="通过",ROUND(O72,-MAX(0,INT(LOG10(O72))-推荐战力参数!$B$5+1)),0)</f>
        <v>893000</v>
      </c>
      <c r="E72" s="6">
        <f t="shared" si="4"/>
        <v>-0.195495495495495</v>
      </c>
      <c r="F72" s="4">
        <f t="shared" si="5"/>
        <v>156</v>
      </c>
      <c r="G72" s="4">
        <f>MIN(ROWS(_玩家曲线!$H$2:$H$280),COUNTIF(_玩家曲线!$H$2:$H$280,"&lt;"&amp;M72)+1)</f>
        <v>150</v>
      </c>
      <c r="H72" s="4">
        <f>MIN(ROWS(_玩家曲线!$I$2:$I$280),COUNTIF(_玩家曲线!$I$2:$I$280,"&lt;"&amp;N72)+1)</f>
        <v>156</v>
      </c>
      <c r="I72" s="7">
        <v>15.0829161197936</v>
      </c>
      <c r="J72" s="7">
        <v>13.7522274024843</v>
      </c>
      <c r="K72" s="4">
        <f>爬塔!W72</f>
        <v>14986664.2685833</v>
      </c>
      <c r="L72" s="4">
        <f>爬塔!T72*IF(爬塔!O72="",1,爬塔!O72)</f>
        <v>117384</v>
      </c>
      <c r="M72" s="4">
        <f t="shared" si="6"/>
        <v>993618.485281904</v>
      </c>
      <c r="N72" s="4">
        <f t="shared" si="7"/>
        <v>1614291.46141322</v>
      </c>
      <c r="O72" s="4">
        <f>INDEX(_统一战力!$D$2:$D$280,MATCH(F72,_统一战力!$C$2:$C$280,0))</f>
        <v>893110</v>
      </c>
      <c r="P72" s="4" t="str">
        <f>IF(AND(INDEX(_玩家曲线!$H$2:$H$280,F72)&gt;=M72,INDEX(_玩家曲线!$I$2:$I$280,F72)&gt;=N72),"通过","超出玩家曲线")</f>
        <v>通过</v>
      </c>
      <c r="Q72" s="4">
        <v>262</v>
      </c>
      <c r="R72" s="4">
        <v>187</v>
      </c>
    </row>
    <row r="73" ht="25" customHeight="1" spans="1:18">
      <c r="A73" s="4">
        <v>69</v>
      </c>
      <c r="B73" s="4">
        <f>爬塔!J73</f>
        <v>236</v>
      </c>
      <c r="C73" s="4">
        <v>1120000</v>
      </c>
      <c r="D73" s="5">
        <f>IF(P73="通过",ROUND(O73,-MAX(0,INT(LOG10(O73))-推荐战力参数!$B$5+1)),0)</f>
        <v>901000</v>
      </c>
      <c r="E73" s="6">
        <f t="shared" si="4"/>
        <v>-0.195535714285714</v>
      </c>
      <c r="F73" s="4">
        <f t="shared" si="5"/>
        <v>157</v>
      </c>
      <c r="G73" s="4">
        <f>MIN(ROWS(_玩家曲线!$H$2:$H$280),COUNTIF(_玩家曲线!$H$2:$H$280,"&lt;"&amp;M73)+1)</f>
        <v>151</v>
      </c>
      <c r="H73" s="4">
        <f>MIN(ROWS(_玩家曲线!$I$2:$I$280),COUNTIF(_玩家曲线!$I$2:$I$280,"&lt;"&amp;N73)+1)</f>
        <v>157</v>
      </c>
      <c r="I73" s="7">
        <v>15.233004805333</v>
      </c>
      <c r="J73" s="7">
        <v>13.6909373565362</v>
      </c>
      <c r="K73" s="4">
        <f>爬塔!W73</f>
        <v>15339297.3666667</v>
      </c>
      <c r="L73" s="4">
        <f>爬塔!T73*IF(爬塔!O73="",1,爬塔!O73)</f>
        <v>119237</v>
      </c>
      <c r="M73" s="4">
        <f t="shared" si="6"/>
        <v>1006977.78033238</v>
      </c>
      <c r="N73" s="4">
        <f t="shared" si="7"/>
        <v>1632466.29758131</v>
      </c>
      <c r="O73" s="4">
        <f>INDEX(_统一战力!$D$2:$D$280,MATCH(F73,_统一战力!$C$2:$C$280,0))</f>
        <v>900885</v>
      </c>
      <c r="P73" s="4" t="str">
        <f>IF(AND(INDEX(_玩家曲线!$H$2:$H$280,F73)&gt;=M73,INDEX(_玩家曲线!$I$2:$I$280,F73)&gt;=N73),"通过","超出玩家曲线")</f>
        <v>通过</v>
      </c>
      <c r="Q73" s="4">
        <v>265</v>
      </c>
      <c r="R73" s="4">
        <v>190</v>
      </c>
    </row>
    <row r="74" ht="25" customHeight="1" spans="1:18">
      <c r="A74" s="4">
        <v>70</v>
      </c>
      <c r="B74" s="4">
        <f>爬塔!J74</f>
        <v>238</v>
      </c>
      <c r="C74" s="4">
        <v>1140000</v>
      </c>
      <c r="D74" s="5">
        <f>IF(P74="通过",ROUND(O74,-MAX(0,INT(LOG10(O74))-推荐战力参数!$B$5+1)),0)</f>
        <v>917000</v>
      </c>
      <c r="E74" s="6">
        <f t="shared" si="4"/>
        <v>-0.195614035087719</v>
      </c>
      <c r="F74" s="4">
        <f t="shared" si="5"/>
        <v>159</v>
      </c>
      <c r="G74" s="4">
        <f>MIN(ROWS(_玩家曲线!$H$2:$H$280),COUNTIF(_玩家曲线!$H$2:$H$280,"&lt;"&amp;M74)+1)</f>
        <v>152</v>
      </c>
      <c r="H74" s="4">
        <f>MIN(ROWS(_玩家曲线!$I$2:$I$280),COUNTIF(_玩家曲线!$I$2:$I$280,"&lt;"&amp;N74)+1)</f>
        <v>159</v>
      </c>
      <c r="I74" s="7">
        <v>15.4510331917501</v>
      </c>
      <c r="J74" s="7">
        <v>13.5876694740466</v>
      </c>
      <c r="K74" s="4">
        <f>爬塔!W74</f>
        <v>15818789.5321667</v>
      </c>
      <c r="L74" s="4">
        <f>爬塔!T74*IF(爬塔!O74="",1,爬塔!O74)</f>
        <v>121564</v>
      </c>
      <c r="M74" s="4">
        <f t="shared" si="6"/>
        <v>1023801.40770217</v>
      </c>
      <c r="N74" s="4">
        <f t="shared" si="7"/>
        <v>1651771.451943</v>
      </c>
      <c r="O74" s="4">
        <f>INDEX(_统一战力!$D$2:$D$280,MATCH(F74,_统一战力!$C$2:$C$280,0))</f>
        <v>916550</v>
      </c>
      <c r="P74" s="4" t="str">
        <f>IF(AND(INDEX(_玩家曲线!$H$2:$H$280,F74)&gt;=M74,INDEX(_玩家曲线!$I$2:$I$280,F74)&gt;=N74),"通过","超出玩家曲线")</f>
        <v>通过</v>
      </c>
      <c r="Q74" s="4">
        <v>267</v>
      </c>
      <c r="R74" s="4">
        <v>192</v>
      </c>
    </row>
    <row r="75" ht="25" customHeight="1" spans="1:18">
      <c r="A75" s="4">
        <v>71</v>
      </c>
      <c r="B75" s="4">
        <f>爬塔!J75</f>
        <v>240</v>
      </c>
      <c r="C75" s="4">
        <v>1150000</v>
      </c>
      <c r="D75" s="5">
        <f>IF(P75="通过",ROUND(O75,-MAX(0,INT(LOG10(O75))-推荐战力参数!$B$5+1)),0)</f>
        <v>937000</v>
      </c>
      <c r="E75" s="6">
        <f t="shared" si="4"/>
        <v>-0.185217391304348</v>
      </c>
      <c r="F75" s="4">
        <f t="shared" si="5"/>
        <v>162</v>
      </c>
      <c r="G75" s="4">
        <f>MIN(ROWS(_玩家曲线!$H$2:$H$280),COUNTIF(_玩家曲线!$H$2:$H$280,"&lt;"&amp;M75)+1)</f>
        <v>155</v>
      </c>
      <c r="H75" s="4">
        <f>MIN(ROWS(_玩家曲线!$I$2:$I$280),COUNTIF(_玩家曲线!$I$2:$I$280,"&lt;"&amp;N75)+1)</f>
        <v>162</v>
      </c>
      <c r="I75" s="7">
        <v>14.3213689249027</v>
      </c>
      <c r="J75" s="7">
        <v>13.2026810532266</v>
      </c>
      <c r="K75" s="4">
        <f>爬塔!W75</f>
        <v>15231170.284625</v>
      </c>
      <c r="L75" s="4">
        <f>爬塔!T75*IF(爬塔!O75="",1,爬塔!O75)</f>
        <v>128207</v>
      </c>
      <c r="M75" s="4">
        <f t="shared" si="6"/>
        <v>1063527.54157044</v>
      </c>
      <c r="N75" s="4">
        <f t="shared" si="7"/>
        <v>1692676.12979102</v>
      </c>
      <c r="O75" s="4">
        <f>INDEX(_统一战力!$D$2:$D$280,MATCH(F75,_统一战力!$C$2:$C$280,0))</f>
        <v>937415</v>
      </c>
      <c r="P75" s="4" t="str">
        <f>IF(AND(INDEX(_玩家曲线!$H$2:$H$280,F75)&gt;=M75,INDEX(_玩家曲线!$I$2:$I$280,F75)&gt;=N75),"通过","超出玩家曲线")</f>
        <v>通过</v>
      </c>
      <c r="Q75" s="4">
        <v>268</v>
      </c>
      <c r="R75" s="4">
        <v>195</v>
      </c>
    </row>
    <row r="76" ht="25" customHeight="1" spans="1:18">
      <c r="A76" s="4">
        <v>72</v>
      </c>
      <c r="B76" s="4">
        <f>爬塔!J76</f>
        <v>241</v>
      </c>
      <c r="C76" s="4">
        <v>1170000</v>
      </c>
      <c r="D76" s="5">
        <f>IF(P76="通过",ROUND(O76,-MAX(0,INT(LOG10(O76))-推荐战力参数!$B$5+1)),0)</f>
        <v>944000</v>
      </c>
      <c r="E76" s="6">
        <f t="shared" si="4"/>
        <v>-0.193162393162393</v>
      </c>
      <c r="F76" s="4">
        <f t="shared" si="5"/>
        <v>163</v>
      </c>
      <c r="G76" s="4">
        <f>MIN(ROWS(_玩家曲线!$H$2:$H$280),COUNTIF(_玩家曲线!$H$2:$H$280,"&lt;"&amp;M76)+1)</f>
        <v>156</v>
      </c>
      <c r="H76" s="4">
        <f>MIN(ROWS(_玩家曲线!$I$2:$I$280),COUNTIF(_玩家曲线!$I$2:$I$280,"&lt;"&amp;N76)+1)</f>
        <v>163</v>
      </c>
      <c r="I76" s="7">
        <v>14.3310846091238</v>
      </c>
      <c r="J76" s="7">
        <v>13.2127003101291</v>
      </c>
      <c r="K76" s="4">
        <f>爬塔!W76</f>
        <v>15395853.7245</v>
      </c>
      <c r="L76" s="4">
        <f>爬塔!T76*IF(爬塔!O76="",1,爬塔!O76)</f>
        <v>129261</v>
      </c>
      <c r="M76" s="4">
        <f t="shared" si="6"/>
        <v>1074297.873777</v>
      </c>
      <c r="N76" s="4">
        <f t="shared" si="7"/>
        <v>1707886.8547876</v>
      </c>
      <c r="O76" s="4">
        <f>INDEX(_统一战力!$D$2:$D$280,MATCH(F76,_统一战力!$C$2:$C$280,0))</f>
        <v>944255</v>
      </c>
      <c r="P76" s="4" t="str">
        <f>IF(AND(INDEX(_玩家曲线!$H$2:$H$280,F76)&gt;=M76,INDEX(_玩家曲线!$I$2:$I$280,F76)&gt;=N76),"通过","超出玩家曲线")</f>
        <v>通过</v>
      </c>
      <c r="Q76" s="4">
        <v>270</v>
      </c>
      <c r="R76" s="4">
        <v>198</v>
      </c>
    </row>
    <row r="77" ht="25" customHeight="1" spans="1:18">
      <c r="A77" s="4">
        <v>73</v>
      </c>
      <c r="B77" s="4">
        <f>爬塔!J77</f>
        <v>243</v>
      </c>
      <c r="C77" s="4">
        <v>1190000</v>
      </c>
      <c r="D77" s="5">
        <f>IF(P77="通过",ROUND(O77,-MAX(0,INT(LOG10(O77))-推荐战力参数!$B$5+1)),0)</f>
        <v>958000</v>
      </c>
      <c r="E77" s="6">
        <f t="shared" si="4"/>
        <v>-0.194957983193277</v>
      </c>
      <c r="F77" s="4">
        <f t="shared" si="5"/>
        <v>165</v>
      </c>
      <c r="G77" s="4">
        <f>MIN(ROWS(_玩家曲线!$H$2:$H$280),COUNTIF(_玩家曲线!$H$2:$H$280,"&lt;"&amp;M77)+1)</f>
        <v>158</v>
      </c>
      <c r="H77" s="4">
        <f>MIN(ROWS(_玩家曲线!$I$2:$I$280),COUNTIF(_玩家曲线!$I$2:$I$280,"&lt;"&amp;N77)+1)</f>
        <v>165</v>
      </c>
      <c r="I77" s="7">
        <v>14.5046153499977</v>
      </c>
      <c r="J77" s="7">
        <v>13.1324990426095</v>
      </c>
      <c r="K77" s="4">
        <f>爬塔!W77</f>
        <v>15955787.55725</v>
      </c>
      <c r="L77" s="4">
        <f>爬塔!T77*IF(爬塔!O77="",1,爬塔!O77)</f>
        <v>132257</v>
      </c>
      <c r="M77" s="4">
        <f t="shared" si="6"/>
        <v>1100048.99628397</v>
      </c>
      <c r="N77" s="4">
        <f t="shared" si="7"/>
        <v>1736864.9258784</v>
      </c>
      <c r="O77" s="4">
        <f>INDEX(_统一战力!$D$2:$D$280,MATCH(F77,_统一战力!$C$2:$C$280,0))</f>
        <v>958025</v>
      </c>
      <c r="P77" s="4" t="str">
        <f>IF(AND(INDEX(_玩家曲线!$H$2:$H$280,F77)&gt;=M77,INDEX(_玩家曲线!$I$2:$I$280,F77)&gt;=N77),"通过","超出玩家曲线")</f>
        <v>通过</v>
      </c>
      <c r="Q77" s="4">
        <v>272</v>
      </c>
      <c r="R77" s="4">
        <v>201</v>
      </c>
    </row>
    <row r="78" ht="25" customHeight="1" spans="1:18">
      <c r="A78" s="4">
        <v>74</v>
      </c>
      <c r="B78" s="4">
        <f>爬塔!J78</f>
        <v>245</v>
      </c>
      <c r="C78" s="4">
        <v>1210000</v>
      </c>
      <c r="D78" s="5">
        <f>IF(P78="通过",ROUND(O78,-MAX(0,INT(LOG10(O78))-推荐战力参数!$B$5+1)),0)</f>
        <v>979000</v>
      </c>
      <c r="E78" s="6">
        <f t="shared" si="4"/>
        <v>-0.190909090909091</v>
      </c>
      <c r="F78" s="4">
        <f t="shared" si="5"/>
        <v>168</v>
      </c>
      <c r="G78" s="4">
        <f>MIN(ROWS(_玩家曲线!$H$2:$H$280),COUNTIF(_玩家曲线!$H$2:$H$280,"&lt;"&amp;M78)+1)</f>
        <v>160</v>
      </c>
      <c r="H78" s="4">
        <f>MIN(ROWS(_玩家曲线!$I$2:$I$280),COUNTIF(_玩家曲线!$I$2:$I$280,"&lt;"&amp;N78)+1)</f>
        <v>168</v>
      </c>
      <c r="I78" s="7">
        <v>14.5305464027428</v>
      </c>
      <c r="J78" s="7">
        <v>13.1313893309074</v>
      </c>
      <c r="K78" s="4">
        <f>爬塔!W78</f>
        <v>16365731.5205417</v>
      </c>
      <c r="L78" s="4">
        <f>爬塔!T78*IF(爬塔!O78="",1,爬塔!O78)</f>
        <v>134494</v>
      </c>
      <c r="M78" s="4">
        <f t="shared" si="6"/>
        <v>1126298.42450057</v>
      </c>
      <c r="N78" s="4">
        <f t="shared" si="7"/>
        <v>1766093.07667106</v>
      </c>
      <c r="O78" s="4">
        <f>INDEX(_统一战力!$D$2:$D$280,MATCH(F78,_统一战力!$C$2:$C$280,0))</f>
        <v>978895</v>
      </c>
      <c r="P78" s="4" t="str">
        <f>IF(AND(INDEX(_玩家曲线!$H$2:$H$280,F78)&gt;=M78,INDEX(_玩家曲线!$I$2:$I$280,F78)&gt;=N78),"通过","超出玩家曲线")</f>
        <v>通过</v>
      </c>
      <c r="Q78" s="4">
        <v>274</v>
      </c>
      <c r="R78" s="4">
        <v>204</v>
      </c>
    </row>
    <row r="79" ht="25" customHeight="1" spans="1:18">
      <c r="A79" s="4">
        <v>75</v>
      </c>
      <c r="B79" s="4">
        <f>爬塔!J79</f>
        <v>247</v>
      </c>
      <c r="C79" s="4">
        <v>1220000</v>
      </c>
      <c r="D79" s="5">
        <f>IF(P79="通过",ROUND(O79,-MAX(0,INT(LOG10(O79))-推荐战力参数!$B$5+1)),0)</f>
        <v>986000</v>
      </c>
      <c r="E79" s="6">
        <f t="shared" si="4"/>
        <v>-0.191803278688525</v>
      </c>
      <c r="F79" s="4">
        <f t="shared" si="5"/>
        <v>169</v>
      </c>
      <c r="G79" s="4">
        <f>MIN(ROWS(_玩家曲线!$H$2:$H$280),COUNTIF(_玩家曲线!$H$2:$H$280,"&lt;"&amp;M79)+1)</f>
        <v>162</v>
      </c>
      <c r="H79" s="4">
        <f>MIN(ROWS(_玩家曲线!$I$2:$I$280),COUNTIF(_玩家曲线!$I$2:$I$280,"&lt;"&amp;N79)+1)</f>
        <v>169</v>
      </c>
      <c r="I79" s="7">
        <v>15.5904731913892</v>
      </c>
      <c r="J79" s="7">
        <v>13.5854316974936</v>
      </c>
      <c r="K79" s="4">
        <f>爬塔!W79</f>
        <v>17804297.5519167</v>
      </c>
      <c r="L79" s="4">
        <f>爬塔!T79*IF(爬塔!O79="",1,爬塔!O79)</f>
        <v>131387</v>
      </c>
      <c r="M79" s="4">
        <f t="shared" si="6"/>
        <v>1141998.53547423</v>
      </c>
      <c r="N79" s="4">
        <f t="shared" si="7"/>
        <v>1784949.11443859</v>
      </c>
      <c r="O79" s="4">
        <f>INDEX(_统一战力!$D$2:$D$280,MATCH(F79,_统一战力!$C$2:$C$280,0))</f>
        <v>985910</v>
      </c>
      <c r="P79" s="4" t="str">
        <f>IF(AND(INDEX(_玩家曲线!$H$2:$H$280,F79)&gt;=M79,INDEX(_玩家曲线!$I$2:$I$280,F79)&gt;=N79),"通过","超出玩家曲线")</f>
        <v>通过</v>
      </c>
      <c r="Q79" s="4">
        <v>276</v>
      </c>
      <c r="R79" s="4">
        <v>206</v>
      </c>
    </row>
    <row r="80" ht="25" customHeight="1" spans="1:18">
      <c r="A80" s="4">
        <v>76</v>
      </c>
      <c r="B80" s="4">
        <f>爬塔!J80</f>
        <v>248</v>
      </c>
      <c r="C80" s="4">
        <v>1240000</v>
      </c>
      <c r="D80" s="5">
        <f>IF(P80="通过",ROUND(O80,-MAX(0,INT(LOG10(O80))-推荐战力参数!$B$5+1)),0)</f>
        <v>1000000</v>
      </c>
      <c r="E80" s="6">
        <f t="shared" si="4"/>
        <v>-0.193548387096774</v>
      </c>
      <c r="F80" s="4">
        <f t="shared" si="5"/>
        <v>171</v>
      </c>
      <c r="G80" s="4">
        <f>MIN(ROWS(_玩家曲线!$H$2:$H$280),COUNTIF(_玩家曲线!$H$2:$H$280,"&lt;"&amp;M80)+1)</f>
        <v>164</v>
      </c>
      <c r="H80" s="4">
        <f>MIN(ROWS(_玩家曲线!$I$2:$I$280),COUNTIF(_玩家曲线!$I$2:$I$280,"&lt;"&amp;N80)+1)</f>
        <v>171</v>
      </c>
      <c r="I80" s="7">
        <v>14.6425715066217</v>
      </c>
      <c r="J80" s="7">
        <v>13.0912975729498</v>
      </c>
      <c r="K80" s="4">
        <f>爬塔!W80</f>
        <v>17089890.1750417</v>
      </c>
      <c r="L80" s="4">
        <f>爬塔!T80*IF(爬塔!O80="",1,爬塔!O80)</f>
        <v>138358</v>
      </c>
      <c r="M80" s="4">
        <f t="shared" si="6"/>
        <v>1167137.21816644</v>
      </c>
      <c r="N80" s="4">
        <f t="shared" si="7"/>
        <v>1811285.74959819</v>
      </c>
      <c r="O80" s="4">
        <f>INDEX(_统一战力!$D$2:$D$280,MATCH(F80,_统一战力!$C$2:$C$280,0))</f>
        <v>1000030</v>
      </c>
      <c r="P80" s="4" t="str">
        <f>IF(AND(INDEX(_玩家曲线!$H$2:$H$280,F80)&gt;=M80,INDEX(_玩家曲线!$I$2:$I$280,F80)&gt;=N80),"通过","超出玩家曲线")</f>
        <v>通过</v>
      </c>
      <c r="Q80" s="4">
        <v>277</v>
      </c>
      <c r="R80" s="4">
        <v>209</v>
      </c>
    </row>
    <row r="81" ht="25" customHeight="1" spans="1:18">
      <c r="A81" s="4">
        <v>77</v>
      </c>
      <c r="B81" s="4">
        <f>爬塔!J81</f>
        <v>250</v>
      </c>
      <c r="C81" s="4">
        <v>1250000</v>
      </c>
      <c r="D81" s="5">
        <f>IF(P81="通过",ROUND(O81,-MAX(0,INT(LOG10(O81))-推荐战力参数!$B$5+1)),0)</f>
        <v>1010000</v>
      </c>
      <c r="E81" s="6">
        <f t="shared" si="4"/>
        <v>-0.192</v>
      </c>
      <c r="F81" s="4">
        <f t="shared" si="5"/>
        <v>172</v>
      </c>
      <c r="G81" s="4">
        <f>MIN(ROWS(_玩家曲线!$H$2:$H$280),COUNTIF(_玩家曲线!$H$2:$H$280,"&lt;"&amp;M81)+1)</f>
        <v>165</v>
      </c>
      <c r="H81" s="4">
        <f>MIN(ROWS(_玩家曲线!$I$2:$I$280),COUNTIF(_玩家曲线!$I$2:$I$280,"&lt;"&amp;N81)+1)</f>
        <v>172</v>
      </c>
      <c r="I81" s="7">
        <v>14.8451472093238</v>
      </c>
      <c r="J81" s="7">
        <v>12.9949605793647</v>
      </c>
      <c r="K81" s="4">
        <f>爬塔!W81</f>
        <v>17478235.8285417</v>
      </c>
      <c r="L81" s="4">
        <f>爬塔!T81*IF(爬塔!O81="",1,爬塔!O81)</f>
        <v>140463</v>
      </c>
      <c r="M81" s="4">
        <f t="shared" si="6"/>
        <v>1177370.32729215</v>
      </c>
      <c r="N81" s="4">
        <f t="shared" si="7"/>
        <v>1825311.1478593</v>
      </c>
      <c r="O81" s="4">
        <f>INDEX(_统一战力!$D$2:$D$280,MATCH(F81,_统一战力!$C$2:$C$280,0))</f>
        <v>1007135</v>
      </c>
      <c r="P81" s="4" t="str">
        <f>IF(AND(INDEX(_玩家曲线!$H$2:$H$280,F81)&gt;=M81,INDEX(_玩家曲线!$I$2:$I$280,F81)&gt;=N81),"通过","超出玩家曲线")</f>
        <v>通过</v>
      </c>
      <c r="Q81" s="4">
        <v>280</v>
      </c>
      <c r="R81" s="4">
        <v>212</v>
      </c>
    </row>
    <row r="82" ht="25" customHeight="1" spans="1:18">
      <c r="A82" s="4">
        <v>78</v>
      </c>
      <c r="B82" s="4">
        <f>爬塔!J82</f>
        <v>252</v>
      </c>
      <c r="C82" s="4">
        <v>1270000</v>
      </c>
      <c r="D82" s="5">
        <f>IF(P82="通过",ROUND(O82,-MAX(0,INT(LOG10(O82))-推荐战力参数!$B$5+1)),0)</f>
        <v>1020000</v>
      </c>
      <c r="E82" s="6">
        <f t="shared" si="4"/>
        <v>-0.196850393700787</v>
      </c>
      <c r="F82" s="4">
        <f t="shared" si="5"/>
        <v>174</v>
      </c>
      <c r="G82" s="4">
        <f>MIN(ROWS(_玩家曲线!$H$2:$H$280),COUNTIF(_玩家曲线!$H$2:$H$280,"&lt;"&amp;M82)+1)</f>
        <v>167</v>
      </c>
      <c r="H82" s="4">
        <f>MIN(ROWS(_玩家曲线!$I$2:$I$280),COUNTIF(_玩家曲线!$I$2:$I$280,"&lt;"&amp;N82)+1)</f>
        <v>174</v>
      </c>
      <c r="I82" s="7">
        <v>14.8967249422039</v>
      </c>
      <c r="J82" s="7">
        <v>12.9778445528964</v>
      </c>
      <c r="K82" s="4">
        <f>爬塔!W82</f>
        <v>17915212.631375</v>
      </c>
      <c r="L82" s="4">
        <f>爬塔!T82*IF(爬塔!O82="",1,爬塔!O82)</f>
        <v>142772</v>
      </c>
      <c r="M82" s="4">
        <f t="shared" si="6"/>
        <v>1202627.60444878</v>
      </c>
      <c r="N82" s="4">
        <f t="shared" si="7"/>
        <v>1852872.82250612</v>
      </c>
      <c r="O82" s="4">
        <f>INDEX(_统一战力!$D$2:$D$280,MATCH(F82,_统一战力!$C$2:$C$280,0))</f>
        <v>1021435</v>
      </c>
      <c r="P82" s="4" t="str">
        <f>IF(AND(INDEX(_玩家曲线!$H$2:$H$280,F82)&gt;=M82,INDEX(_玩家曲线!$I$2:$I$280,F82)&gt;=N82),"通过","超出玩家曲线")</f>
        <v>通过</v>
      </c>
      <c r="Q82" s="4">
        <v>282</v>
      </c>
      <c r="R82" s="4">
        <v>215</v>
      </c>
    </row>
    <row r="83" ht="25" customHeight="1" spans="1:18">
      <c r="A83" s="4">
        <v>79</v>
      </c>
      <c r="B83" s="4">
        <f>爬塔!J83</f>
        <v>253</v>
      </c>
      <c r="C83" s="4">
        <v>1290000</v>
      </c>
      <c r="D83" s="5">
        <f>IF(P83="通过",ROUND(O83,-MAX(0,INT(LOG10(O83))-推荐战力参数!$B$5+1)),0)</f>
        <v>1030000</v>
      </c>
      <c r="E83" s="6">
        <f t="shared" si="4"/>
        <v>-0.201550387596899</v>
      </c>
      <c r="F83" s="4">
        <f t="shared" si="5"/>
        <v>176</v>
      </c>
      <c r="G83" s="4">
        <f>MIN(ROWS(_玩家曲线!$H$2:$H$280),COUNTIF(_玩家曲线!$H$2:$H$280,"&lt;"&amp;M83)+1)</f>
        <v>168</v>
      </c>
      <c r="H83" s="4">
        <f>MIN(ROWS(_玩家曲线!$I$2:$I$280),COUNTIF(_玩家曲线!$I$2:$I$280,"&lt;"&amp;N83)+1)</f>
        <v>176</v>
      </c>
      <c r="I83" s="7">
        <v>14.9547672197014</v>
      </c>
      <c r="J83" s="7">
        <v>12.9572114941852</v>
      </c>
      <c r="K83" s="4">
        <f>爬塔!W83</f>
        <v>18126825.772375</v>
      </c>
      <c r="L83" s="4">
        <f>爬塔!T83*IF(爬塔!O83="",1,爬塔!O83)</f>
        <v>144032</v>
      </c>
      <c r="M83" s="4">
        <f t="shared" si="6"/>
        <v>1212110.19242712</v>
      </c>
      <c r="N83" s="4">
        <f t="shared" si="7"/>
        <v>1866253.08593048</v>
      </c>
      <c r="O83" s="4">
        <f>INDEX(_统一战力!$D$2:$D$280,MATCH(F83,_统一战力!$C$2:$C$280,0))</f>
        <v>1034410</v>
      </c>
      <c r="P83" s="4" t="str">
        <f>IF(AND(INDEX(_玩家曲线!$H$2:$H$280,F83)&gt;=M83,INDEX(_玩家曲线!$I$2:$I$280,F83)&gt;=N83),"通过","超出玩家曲线")</f>
        <v>通过</v>
      </c>
      <c r="Q83" s="4">
        <v>284</v>
      </c>
      <c r="R83" s="4">
        <v>218</v>
      </c>
    </row>
    <row r="84" ht="25" customHeight="1" spans="1:18">
      <c r="A84" s="4">
        <v>80</v>
      </c>
      <c r="B84" s="4">
        <f>爬塔!J84</f>
        <v>255</v>
      </c>
      <c r="C84" s="4">
        <v>1300000</v>
      </c>
      <c r="D84" s="5">
        <f>IF(P84="通过",ROUND(O84,-MAX(0,INT(LOG10(O84))-推荐战力参数!$B$5+1)),0)</f>
        <v>1040000</v>
      </c>
      <c r="E84" s="6">
        <f t="shared" si="4"/>
        <v>-0.2</v>
      </c>
      <c r="F84" s="4">
        <f t="shared" si="5"/>
        <v>177</v>
      </c>
      <c r="G84" s="4">
        <f>MIN(ROWS(_玩家曲线!$H$2:$H$280),COUNTIF(_玩家曲线!$H$2:$H$280,"&lt;"&amp;M84)+1)</f>
        <v>168</v>
      </c>
      <c r="H84" s="4">
        <f>MIN(ROWS(_玩家曲线!$I$2:$I$280),COUNTIF(_玩家曲线!$I$2:$I$280,"&lt;"&amp;N84)+1)</f>
        <v>177</v>
      </c>
      <c r="I84" s="7">
        <v>17.2365252196842</v>
      </c>
      <c r="J84" s="7">
        <v>13.8391110533209</v>
      </c>
      <c r="K84" s="4">
        <f>爬塔!W84</f>
        <v>21005328.402125</v>
      </c>
      <c r="L84" s="4">
        <f>爬塔!T84*IF(爬塔!O84="",1,爬塔!O84)</f>
        <v>135808</v>
      </c>
      <c r="M84" s="4">
        <f t="shared" si="6"/>
        <v>1218652.14330652</v>
      </c>
      <c r="N84" s="4">
        <f t="shared" si="7"/>
        <v>1879461.9939294</v>
      </c>
      <c r="O84" s="4">
        <f>INDEX(_统一战力!$D$2:$D$280,MATCH(F84,_统一战力!$C$2:$C$280,0))</f>
        <v>1040720</v>
      </c>
      <c r="P84" s="4" t="str">
        <f>IF(AND(INDEX(_玩家曲线!$H$2:$H$280,F84)&gt;=M84,INDEX(_玩家曲线!$I$2:$I$280,F84)&gt;=N84),"通过","超出玩家曲线")</f>
        <v>通过</v>
      </c>
      <c r="Q84" s="4">
        <v>287</v>
      </c>
      <c r="R84" s="4">
        <v>221</v>
      </c>
    </row>
    <row r="85" ht="25" customHeight="1" spans="1:18">
      <c r="A85" s="4">
        <v>81</v>
      </c>
      <c r="B85" s="4">
        <f>爬塔!J85</f>
        <v>256</v>
      </c>
      <c r="C85" s="4">
        <v>1320000</v>
      </c>
      <c r="D85" s="5">
        <f>IF(P85="通过",ROUND(O85,-MAX(0,INT(LOG10(O85))-推荐战力参数!$B$5+1)),0)</f>
        <v>1050000</v>
      </c>
      <c r="E85" s="6">
        <f t="shared" si="4"/>
        <v>-0.204545454545455</v>
      </c>
      <c r="F85" s="4">
        <f t="shared" si="5"/>
        <v>178</v>
      </c>
      <c r="G85" s="4">
        <f>MIN(ROWS(_玩家曲线!$H$2:$H$280),COUNTIF(_玩家曲线!$H$2:$H$280,"&lt;"&amp;M85)+1)</f>
        <v>169</v>
      </c>
      <c r="H85" s="4">
        <f>MIN(ROWS(_玩家曲线!$I$2:$I$280),COUNTIF(_玩家曲线!$I$2:$I$280,"&lt;"&amp;N85)+1)</f>
        <v>178</v>
      </c>
      <c r="I85" s="7">
        <v>15.2482501367799</v>
      </c>
      <c r="J85" s="7">
        <v>12.8232676663136</v>
      </c>
      <c r="K85" s="4">
        <f>爬塔!W85</f>
        <v>18748604.8387917</v>
      </c>
      <c r="L85" s="4">
        <f>爬塔!T85*IF(爬塔!O85="",1,爬塔!O85)</f>
        <v>147458</v>
      </c>
      <c r="M85" s="4">
        <f t="shared" si="6"/>
        <v>1229557.79650864</v>
      </c>
      <c r="N85" s="4">
        <f t="shared" si="7"/>
        <v>1890893.40353927</v>
      </c>
      <c r="O85" s="4">
        <f>INDEX(_统一战力!$D$2:$D$280,MATCH(F85,_统一战力!$C$2:$C$280,0))</f>
        <v>1047055</v>
      </c>
      <c r="P85" s="4" t="str">
        <f>IF(AND(INDEX(_玩家曲线!$H$2:$H$280,F85)&gt;=M85,INDEX(_玩家曲线!$I$2:$I$280,F85)&gt;=N85),"通过","超出玩家曲线")</f>
        <v>通过</v>
      </c>
      <c r="Q85" s="4">
        <v>289</v>
      </c>
      <c r="R85" s="4">
        <v>224</v>
      </c>
    </row>
    <row r="86" ht="25" customHeight="1" spans="1:18">
      <c r="A86" s="4">
        <v>82</v>
      </c>
      <c r="B86" s="4">
        <f>爬塔!J86</f>
        <v>258</v>
      </c>
      <c r="C86" s="4">
        <v>1330000</v>
      </c>
      <c r="D86" s="5">
        <f>IF(P86="通过",ROUND(O86,-MAX(0,INT(LOG10(O86))-推荐战力参数!$B$5+1)),0)</f>
        <v>1060000</v>
      </c>
      <c r="E86" s="6">
        <f t="shared" si="4"/>
        <v>-0.203007518796993</v>
      </c>
      <c r="F86" s="4">
        <f t="shared" si="5"/>
        <v>180</v>
      </c>
      <c r="G86" s="4">
        <f>MIN(ROWS(_玩家曲线!$H$2:$H$280),COUNTIF(_玩家曲线!$H$2:$H$280,"&lt;"&amp;M86)+1)</f>
        <v>172</v>
      </c>
      <c r="H86" s="4">
        <f>MIN(ROWS(_玩家曲线!$I$2:$I$280),COUNTIF(_玩家曲线!$I$2:$I$280,"&lt;"&amp;N86)+1)</f>
        <v>180</v>
      </c>
      <c r="I86" s="7">
        <v>15.3518524874814</v>
      </c>
      <c r="J86" s="7">
        <v>12.7759721022389</v>
      </c>
      <c r="K86" s="4">
        <f>爬塔!W86</f>
        <v>19370840.49375</v>
      </c>
      <c r="L86" s="4">
        <f>爬塔!T86*IF(爬塔!O86="",1,爬塔!O86)</f>
        <v>150490</v>
      </c>
      <c r="M86" s="4">
        <f t="shared" si="6"/>
        <v>1261791.72901419</v>
      </c>
      <c r="N86" s="4">
        <f t="shared" si="7"/>
        <v>1922656.04166593</v>
      </c>
      <c r="O86" s="4">
        <f>INDEX(_统一战力!$D$2:$D$280,MATCH(F86,_统一战力!$C$2:$C$280,0))</f>
        <v>1059795</v>
      </c>
      <c r="P86" s="4" t="str">
        <f>IF(AND(INDEX(_玩家曲线!$H$2:$H$280,F86)&gt;=M86,INDEX(_玩家曲线!$I$2:$I$280,F86)&gt;=N86),"通过","超出玩家曲线")</f>
        <v>通过</v>
      </c>
      <c r="Q86" s="4">
        <v>290</v>
      </c>
      <c r="R86" s="4">
        <v>226</v>
      </c>
    </row>
    <row r="87" ht="25" customHeight="1" spans="1:18">
      <c r="A87" s="4">
        <v>83</v>
      </c>
      <c r="B87" s="4">
        <f>爬塔!J87</f>
        <v>259</v>
      </c>
      <c r="C87" s="4">
        <v>1350000</v>
      </c>
      <c r="D87" s="5">
        <f>IF(P87="通过",ROUND(O87,-MAX(0,INT(LOG10(O87))-推荐战力参数!$B$5+1)),0)</f>
        <v>1070000</v>
      </c>
      <c r="E87" s="6">
        <f t="shared" si="4"/>
        <v>-0.207407407407407</v>
      </c>
      <c r="F87" s="4">
        <f t="shared" si="5"/>
        <v>181</v>
      </c>
      <c r="G87" s="4">
        <f>MIN(ROWS(_玩家曲线!$H$2:$H$280),COUNTIF(_玩家曲线!$H$2:$H$280,"&lt;"&amp;M87)+1)</f>
        <v>172</v>
      </c>
      <c r="H87" s="4">
        <f>MIN(ROWS(_玩家曲线!$I$2:$I$280),COUNTIF(_玩家曲线!$I$2:$I$280,"&lt;"&amp;N87)+1)</f>
        <v>181</v>
      </c>
      <c r="I87" s="7">
        <v>15.43052452793</v>
      </c>
      <c r="J87" s="7">
        <v>12.7440228685798</v>
      </c>
      <c r="K87" s="4">
        <f>爬塔!W87</f>
        <v>19593656.0110833</v>
      </c>
      <c r="L87" s="4">
        <f>爬塔!T87*IF(爬塔!O87="",1,爬塔!O87)</f>
        <v>151765</v>
      </c>
      <c r="M87" s="4">
        <f t="shared" si="6"/>
        <v>1269798.44240666</v>
      </c>
      <c r="N87" s="4">
        <f t="shared" si="7"/>
        <v>1934096.63065001</v>
      </c>
      <c r="O87" s="4">
        <f>INDEX(_统一战力!$D$2:$D$280,MATCH(F87,_统一战力!$C$2:$C$280,0))</f>
        <v>1066195</v>
      </c>
      <c r="P87" s="4" t="str">
        <f>IF(AND(INDEX(_玩家曲线!$H$2:$H$280,F87)&gt;=M87,INDEX(_玩家曲线!$I$2:$I$280,F87)&gt;=N87),"通过","超出玩家曲线")</f>
        <v>通过</v>
      </c>
      <c r="Q87" s="4">
        <v>292</v>
      </c>
      <c r="R87" s="4">
        <v>229</v>
      </c>
    </row>
    <row r="88" ht="25" customHeight="1" spans="1:18">
      <c r="A88" s="4">
        <v>84</v>
      </c>
      <c r="B88" s="4">
        <f>爬塔!J88</f>
        <v>260</v>
      </c>
      <c r="C88" s="4">
        <v>1360000</v>
      </c>
      <c r="D88" s="5">
        <f>IF(P88="通过",ROUND(O88,-MAX(0,INT(LOG10(O88))-推荐战力参数!$B$5+1)),0)</f>
        <v>1070000</v>
      </c>
      <c r="E88" s="6">
        <f t="shared" si="4"/>
        <v>-0.213235294117647</v>
      </c>
      <c r="F88" s="4">
        <f t="shared" si="5"/>
        <v>182</v>
      </c>
      <c r="G88" s="4">
        <f>MIN(ROWS(_玩家曲线!$H$2:$H$280),COUNTIF(_玩家曲线!$H$2:$H$280,"&lt;"&amp;M88)+1)</f>
        <v>173</v>
      </c>
      <c r="H88" s="4">
        <f>MIN(ROWS(_玩家曲线!$I$2:$I$280),COUNTIF(_玩家曲线!$I$2:$I$280,"&lt;"&amp;N88)+1)</f>
        <v>182</v>
      </c>
      <c r="I88" s="7">
        <v>15.5143614325267</v>
      </c>
      <c r="J88" s="7">
        <v>12.7093321950878</v>
      </c>
      <c r="K88" s="4">
        <f>爬塔!W88</f>
        <v>19824844.2999583</v>
      </c>
      <c r="L88" s="4">
        <f>爬塔!T88*IF(爬塔!O88="",1,爬塔!O88)</f>
        <v>153096</v>
      </c>
      <c r="M88" s="4">
        <f t="shared" si="6"/>
        <v>1277838.23950333</v>
      </c>
      <c r="N88" s="4">
        <f t="shared" si="7"/>
        <v>1945747.92173916</v>
      </c>
      <c r="O88" s="4">
        <f>INDEX(_统一战力!$D$2:$D$280,MATCH(F88,_统一战力!$C$2:$C$280,0))</f>
        <v>1072620</v>
      </c>
      <c r="P88" s="4" t="str">
        <f>IF(AND(INDEX(_玩家曲线!$H$2:$H$280,F88)&gt;=M88,INDEX(_玩家曲线!$I$2:$I$280,F88)&gt;=N88),"通过","超出玩家曲线")</f>
        <v>通过</v>
      </c>
      <c r="Q88" s="4">
        <v>294</v>
      </c>
      <c r="R88" s="4">
        <v>232</v>
      </c>
    </row>
    <row r="89" ht="25" customHeight="1" spans="1:18">
      <c r="A89" s="4">
        <v>85</v>
      </c>
      <c r="B89" s="4">
        <f>爬塔!J89</f>
        <v>262</v>
      </c>
      <c r="C89" s="4">
        <v>1380000</v>
      </c>
      <c r="D89" s="5">
        <f>IF(P89="通过",ROUND(O89,-MAX(0,INT(LOG10(O89))-推荐战力参数!$B$5+1)),0)</f>
        <v>1090000</v>
      </c>
      <c r="E89" s="6">
        <f t="shared" si="4"/>
        <v>-0.210144927536232</v>
      </c>
      <c r="F89" s="4">
        <f t="shared" si="5"/>
        <v>184</v>
      </c>
      <c r="G89" s="4">
        <f>MIN(ROWS(_玩家曲线!$H$2:$H$280),COUNTIF(_玩家曲线!$H$2:$H$280,"&lt;"&amp;M89)+1)</f>
        <v>175</v>
      </c>
      <c r="H89" s="4">
        <f>MIN(ROWS(_玩家曲线!$I$2:$I$280),COUNTIF(_玩家曲线!$I$2:$I$280,"&lt;"&amp;N89)+1)</f>
        <v>184</v>
      </c>
      <c r="I89" s="7">
        <v>16.6638137975465</v>
      </c>
      <c r="J89" s="7">
        <v>13.1414280455807</v>
      </c>
      <c r="K89" s="4">
        <f>爬塔!W89</f>
        <v>21675313.005</v>
      </c>
      <c r="L89" s="4">
        <f>爬塔!T89*IF(爬塔!O89="",1,爬塔!O89)</f>
        <v>150061</v>
      </c>
      <c r="M89" s="4">
        <f t="shared" si="6"/>
        <v>1300741.43100371</v>
      </c>
      <c r="N89" s="4">
        <f t="shared" si="7"/>
        <v>1972015.83394789</v>
      </c>
      <c r="O89" s="4">
        <f>INDEX(_统一战力!$D$2:$D$280,MATCH(F89,_统一战力!$C$2:$C$280,0))</f>
        <v>1085540</v>
      </c>
      <c r="P89" s="4" t="str">
        <f>IF(AND(INDEX(_玩家曲线!$H$2:$H$280,F89)&gt;=M89,INDEX(_玩家曲线!$I$2:$I$280,F89)&gt;=N89),"通过","超出玩家曲线")</f>
        <v>通过</v>
      </c>
      <c r="Q89" s="4">
        <v>296</v>
      </c>
      <c r="R89" s="4">
        <v>235</v>
      </c>
    </row>
    <row r="90" ht="25" customHeight="1" spans="1:18">
      <c r="A90" s="4">
        <v>86</v>
      </c>
      <c r="B90" s="4">
        <f>爬塔!J90</f>
        <v>263</v>
      </c>
      <c r="C90" s="4">
        <v>1400000</v>
      </c>
      <c r="D90" s="5">
        <f>IF(P90="通过",ROUND(O90,-MAX(0,INT(LOG10(O90))-推荐战力参数!$B$5+1)),0)</f>
        <v>1090000</v>
      </c>
      <c r="E90" s="6">
        <f t="shared" si="4"/>
        <v>-0.221428571428571</v>
      </c>
      <c r="F90" s="4">
        <f t="shared" si="5"/>
        <v>185</v>
      </c>
      <c r="G90" s="4">
        <f>MIN(ROWS(_玩家曲线!$H$2:$H$280),COUNTIF(_玩家曲线!$H$2:$H$280,"&lt;"&amp;M90)+1)</f>
        <v>175</v>
      </c>
      <c r="H90" s="4">
        <f>MIN(ROWS(_玩家曲线!$I$2:$I$280),COUNTIF(_玩家曲线!$I$2:$I$280,"&lt;"&amp;N90)+1)</f>
        <v>185</v>
      </c>
      <c r="I90" s="7">
        <v>15.6962567059756</v>
      </c>
      <c r="J90" s="7">
        <v>12.6323748623979</v>
      </c>
      <c r="K90" s="4">
        <f>爬塔!W90</f>
        <v>20550962.105125</v>
      </c>
      <c r="L90" s="4">
        <f>爬塔!T90*IF(爬塔!O90="",1,爬塔!O90)</f>
        <v>156904</v>
      </c>
      <c r="M90" s="4">
        <f t="shared" si="6"/>
        <v>1309290.64745107</v>
      </c>
      <c r="N90" s="4">
        <f t="shared" si="7"/>
        <v>1982070.14540968</v>
      </c>
      <c r="O90" s="4">
        <f>INDEX(_统一战力!$D$2:$D$280,MATCH(F90,_统一战力!$C$2:$C$280,0))</f>
        <v>1092035</v>
      </c>
      <c r="P90" s="4" t="str">
        <f>IF(AND(INDEX(_玩家曲线!$H$2:$H$280,F90)&gt;=M90,INDEX(_玩家曲线!$I$2:$I$280,F90)&gt;=N90),"通过","超出玩家曲线")</f>
        <v>通过</v>
      </c>
      <c r="Q90" s="4">
        <v>298</v>
      </c>
      <c r="R90" s="4">
        <v>238</v>
      </c>
    </row>
    <row r="91" ht="25" customHeight="1" spans="1:18">
      <c r="A91" s="4">
        <v>87</v>
      </c>
      <c r="B91" s="4">
        <f>爬塔!J91</f>
        <v>264</v>
      </c>
      <c r="C91" s="4">
        <v>1410000</v>
      </c>
      <c r="D91" s="5">
        <f>IF(P91="通过",ROUND(O91,-MAX(0,INT(LOG10(O91))-推荐战力参数!$B$5+1)),0)</f>
        <v>1100000</v>
      </c>
      <c r="E91" s="6">
        <f t="shared" si="4"/>
        <v>-0.219858156028369</v>
      </c>
      <c r="F91" s="4">
        <f t="shared" si="5"/>
        <v>186</v>
      </c>
      <c r="G91" s="4">
        <f>MIN(ROWS(_玩家曲线!$H$2:$H$280),COUNTIF(_玩家曲线!$H$2:$H$280,"&lt;"&amp;M91)+1)</f>
        <v>176</v>
      </c>
      <c r="H91" s="4">
        <f>MIN(ROWS(_玩家曲线!$I$2:$I$280),COUNTIF(_玩家曲线!$I$2:$I$280,"&lt;"&amp;N91)+1)</f>
        <v>186</v>
      </c>
      <c r="I91" s="7">
        <v>15.7940178322491</v>
      </c>
      <c r="J91" s="7">
        <v>12.5905134764684</v>
      </c>
      <c r="K91" s="4">
        <f>爬塔!W91</f>
        <v>20786387.0405</v>
      </c>
      <c r="L91" s="4">
        <f>爬塔!T91*IF(爬塔!O91="",1,爬塔!O91)</f>
        <v>158233</v>
      </c>
      <c r="M91" s="4">
        <f t="shared" si="6"/>
        <v>1316092.4130437</v>
      </c>
      <c r="N91" s="4">
        <f t="shared" si="7"/>
        <v>1992234.71892202</v>
      </c>
      <c r="O91" s="4">
        <f>INDEX(_统一战力!$D$2:$D$280,MATCH(F91,_统一战力!$C$2:$C$280,0))</f>
        <v>1098555</v>
      </c>
      <c r="P91" s="4" t="str">
        <f>IF(AND(INDEX(_玩家曲线!$H$2:$H$280,F91)&gt;=M91,INDEX(_玩家曲线!$I$2:$I$280,F91)&gt;=N91),"通过","超出玩家曲线")</f>
        <v>通过</v>
      </c>
      <c r="Q91" s="4">
        <v>300</v>
      </c>
      <c r="R91" s="4">
        <v>241</v>
      </c>
    </row>
    <row r="92" ht="25" customHeight="1" spans="1:18">
      <c r="A92" s="4">
        <v>88</v>
      </c>
      <c r="B92" s="4">
        <f>爬塔!J92</f>
        <v>265</v>
      </c>
      <c r="C92" s="4">
        <v>1430000</v>
      </c>
      <c r="D92" s="5">
        <f>IF(P92="通过",ROUND(O92,-MAX(0,INT(LOG10(O92))-推荐战力参数!$B$5+1)),0)</f>
        <v>1110000</v>
      </c>
      <c r="E92" s="6">
        <f t="shared" si="4"/>
        <v>-0.223776223776224</v>
      </c>
      <c r="F92" s="4">
        <f t="shared" si="5"/>
        <v>187</v>
      </c>
      <c r="G92" s="4">
        <f>MIN(ROWS(_玩家曲线!$H$2:$H$280),COUNTIF(_玩家曲线!$H$2:$H$280,"&lt;"&amp;M92)+1)</f>
        <v>177</v>
      </c>
      <c r="H92" s="4">
        <f>MIN(ROWS(_玩家曲线!$I$2:$I$280),COUNTIF(_玩家曲线!$I$2:$I$280,"&lt;"&amp;N92)+1)</f>
        <v>187</v>
      </c>
      <c r="I92" s="7">
        <v>15.8959465457073</v>
      </c>
      <c r="J92" s="7">
        <v>12.5468103797709</v>
      </c>
      <c r="K92" s="4">
        <f>爬塔!W92</f>
        <v>21029828.332875</v>
      </c>
      <c r="L92" s="4">
        <f>爬塔!T92*IF(爬塔!O92="",1,爬塔!O92)</f>
        <v>159595</v>
      </c>
      <c r="M92" s="4">
        <f t="shared" si="6"/>
        <v>1322967.98258636</v>
      </c>
      <c r="N92" s="4">
        <f t="shared" si="7"/>
        <v>2002408.20255954</v>
      </c>
      <c r="O92" s="4">
        <f>INDEX(_统一战力!$D$2:$D$280,MATCH(F92,_统一战力!$C$2:$C$280,0))</f>
        <v>1105095</v>
      </c>
      <c r="P92" s="4" t="str">
        <f>IF(AND(INDEX(_玩家曲线!$H$2:$H$280,F92)&gt;=M92,INDEX(_玩家曲线!$I$2:$I$280,F92)&gt;=N92),"通过","超出玩家曲线")</f>
        <v>通过</v>
      </c>
      <c r="Q92" s="4">
        <v>302</v>
      </c>
      <c r="R92" s="4">
        <v>244</v>
      </c>
    </row>
    <row r="93" ht="25" customHeight="1" spans="1:18">
      <c r="A93" s="4">
        <v>89</v>
      </c>
      <c r="B93" s="4">
        <f>爬塔!J93</f>
        <v>267</v>
      </c>
      <c r="C93" s="4">
        <v>1440000</v>
      </c>
      <c r="D93" s="5">
        <f>IF(P93="通过",ROUND(O93,-MAX(0,INT(LOG10(O93))-推荐战力参数!$B$5+1)),0)</f>
        <v>1120000</v>
      </c>
      <c r="E93" s="6">
        <f t="shared" si="4"/>
        <v>-0.222222222222222</v>
      </c>
      <c r="F93" s="4">
        <f t="shared" si="5"/>
        <v>189</v>
      </c>
      <c r="G93" s="4">
        <f>MIN(ROWS(_玩家曲线!$H$2:$H$280),COUNTIF(_玩家曲线!$H$2:$H$280,"&lt;"&amp;M93)+1)</f>
        <v>179</v>
      </c>
      <c r="H93" s="4">
        <f>MIN(ROWS(_玩家曲线!$I$2:$I$280),COUNTIF(_玩家曲线!$I$2:$I$280,"&lt;"&amp;N93)+1)</f>
        <v>189</v>
      </c>
      <c r="I93" s="7">
        <v>16.0019007342219</v>
      </c>
      <c r="J93" s="7">
        <v>12.5011030674076</v>
      </c>
      <c r="K93" s="4">
        <f>爬塔!W93</f>
        <v>21556783.633125</v>
      </c>
      <c r="L93" s="4">
        <f>爬塔!T93*IF(爬塔!O93="",1,爬塔!O93)</f>
        <v>162209</v>
      </c>
      <c r="M93" s="4">
        <f t="shared" si="6"/>
        <v>1347138.94250221</v>
      </c>
      <c r="N93" s="4">
        <f t="shared" si="7"/>
        <v>2027791.42746112</v>
      </c>
      <c r="O93" s="4">
        <f>INDEX(_统一战力!$D$2:$D$280,MATCH(F93,_统一战力!$C$2:$C$280,0))</f>
        <v>1118245</v>
      </c>
      <c r="P93" s="4" t="str">
        <f>IF(AND(INDEX(_玩家曲线!$H$2:$H$280,F93)&gt;=M93,INDEX(_玩家曲线!$I$2:$I$280,F93)&gt;=N93),"通过","超出玩家曲线")</f>
        <v>通过</v>
      </c>
      <c r="Q93" s="4">
        <v>304</v>
      </c>
      <c r="R93" s="4">
        <v>247</v>
      </c>
    </row>
    <row r="94" ht="25" customHeight="1" spans="1:18">
      <c r="A94" s="4">
        <v>90</v>
      </c>
      <c r="B94" s="4">
        <f>爬塔!J94</f>
        <v>268</v>
      </c>
      <c r="C94" s="4">
        <v>1460000</v>
      </c>
      <c r="D94" s="5">
        <f>IF(P94="通过",ROUND(O94,-MAX(0,INT(LOG10(O94))-推荐战力参数!$B$5+1)),0)</f>
        <v>1120000</v>
      </c>
      <c r="E94" s="6">
        <f t="shared" si="4"/>
        <v>-0.232876712328767</v>
      </c>
      <c r="F94" s="4">
        <f t="shared" si="5"/>
        <v>190</v>
      </c>
      <c r="G94" s="4">
        <f>MIN(ROWS(_玩家曲线!$H$2:$H$280),COUNTIF(_玩家曲线!$H$2:$H$280,"&lt;"&amp;M94)+1)</f>
        <v>179</v>
      </c>
      <c r="H94" s="4">
        <f>MIN(ROWS(_玩家曲线!$I$2:$I$280),COUNTIF(_玩家曲线!$I$2:$I$280,"&lt;"&amp;N94)+1)</f>
        <v>190</v>
      </c>
      <c r="I94" s="7">
        <v>17.3904982220902</v>
      </c>
      <c r="J94" s="7">
        <v>12.8328962135022</v>
      </c>
      <c r="K94" s="4">
        <f>爬塔!W94</f>
        <v>23510105.9553333</v>
      </c>
      <c r="L94" s="4">
        <f>爬塔!T94*IF(爬塔!O94="",1,爬塔!O94)</f>
        <v>158797</v>
      </c>
      <c r="M94" s="4">
        <f t="shared" si="6"/>
        <v>1351893.75572172</v>
      </c>
      <c r="N94" s="4">
        <f t="shared" si="7"/>
        <v>2037825.42001551</v>
      </c>
      <c r="O94" s="4">
        <f>INDEX(_统一战力!$D$2:$D$280,MATCH(F94,_统一战力!$C$2:$C$280,0))</f>
        <v>1124450</v>
      </c>
      <c r="P94" s="4" t="str">
        <f>IF(AND(INDEX(_玩家曲线!$H$2:$H$280,F94)&gt;=M94,INDEX(_玩家曲线!$I$2:$I$280,F94)&gt;=N94),"通过","超出玩家曲线")</f>
        <v>通过</v>
      </c>
      <c r="Q94" s="4">
        <v>306</v>
      </c>
      <c r="R94" s="4">
        <v>250</v>
      </c>
    </row>
    <row r="95" ht="25" customHeight="1" spans="1:18">
      <c r="A95" s="4">
        <v>91</v>
      </c>
      <c r="B95" s="4">
        <f>爬塔!J95</f>
        <v>269</v>
      </c>
      <c r="C95" s="4">
        <v>1470000</v>
      </c>
      <c r="D95" s="5">
        <f>IF(P95="通过",ROUND(O95,-MAX(0,INT(LOG10(O95))-推荐战力参数!$B$5+1)),0)</f>
        <v>1130000</v>
      </c>
      <c r="E95" s="6">
        <f t="shared" si="4"/>
        <v>-0.231292517006803</v>
      </c>
      <c r="F95" s="4">
        <f t="shared" si="5"/>
        <v>191</v>
      </c>
      <c r="G95" s="4">
        <f>MIN(ROWS(_玩家曲线!$H$2:$H$280),COUNTIF(_玩家曲线!$H$2:$H$280,"&lt;"&amp;M95)+1)</f>
        <v>180</v>
      </c>
      <c r="H95" s="4">
        <f>MIN(ROWS(_玩家曲线!$I$2:$I$280),COUNTIF(_玩家曲线!$I$2:$I$280,"&lt;"&amp;N95)+1)</f>
        <v>191</v>
      </c>
      <c r="I95" s="7">
        <v>16.3948990527898</v>
      </c>
      <c r="J95" s="7">
        <v>12.3261601381999</v>
      </c>
      <c r="K95" s="4">
        <f>爬塔!W95</f>
        <v>22294956.5884583</v>
      </c>
      <c r="L95" s="4">
        <f>爬塔!T95*IF(爬塔!O95="",1,爬塔!O95)</f>
        <v>166055</v>
      </c>
      <c r="M95" s="4">
        <f t="shared" si="6"/>
        <v>1359871.53788938</v>
      </c>
      <c r="N95" s="4">
        <f t="shared" si="7"/>
        <v>2046820.52174878</v>
      </c>
      <c r="O95" s="4">
        <f>INDEX(_统一战力!$D$2:$D$280,MATCH(F95,_统一战力!$C$2:$C$280,0))</f>
        <v>1130330</v>
      </c>
      <c r="P95" s="4" t="str">
        <f>IF(AND(INDEX(_玩家曲线!$H$2:$H$280,F95)&gt;=M95,INDEX(_玩家曲线!$I$2:$I$280,F95)&gt;=N95),"通过","超出玩家曲线")</f>
        <v>通过</v>
      </c>
      <c r="Q95" s="4">
        <v>308</v>
      </c>
      <c r="R95" s="4">
        <v>253</v>
      </c>
    </row>
    <row r="96" ht="25" customHeight="1" spans="1:18">
      <c r="A96" s="4">
        <v>92</v>
      </c>
      <c r="B96" s="4">
        <f>爬塔!J96</f>
        <v>270</v>
      </c>
      <c r="C96" s="4">
        <v>1480000</v>
      </c>
      <c r="D96" s="5">
        <f>IF(P96="通过",ROUND(O96,-MAX(0,INT(LOG10(O96))-推荐战力参数!$B$5+1)),0)</f>
        <v>1140000</v>
      </c>
      <c r="E96" s="6">
        <f t="shared" si="4"/>
        <v>-0.22972972972973</v>
      </c>
      <c r="F96" s="4">
        <f t="shared" si="5"/>
        <v>192</v>
      </c>
      <c r="G96" s="4">
        <f>MIN(ROWS(_玩家曲线!$H$2:$H$280),COUNTIF(_玩家曲线!$H$2:$H$280,"&lt;"&amp;M96)+1)</f>
        <v>181</v>
      </c>
      <c r="H96" s="4">
        <f>MIN(ROWS(_玩家曲线!$I$2:$I$280),COUNTIF(_玩家曲线!$I$2:$I$280,"&lt;"&amp;N96)+1)</f>
        <v>192</v>
      </c>
      <c r="I96" s="7">
        <v>16.35992155429</v>
      </c>
      <c r="J96" s="7">
        <v>12.3450630090194</v>
      </c>
      <c r="K96" s="4">
        <f>爬塔!W96</f>
        <v>22496000.619625</v>
      </c>
      <c r="L96" s="4">
        <f>爬塔!T96*IF(爬塔!O96="",1,爬塔!O96)</f>
        <v>167094</v>
      </c>
      <c r="M96" s="4">
        <f t="shared" si="6"/>
        <v>1375067.75597747</v>
      </c>
      <c r="N96" s="4">
        <f t="shared" si="7"/>
        <v>2062785.95842909</v>
      </c>
      <c r="O96" s="4">
        <f>INDEX(_统一战力!$D$2:$D$280,MATCH(F96,_统一战力!$C$2:$C$280,0))</f>
        <v>1136230</v>
      </c>
      <c r="P96" s="4" t="str">
        <f>IF(AND(INDEX(_玩家曲线!$H$2:$H$280,F96)&gt;=M96,INDEX(_玩家曲线!$I$2:$I$280,F96)&gt;=N96),"通过","超出玩家曲线")</f>
        <v>通过</v>
      </c>
      <c r="Q96" s="4">
        <v>309</v>
      </c>
      <c r="R96" s="4">
        <v>255</v>
      </c>
    </row>
    <row r="97" ht="25" customHeight="1" spans="1:18">
      <c r="A97" s="4">
        <v>93</v>
      </c>
      <c r="B97" s="4">
        <f>爬塔!J97</f>
        <v>272</v>
      </c>
      <c r="C97" s="4">
        <v>1500000</v>
      </c>
      <c r="D97" s="5">
        <f>IF(P97="通过",ROUND(O97,-MAX(0,INT(LOG10(O97))-推荐战力参数!$B$5+1)),0)</f>
        <v>1140000</v>
      </c>
      <c r="E97" s="6">
        <f t="shared" si="4"/>
        <v>-0.24</v>
      </c>
      <c r="F97" s="4">
        <f t="shared" si="5"/>
        <v>193</v>
      </c>
      <c r="G97" s="4">
        <f>MIN(ROWS(_玩家曲线!$H$2:$H$280),COUNTIF(_玩家曲线!$H$2:$H$280,"&lt;"&amp;M97)+1)</f>
        <v>182</v>
      </c>
      <c r="H97" s="4">
        <f>MIN(ROWS(_玩家曲线!$I$2:$I$280),COUNTIF(_玩家曲线!$I$2:$I$280,"&lt;"&amp;N97)+1)</f>
        <v>193</v>
      </c>
      <c r="I97" s="7">
        <v>16.6513569312811</v>
      </c>
      <c r="J97" s="7">
        <v>12.2156857723086</v>
      </c>
      <c r="K97" s="4">
        <f>爬塔!W97</f>
        <v>23019150.8344583</v>
      </c>
      <c r="L97" s="4">
        <f>爬塔!T97*IF(爬塔!O97="",1,爬塔!O97)</f>
        <v>169695</v>
      </c>
      <c r="M97" s="4">
        <f t="shared" si="6"/>
        <v>1382418.91813722</v>
      </c>
      <c r="N97" s="4">
        <f t="shared" si="7"/>
        <v>2072940.79713191</v>
      </c>
      <c r="O97" s="4">
        <f>INDEX(_统一战力!$D$2:$D$280,MATCH(F97,_统一战力!$C$2:$C$280,0))</f>
        <v>1142150</v>
      </c>
      <c r="P97" s="4" t="str">
        <f>IF(AND(INDEX(_玩家曲线!$H$2:$H$280,F97)&gt;=M97,INDEX(_玩家曲线!$I$2:$I$280,F97)&gt;=N97),"通过","超出玩家曲线")</f>
        <v>通过</v>
      </c>
      <c r="Q97" s="4">
        <v>312</v>
      </c>
      <c r="R97" s="4">
        <v>258</v>
      </c>
    </row>
    <row r="98" ht="25" customHeight="1" spans="1:18">
      <c r="A98" s="4">
        <v>94</v>
      </c>
      <c r="B98" s="4">
        <f>爬塔!J98</f>
        <v>273</v>
      </c>
      <c r="C98" s="4">
        <v>1510000</v>
      </c>
      <c r="D98" s="5">
        <f>IF(P98="通过",ROUND(O98,-MAX(0,INT(LOG10(O98))-推荐战力参数!$B$5+1)),0)</f>
        <v>1150000</v>
      </c>
      <c r="E98" s="6">
        <f t="shared" si="4"/>
        <v>-0.23841059602649</v>
      </c>
      <c r="F98" s="4">
        <f t="shared" si="5"/>
        <v>194</v>
      </c>
      <c r="G98" s="4">
        <f>MIN(ROWS(_玩家曲线!$H$2:$H$280),COUNTIF(_玩家曲线!$H$2:$H$280,"&lt;"&amp;M98)+1)</f>
        <v>182</v>
      </c>
      <c r="H98" s="4">
        <f>MIN(ROWS(_玩家曲线!$I$2:$I$280),COUNTIF(_玩家曲线!$I$2:$I$280,"&lt;"&amp;N98)+1)</f>
        <v>194</v>
      </c>
      <c r="I98" s="7">
        <v>16.7758346937086</v>
      </c>
      <c r="J98" s="7">
        <v>12.1634743650547</v>
      </c>
      <c r="K98" s="4">
        <f>爬塔!W98</f>
        <v>23293764.8577083</v>
      </c>
      <c r="L98" s="4">
        <f>爬塔!T98*IF(爬塔!O98="",1,爬塔!O98)</f>
        <v>171177</v>
      </c>
      <c r="M98" s="4">
        <f t="shared" si="6"/>
        <v>1388530.90072735</v>
      </c>
      <c r="N98" s="4">
        <f t="shared" si="7"/>
        <v>2082107.05138697</v>
      </c>
      <c r="O98" s="4">
        <f>INDEX(_统一战力!$D$2:$D$280,MATCH(F98,_统一战力!$C$2:$C$280,0))</f>
        <v>1148085</v>
      </c>
      <c r="P98" s="4" t="str">
        <f>IF(AND(INDEX(_玩家曲线!$H$2:$H$280,F98)&gt;=M98,INDEX(_玩家曲线!$I$2:$I$280,F98)&gt;=N98),"通过","超出玩家曲线")</f>
        <v>通过</v>
      </c>
      <c r="Q98" s="4">
        <v>314</v>
      </c>
      <c r="R98" s="4">
        <v>261</v>
      </c>
    </row>
    <row r="99" ht="25" customHeight="1" spans="1:18">
      <c r="A99" s="4">
        <v>95</v>
      </c>
      <c r="B99" s="4">
        <f>爬塔!J99</f>
        <v>274</v>
      </c>
      <c r="C99" s="4">
        <v>1530000</v>
      </c>
      <c r="D99" s="5">
        <f>IF(P99="通过",ROUND(O99,-MAX(0,INT(LOG10(O99))-推荐战力参数!$B$5+1)),0)</f>
        <v>1150000</v>
      </c>
      <c r="E99" s="6">
        <f t="shared" si="4"/>
        <v>-0.248366013071895</v>
      </c>
      <c r="F99" s="4">
        <f t="shared" si="5"/>
        <v>195</v>
      </c>
      <c r="G99" s="4">
        <f>MIN(ROWS(_玩家曲线!$H$2:$H$280),COUNTIF(_玩家曲线!$H$2:$H$280,"&lt;"&amp;M99)+1)</f>
        <v>183</v>
      </c>
      <c r="H99" s="4">
        <f>MIN(ROWS(_玩家曲线!$I$2:$I$280),COUNTIF(_玩家曲线!$I$2:$I$280,"&lt;"&amp;N99)+1)</f>
        <v>195</v>
      </c>
      <c r="I99" s="7">
        <v>16.9039365921598</v>
      </c>
      <c r="J99" s="7">
        <v>12.1103700512664</v>
      </c>
      <c r="K99" s="4">
        <f>爬塔!W99</f>
        <v>23575812.8570417</v>
      </c>
      <c r="L99" s="4">
        <f>爬塔!T99*IF(爬塔!O99="",1,爬塔!O99)</f>
        <v>172681</v>
      </c>
      <c r="M99" s="4">
        <f t="shared" si="6"/>
        <v>1394693.64005875</v>
      </c>
      <c r="N99" s="4">
        <f t="shared" si="7"/>
        <v>2091230.81082273</v>
      </c>
      <c r="O99" s="4">
        <f>INDEX(_统一战力!$D$2:$D$280,MATCH(F99,_统一战力!$C$2:$C$280,0))</f>
        <v>1154040</v>
      </c>
      <c r="P99" s="4" t="str">
        <f>IF(AND(INDEX(_玩家曲线!$H$2:$H$280,F99)&gt;=M99,INDEX(_玩家曲线!$I$2:$I$280,F99)&gt;=N99),"通过","超出玩家曲线")</f>
        <v>通过</v>
      </c>
      <c r="Q99" s="4">
        <v>316</v>
      </c>
      <c r="R99" s="4">
        <v>264</v>
      </c>
    </row>
    <row r="100" ht="25" customHeight="1" spans="1:18">
      <c r="A100" s="4">
        <v>96</v>
      </c>
      <c r="B100" s="4">
        <f>爬塔!J100</f>
        <v>275</v>
      </c>
      <c r="C100" s="4">
        <v>1540000</v>
      </c>
      <c r="D100" s="5">
        <f>IF(P100="通过",ROUND(O100,-MAX(0,INT(LOG10(O100))-推荐战力参数!$B$5+1)),0)</f>
        <v>1150000</v>
      </c>
      <c r="E100" s="6">
        <f t="shared" si="4"/>
        <v>-0.253246753246753</v>
      </c>
      <c r="F100" s="4">
        <f t="shared" si="5"/>
        <v>195</v>
      </c>
      <c r="G100" s="4">
        <f>MIN(ROWS(_玩家曲线!$H$2:$H$280),COUNTIF(_玩家曲线!$H$2:$H$280,"&lt;"&amp;M100)+1)</f>
        <v>183</v>
      </c>
      <c r="H100" s="4">
        <f>MIN(ROWS(_玩家曲线!$I$2:$I$280),COUNTIF(_玩家曲线!$I$2:$I$280,"&lt;"&amp;N100)+1)</f>
        <v>195</v>
      </c>
      <c r="I100" s="7">
        <v>17.0353081072053</v>
      </c>
      <c r="J100" s="7">
        <v>12.056026435846</v>
      </c>
      <c r="K100" s="4">
        <f>爬塔!W100</f>
        <v>23851725.0565417</v>
      </c>
      <c r="L100" s="4">
        <f>爬塔!T100*IF(爬塔!O100="",1,爬塔!O100)</f>
        <v>174150</v>
      </c>
      <c r="M100" s="4">
        <f t="shared" si="6"/>
        <v>1400134.64426002</v>
      </c>
      <c r="N100" s="4">
        <f t="shared" si="7"/>
        <v>2099557.00380258</v>
      </c>
      <c r="O100" s="4">
        <f>INDEX(_统一战力!$D$2:$D$280,MATCH(F100,_统一战力!$C$2:$C$280,0))</f>
        <v>1154040</v>
      </c>
      <c r="P100" s="4" t="str">
        <f>IF(AND(INDEX(_玩家曲线!$H$2:$H$280,F100)&gt;=M100,INDEX(_玩家曲线!$I$2:$I$280,F100)&gt;=N100),"通过","超出玩家曲线")</f>
        <v>通过</v>
      </c>
      <c r="Q100" s="4">
        <v>318</v>
      </c>
      <c r="R100" s="4">
        <v>267</v>
      </c>
    </row>
    <row r="101" ht="25" customHeight="1" spans="1:18">
      <c r="A101" s="4">
        <v>97</v>
      </c>
      <c r="B101" s="4">
        <f>爬塔!J101</f>
        <v>276</v>
      </c>
      <c r="C101" s="4">
        <v>1560000</v>
      </c>
      <c r="D101" s="5">
        <f>IF(P101="通过",ROUND(O101,-MAX(0,INT(LOG10(O101))-推荐战力参数!$B$5+1)),0)</f>
        <v>1160000</v>
      </c>
      <c r="E101" s="6">
        <f t="shared" si="4"/>
        <v>-0.256410256410256</v>
      </c>
      <c r="F101" s="4">
        <f t="shared" si="5"/>
        <v>196</v>
      </c>
      <c r="G101" s="4">
        <f>MIN(ROWS(_玩家曲线!$H$2:$H$280),COUNTIF(_玩家曲线!$H$2:$H$280,"&lt;"&amp;M101)+1)</f>
        <v>184</v>
      </c>
      <c r="H101" s="4">
        <f>MIN(ROWS(_玩家曲线!$I$2:$I$280),COUNTIF(_玩家曲线!$I$2:$I$280,"&lt;"&amp;N101)+1)</f>
        <v>196</v>
      </c>
      <c r="I101" s="7">
        <v>17.1699277941254</v>
      </c>
      <c r="J101" s="7">
        <v>12.0007586061643</v>
      </c>
      <c r="K101" s="4">
        <f>爬塔!W101</f>
        <v>24132212.9332917</v>
      </c>
      <c r="L101" s="4">
        <f>爬塔!T101*IF(爬塔!O101="",1,爬塔!O101)</f>
        <v>175644</v>
      </c>
      <c r="M101" s="4">
        <f t="shared" si="6"/>
        <v>1405492.97717771</v>
      </c>
      <c r="N101" s="4">
        <f t="shared" si="7"/>
        <v>2107861.24462112</v>
      </c>
      <c r="O101" s="4">
        <f>INDEX(_统一战力!$D$2:$D$280,MATCH(F101,_统一战力!$C$2:$C$280,0))</f>
        <v>1160015</v>
      </c>
      <c r="P101" s="4" t="str">
        <f>IF(AND(INDEX(_玩家曲线!$H$2:$H$280,F101)&gt;=M101,INDEX(_玩家曲线!$I$2:$I$280,F101)&gt;=N101),"通过","超出玩家曲线")</f>
        <v>通过</v>
      </c>
      <c r="Q101" s="4">
        <v>320</v>
      </c>
      <c r="R101" s="4">
        <v>270</v>
      </c>
    </row>
    <row r="102" ht="25" customHeight="1" spans="1:18">
      <c r="A102" s="4">
        <v>98</v>
      </c>
      <c r="B102" s="4">
        <f>爬塔!J102</f>
        <v>278</v>
      </c>
      <c r="C102" s="4">
        <v>1570000</v>
      </c>
      <c r="D102" s="5">
        <f>IF(P102="通过",ROUND(O102,-MAX(0,INT(LOG10(O102))-推荐战力参数!$B$5+1)),0)</f>
        <v>1170000</v>
      </c>
      <c r="E102" s="6">
        <f t="shared" si="4"/>
        <v>-0.254777070063694</v>
      </c>
      <c r="F102" s="4">
        <f t="shared" si="5"/>
        <v>198</v>
      </c>
      <c r="G102" s="4">
        <f>MIN(ROWS(_玩家曲线!$H$2:$H$280),COUNTIF(_玩家曲线!$H$2:$H$280,"&lt;"&amp;M102)+1)</f>
        <v>186</v>
      </c>
      <c r="H102" s="4">
        <f>MIN(ROWS(_玩家曲线!$I$2:$I$280),COUNTIF(_玩家曲线!$I$2:$I$280,"&lt;"&amp;N102)+1)</f>
        <v>198</v>
      </c>
      <c r="I102" s="7">
        <v>17.3078532477952</v>
      </c>
      <c r="J102" s="7">
        <v>11.9442558313262</v>
      </c>
      <c r="K102" s="4">
        <f>爬塔!W102</f>
        <v>24728402.8646667</v>
      </c>
      <c r="L102" s="4">
        <f>爬塔!T102*IF(爬塔!O102="",1,爬塔!O102)</f>
        <v>178477</v>
      </c>
      <c r="M102" s="4">
        <f t="shared" si="6"/>
        <v>1428738.88001198</v>
      </c>
      <c r="N102" s="4">
        <f t="shared" si="7"/>
        <v>2131774.94800761</v>
      </c>
      <c r="O102" s="4">
        <f>INDEX(_统一战力!$D$2:$D$280,MATCH(F102,_统一战力!$C$2:$C$280,0))</f>
        <v>1172015</v>
      </c>
      <c r="P102" s="4" t="str">
        <f>IF(AND(INDEX(_玩家曲线!$H$2:$H$280,F102)&gt;=M102,INDEX(_玩家曲线!$I$2:$I$280,F102)&gt;=N102),"通过","超出玩家曲线")</f>
        <v>通过</v>
      </c>
      <c r="Q102" s="4">
        <v>322</v>
      </c>
      <c r="R102" s="4">
        <v>273</v>
      </c>
    </row>
    <row r="103" ht="25" customHeight="1" spans="1:18">
      <c r="A103" s="4">
        <v>99</v>
      </c>
      <c r="B103" s="4">
        <f>爬塔!J103</f>
        <v>279</v>
      </c>
      <c r="C103" s="4">
        <v>1590000</v>
      </c>
      <c r="D103" s="5">
        <f>IF(P103="通过",ROUND(O103,-MAX(0,INT(LOG10(O103))-推荐战力参数!$B$5+1)),0)</f>
        <v>1170000</v>
      </c>
      <c r="E103" s="6">
        <f t="shared" si="4"/>
        <v>-0.264150943396226</v>
      </c>
      <c r="F103" s="4">
        <f t="shared" si="5"/>
        <v>198</v>
      </c>
      <c r="G103" s="4">
        <f>MIN(ROWS(_玩家曲线!$H$2:$H$280),COUNTIF(_玩家曲线!$H$2:$H$280,"&lt;"&amp;M103)+1)</f>
        <v>185</v>
      </c>
      <c r="H103" s="4">
        <f>MIN(ROWS(_玩家曲线!$I$2:$I$280),COUNTIF(_玩家曲线!$I$2:$I$280,"&lt;"&amp;N103)+1)</f>
        <v>198</v>
      </c>
      <c r="I103" s="7">
        <v>17.6278912331941</v>
      </c>
      <c r="J103" s="7">
        <v>11.8122411086379</v>
      </c>
      <c r="K103" s="4">
        <f>爬塔!W103</f>
        <v>24993965.6077917</v>
      </c>
      <c r="L103" s="4">
        <f>爬塔!T103*IF(爬塔!O103="",1,爬塔!O103)</f>
        <v>179946</v>
      </c>
      <c r="M103" s="4">
        <f t="shared" si="6"/>
        <v>1417864.75064737</v>
      </c>
      <c r="N103" s="4">
        <f t="shared" si="7"/>
        <v>2125565.53853496</v>
      </c>
      <c r="O103" s="4">
        <f>INDEX(_统一战力!$D$2:$D$280,MATCH(F103,_统一战力!$C$2:$C$280,0))</f>
        <v>1172015</v>
      </c>
      <c r="P103" s="4" t="str">
        <f>IF(AND(INDEX(_玩家曲线!$H$2:$H$280,F103)&gt;=M103,INDEX(_玩家曲线!$I$2:$I$280,F103)&gt;=N103),"通过","超出玩家曲线")</f>
        <v>通过</v>
      </c>
      <c r="Q103" s="4">
        <v>325</v>
      </c>
      <c r="R103" s="4">
        <v>276</v>
      </c>
    </row>
    <row r="104" ht="25" customHeight="1" spans="1:18">
      <c r="A104" s="4">
        <v>100</v>
      </c>
      <c r="B104" s="4">
        <f>爬塔!J104</f>
        <v>280</v>
      </c>
      <c r="C104" s="4">
        <v>1600000</v>
      </c>
      <c r="D104" s="5">
        <f>IF(P104="通过",ROUND(O104,-MAX(0,INT(LOG10(O104))-推荐战力参数!$B$5+1)),0)</f>
        <v>1180000</v>
      </c>
      <c r="E104" s="6">
        <f t="shared" si="4"/>
        <v>-0.2625</v>
      </c>
      <c r="F104" s="4">
        <f t="shared" si="5"/>
        <v>200</v>
      </c>
      <c r="G104" s="4">
        <f>MIN(ROWS(_玩家曲线!$H$2:$H$280),COUNTIF(_玩家曲线!$H$2:$H$280,"&lt;"&amp;M104)+1)</f>
        <v>187</v>
      </c>
      <c r="H104" s="4">
        <f>MIN(ROWS(_玩家曲线!$I$2:$I$280),COUNTIF(_玩家曲线!$I$2:$I$280,"&lt;"&amp;N104)+1)</f>
        <v>200</v>
      </c>
      <c r="I104" s="7">
        <v>17.5923616434232</v>
      </c>
      <c r="J104" s="7">
        <v>11.8297257736823</v>
      </c>
      <c r="K104" s="4">
        <f>爬塔!W104</f>
        <v>25329180.4662917</v>
      </c>
      <c r="L104" s="4">
        <f>爬塔!T104*IF(爬塔!O104="",1,爬塔!O104)</f>
        <v>181616</v>
      </c>
      <c r="M104" s="4">
        <f t="shared" si="6"/>
        <v>1439782.84324099</v>
      </c>
      <c r="N104" s="4">
        <f t="shared" si="7"/>
        <v>2148467.47611308</v>
      </c>
      <c r="O104" s="4">
        <f>INDEX(_统一战力!$D$2:$D$280,MATCH(F104,_统一战力!$C$2:$C$280,0))</f>
        <v>1184095</v>
      </c>
      <c r="P104" s="4" t="str">
        <f>IF(AND(INDEX(_玩家曲线!$H$2:$H$280,F104)&gt;=M104,INDEX(_玩家曲线!$I$2:$I$280,F104)&gt;=N104),"通过","超出玩家曲线")</f>
        <v>通过</v>
      </c>
      <c r="Q104" s="4">
        <v>326</v>
      </c>
      <c r="R104" s="4">
        <v>279</v>
      </c>
    </row>
  </sheetData>
  <mergeCells count="5">
    <mergeCell ref="A1:H1"/>
    <mergeCell ref="I1:R1"/>
    <mergeCell ref="A2:H2"/>
    <mergeCell ref="A3:H3"/>
    <mergeCell ref="I2:R3"/>
  </mergeCells>
  <conditionalFormatting sqref="P5:P104">
    <cfRule type="containsText" dxfId="5" priority="1" operator="between" text="超出">
      <formula>NOT(ISERROR(SEARCH("超出",P5)))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使用说明</vt:lpstr>
      <vt:lpstr>玩法汇总</vt:lpstr>
      <vt:lpstr>主线</vt:lpstr>
      <vt:lpstr>困难主线</vt:lpstr>
      <vt:lpstr>角色经验</vt:lpstr>
      <vt:lpstr>金币</vt:lpstr>
      <vt:lpstr>收容经验</vt:lpstr>
      <vt:lpstr>旅券</vt:lpstr>
      <vt:lpstr>映射</vt:lpstr>
      <vt:lpstr>爬塔</vt:lpstr>
      <vt:lpstr>Boss挑战</vt:lpstr>
      <vt:lpstr>肉鸽</vt:lpstr>
      <vt:lpstr>大秘境</vt:lpstr>
      <vt:lpstr>PVPVE</vt:lpstr>
      <vt:lpstr>_玩家曲线</vt:lpstr>
      <vt:lpstr>_怪物模型</vt:lpstr>
      <vt:lpstr>_字典</vt:lpstr>
      <vt:lpstr>舱室材料</vt:lpstr>
      <vt:lpstr>无限之旅</vt:lpstr>
      <vt:lpstr>其他战斗玩法</vt:lpstr>
      <vt:lpstr>_统一战力</vt:lpstr>
      <vt:lpstr>_爬塔队伍</vt:lpstr>
      <vt:lpstr>本轮统一对比</vt:lpstr>
      <vt:lpstr>统一口径说明</vt:lpstr>
      <vt:lpstr>_怪物类型</vt:lpstr>
      <vt:lpstr>映射等级节点</vt:lpstr>
      <vt:lpstr>爬塔本次调整</vt:lpstr>
      <vt:lpstr>推荐战力参数</vt:lpstr>
      <vt:lpstr>爬塔战力校准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企业用户_251728386</cp:lastModifiedBy>
  <dcterms:created xsi:type="dcterms:W3CDTF">2026-08-31T06:10:00Z</dcterms:created>
  <dcterms:modified xsi:type="dcterms:W3CDTF">2026-09-03T08:33:34Z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E7FDDE774AFF41B0A9517F94E63920E0_12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