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角色抽卡概率" sheetId="1" r:id="rId1"/>
    <sheet name="专武抽卡概率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<sst xmlns="http://schemas.openxmlformats.org/spreadsheetml/2006/main" count="89" uniqueCount="41">
  <si>
    <t>基础概率</t>
  </si>
  <si>
    <t>实际概率</t>
  </si>
  <si>
    <t>首次抽到</t>
  </si>
  <si>
    <t>非首次抽到</t>
  </si>
  <si>
    <t>价值</t>
  </si>
  <si>
    <t>未抽满单抽数量</t>
  </si>
  <si>
    <t>单抽数量</t>
  </si>
  <si>
    <t>角色星级</t>
  </si>
  <si>
    <t>升到下一星级需要角色</t>
  </si>
  <si>
    <t>抽卡概率设定</t>
  </si>
  <si>
    <t>SSR</t>
  </si>
  <si>
    <t>抽卡大代币</t>
  </si>
  <si>
    <t>SR</t>
  </si>
  <si>
    <t>R</t>
  </si>
  <si>
    <t>抽卡小代币</t>
  </si>
  <si>
    <t>十连保底1个SR</t>
  </si>
  <si>
    <t>单抽定价</t>
  </si>
  <si>
    <t>钻石</t>
  </si>
  <si>
    <t>单抽代币数量</t>
  </si>
  <si>
    <t>前期</t>
  </si>
  <si>
    <t>后期</t>
  </si>
  <si>
    <t>大后期</t>
  </si>
  <si>
    <t>保底次数</t>
  </si>
  <si>
    <t>期望次数</t>
  </si>
  <si>
    <t>SSR角色价值</t>
  </si>
  <si>
    <t>SR角色价值</t>
  </si>
  <si>
    <t>R角色价值</t>
  </si>
  <si>
    <t>SR/SSR10连概率</t>
  </si>
  <si>
    <t>抽卡次数</t>
  </si>
  <si>
    <t>概率</t>
  </si>
  <si>
    <t>不出概率</t>
  </si>
  <si>
    <t>抽卡额外货币规则</t>
  </si>
  <si>
    <t>抽到角色时，根据已经抽到的角色数量和角色品质给予一定的额外货币（可配置）</t>
  </si>
  <si>
    <t>该额外货币可以在抽卡商店兑换道具，主要兑换的内容是部分养成材料和抽卡道具（限量）</t>
  </si>
  <si>
    <t>SSR专武价值</t>
  </si>
  <si>
    <t>SR专武价值</t>
  </si>
  <si>
    <t>专武星级</t>
  </si>
  <si>
    <t>升到下一星级需要专武</t>
  </si>
  <si>
    <t>升到下一星级需要金币</t>
  </si>
  <si>
    <t>R专武价值</t>
  </si>
  <si>
    <t>1,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</si>
</sst>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5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FB54"/>
        <bgColor indexed="64"/>
      </patternFill>
    </fill>
    <fill>
      <patternFill patternType="solid">
        <fgColor rgb="FFD58EFF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8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9" borderId="6">
      <alignment vertical="center"/>
    </xf>
    <xf numFmtId="0" fontId="15" fillId="10" borderId="7">
      <alignment vertical="center"/>
    </xf>
    <xf numFmtId="0" fontId="16" fillId="10" borderId="6">
      <alignment vertical="center"/>
    </xf>
    <xf numFmtId="0" fontId="17" fillId="11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3" fillId="38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968;&#20540;&#25991;&#26723;\&#25968;&#20540;&#25991;&#26723;\Vgame&#32463;&#27982;&#26694;&#2655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前7天钻石抽卡券统计"/>
      <sheetName val="玩法钻石抽卡券统计"/>
      <sheetName val="道具定价"/>
      <sheetName val="角色、专武、旅券掉落池"/>
      <sheetName val="角色养成汇总"/>
      <sheetName val="角色升级"/>
      <sheetName val="角色升阶"/>
      <sheetName val="角色升星、角色抽卡"/>
      <sheetName val="专武升星、抽卡"/>
      <sheetName val="旅券"/>
      <sheetName val="专武"/>
      <sheetName val="角色星盘"/>
      <sheetName val="映射装备"/>
      <sheetName val="主角等级（从新手引导复制） "/>
      <sheetName val="炮台养成"/>
      <sheetName val="通行证"/>
      <sheetName val="公会数值"/>
      <sheetName val="配置页-通行证"/>
      <sheetName val="无限挑战"/>
      <sheetName val="配置页-无限挑战"/>
      <sheetName val="竞技场"/>
      <sheetName val="配置页-竞技场"/>
      <sheetName val="竞技场分层"/>
      <sheetName val="爬塔"/>
      <sheetName val="配置页-爬塔"/>
      <sheetName val="大秘境"/>
      <sheetName val="商店"/>
      <sheetName val="旅券副本"/>
      <sheetName val="共鸣装备"/>
      <sheetName val="讨论页-玩法定位和产出"/>
      <sheetName val="签到"/>
      <sheetName val="7日任务"/>
      <sheetName val="主线副本"/>
      <sheetName val="配置页-主线副本"/>
      <sheetName val="高难主线关卡"/>
      <sheetName val="高难关卡Drop引用&amp;Drop配置"/>
      <sheetName val="世界boss"/>
      <sheetName val="任务"/>
      <sheetName val="映射装备副本"/>
      <sheetName val="映射装备副本配置"/>
      <sheetName val="资源、装备副本"/>
      <sheetName val="肉鸽（废弃）"/>
    </sheetNames>
    <sheetDataSet>
      <sheetData sheetId="0"/>
      <sheetData sheetId="1"/>
      <sheetData sheetId="2">
        <row r="15">
          <cell r="F15">
            <v>15</v>
          </cell>
        </row>
        <row r="16">
          <cell r="F16">
            <v>1.5</v>
          </cell>
        </row>
        <row r="17">
          <cell r="F17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85"/>
  <sheetViews>
    <sheetView workbookViewId="0">
      <selection activeCell="K11" sqref="K11"/>
    </sheetView>
  </sheetViews>
  <sheetFormatPr defaultColWidth="9" defaultRowHeight="16.5"/>
  <cols>
    <col min="1" max="1" width="9" style="3" customWidth="1"/>
    <col min="2" max="2" width="7.875" style="3" customWidth="1"/>
    <col min="3" max="3" width="18.5" style="3" customWidth="1"/>
    <col min="4" max="5" width="9" style="3" customWidth="1"/>
    <col min="6" max="6" width="11.75" style="3" customWidth="1"/>
    <col min="7" max="7" width="14.125" style="3" customWidth="1"/>
    <col min="8" max="9" width="9.375" style="3" customWidth="1"/>
    <col min="10" max="10" width="9" style="3" customWidth="1"/>
    <col min="11" max="11" width="18.5" style="3" customWidth="1"/>
    <col min="12" max="12" width="18.75" style="3" customWidth="1"/>
    <col min="13" max="13" width="9" style="3" customWidth="1"/>
    <col min="14" max="14" width="14.125" style="3" customWidth="1"/>
    <col min="15" max="15" width="14" style="3" customWidth="1"/>
    <col min="16" max="17" width="14.125" style="3" customWidth="1"/>
    <col min="18" max="18" width="9" style="3" customWidth="1"/>
    <col min="19" max="19" width="11.375" style="3" customWidth="1"/>
    <col min="20" max="20" width="14.125" style="3" customWidth="1"/>
    <col min="21" max="16384" width="9" style="3" customWidth="1"/>
  </cols>
  <sheetData>
    <row r="2" s="3" customFormat="1" spans="2:17">
      <c r="H2" s="2" t="s">
        <v>0</v>
      </c>
      <c r="I2" s="2" t="s">
        <v>1</v>
      </c>
      <c r="K2" s="3" t="s">
        <v>2</v>
      </c>
      <c r="L2" s="3" t="s">
        <v>3</v>
      </c>
      <c r="N2" s="3" t="s">
        <v>4</v>
      </c>
      <c r="O2" s="3" t="s">
        <v>5</v>
      </c>
      <c r="P2" s="4" t="s">
        <v>6</v>
      </c>
    </row>
    <row r="3" s="3" customFormat="1" spans="2:17">
      <c r="B3" s="5" t="s">
        <v>7</v>
      </c>
      <c r="C3" s="5" t="s">
        <v>8</v>
      </c>
      <c r="F3" s="5" t="s">
        <v>9</v>
      </c>
      <c r="G3" s="5" t="s">
        <v>10</v>
      </c>
      <c r="H3" s="6">
        <v>0.01</v>
      </c>
      <c r="I3" s="6">
        <f>1/G10</f>
        <v>0.0197956557643264</v>
      </c>
      <c r="J3" s="7" t="s">
        <v>11</v>
      </c>
      <c r="K3" s="8">
        <v>2</v>
      </c>
      <c r="L3" s="8">
        <v>10</v>
      </c>
      <c r="N3" s="3">
        <f>I3*[1]道具定价!$F$15*L3</f>
        <v>2.96934836464896</v>
      </c>
      <c r="O3" s="9">
        <f>L3*I3</f>
        <v>0.197956557643264</v>
      </c>
      <c r="P3" s="9">
        <f>L3*I3</f>
        <v>0.197956557643264</v>
      </c>
    </row>
    <row r="4" s="3" customFormat="1" spans="2:17">
      <c r="B4" s="5">
        <v>0</v>
      </c>
      <c r="C4" s="5">
        <v>1</v>
      </c>
      <c r="F4" s="5"/>
      <c r="G4" s="5" t="s">
        <v>12</v>
      </c>
      <c r="H4" s="6">
        <v>0.1</v>
      </c>
      <c r="I4" s="6">
        <f>K28*H4/(H3+H4)</f>
        <v>0.145310228471612</v>
      </c>
      <c r="J4" s="7" t="s">
        <v>11</v>
      </c>
      <c r="K4" s="8">
        <v>1</v>
      </c>
      <c r="L4" s="8">
        <v>3</v>
      </c>
      <c r="N4" s="3">
        <f>I4*[1]道具定价!$F$16*L4</f>
        <v>0.653896028122254</v>
      </c>
      <c r="O4" s="9">
        <f>I4*L4</f>
        <v>0.435930685414836</v>
      </c>
      <c r="P4" s="9">
        <f>L4*I4</f>
        <v>0.435930685414836</v>
      </c>
    </row>
    <row r="5" s="3" customFormat="1" spans="2:17">
      <c r="B5" s="5">
        <v>1</v>
      </c>
      <c r="C5" s="5">
        <v>1</v>
      </c>
      <c r="F5" s="5"/>
      <c r="G5" s="5" t="s">
        <v>13</v>
      </c>
      <c r="H5" s="6">
        <f>1-H4-H3</f>
        <v>0.89</v>
      </c>
      <c r="I5" s="6">
        <f>1-I4-I3</f>
        <v>0.834894115764061</v>
      </c>
      <c r="J5" s="7" t="s">
        <v>14</v>
      </c>
      <c r="K5" s="8">
        <v>3</v>
      </c>
      <c r="L5" s="8">
        <v>6</v>
      </c>
      <c r="N5" s="3">
        <f>I5*[1]道具定价!$F$17*L5</f>
        <v>5.00936469458437</v>
      </c>
      <c r="O5" s="9">
        <f>I5*L5</f>
        <v>5.00936469458437</v>
      </c>
      <c r="P5" s="9">
        <f>L5*I5</f>
        <v>5.00936469458437</v>
      </c>
    </row>
    <row r="6" s="3" customFormat="1" spans="2:17">
      <c r="B6" s="5">
        <v>2</v>
      </c>
      <c r="C6" s="5">
        <v>1</v>
      </c>
      <c r="N6" s="3">
        <f>SUM(N3:N5)</f>
        <v>8.63260908735558</v>
      </c>
    </row>
    <row r="7" s="3" customFormat="1" spans="2:17">
      <c r="B7" s="5">
        <v>3</v>
      </c>
      <c r="C7" s="5">
        <v>1</v>
      </c>
      <c r="F7" s="3" t="s">
        <v>15</v>
      </c>
    </row>
    <row r="8" s="3" customFormat="1" spans="2:17">
      <c r="B8" s="5">
        <v>4</v>
      </c>
      <c r="C8" s="5">
        <v>1</v>
      </c>
      <c r="F8" s="3" t="s">
        <v>16</v>
      </c>
      <c r="G8" s="3">
        <v>150</v>
      </c>
      <c r="H8" s="3" t="s">
        <v>17</v>
      </c>
      <c r="N8" s="10" t="s">
        <v>18</v>
      </c>
      <c r="O8" s="3" t="s">
        <v>19</v>
      </c>
      <c r="P8" s="3" t="s">
        <v>20</v>
      </c>
      <c r="Q8" s="3" t="s">
        <v>21</v>
      </c>
    </row>
    <row r="9" s="3" customFormat="1" spans="2:17">
      <c r="B9" s="5">
        <v>5</v>
      </c>
      <c r="C9" s="5">
        <v>1</v>
      </c>
      <c r="F9" s="3" t="s">
        <v>22</v>
      </c>
      <c r="G9" s="3">
        <v>70</v>
      </c>
      <c r="N9" s="7" t="s">
        <v>11</v>
      </c>
      <c r="O9" s="9">
        <f>O4</f>
        <v>0.435930685414836</v>
      </c>
      <c r="P9" s="9">
        <f>P4+O3</f>
        <v>0.6338872430581</v>
      </c>
      <c r="Q9" s="9">
        <f>P4+P3</f>
        <v>0.6338872430581</v>
      </c>
    </row>
    <row r="10" s="3" customFormat="1" spans="2:17">
      <c r="B10" s="5">
        <v>6</v>
      </c>
      <c r="C10" s="5">
        <v>0</v>
      </c>
      <c r="F10" s="3" t="s">
        <v>23</v>
      </c>
      <c r="G10" s="11">
        <f t="array" ref="G10">SUMPRODUCT(_xlfn.ANCHORARRAY(F16),G16:G85)</f>
        <v>50.5161340399793</v>
      </c>
      <c r="N10" s="7" t="s">
        <v>14</v>
      </c>
      <c r="O10" s="9">
        <f>P5</f>
        <v>5.00936469458437</v>
      </c>
      <c r="P10" s="9">
        <f>P5</f>
        <v>5.00936469458437</v>
      </c>
      <c r="Q10" s="9">
        <f>P5</f>
        <v>5.00936469458437</v>
      </c>
    </row>
    <row r="11" s="3" customFormat="1" spans="2:17">
      <c r="F11" s="3" t="s">
        <v>24</v>
      </c>
      <c r="G11" s="11">
        <f>G8*G10</f>
        <v>7577.42010599689</v>
      </c>
      <c r="H11" s="3" t="s">
        <v>17</v>
      </c>
      <c r="P11" s="9"/>
      <c r="Q11" s="9"/>
    </row>
    <row r="12" s="3" customFormat="1" spans="2:17">
      <c r="F12" s="3" t="s">
        <v>25</v>
      </c>
      <c r="G12" s="11">
        <f>G11/H4*H3</f>
        <v>757.742010599689</v>
      </c>
      <c r="H12" s="3" t="s">
        <v>17</v>
      </c>
    </row>
    <row r="13" s="3" customFormat="1" spans="2:17">
      <c r="F13" s="3" t="s">
        <v>26</v>
      </c>
      <c r="G13" s="11">
        <f>G11/H5*H3</f>
        <v>85.1395517527741</v>
      </c>
      <c r="H13" s="3" t="s">
        <v>17</v>
      </c>
      <c r="J13" s="3" t="s">
        <v>27</v>
      </c>
    </row>
    <row r="15" s="3" customFormat="1" spans="2:17">
      <c r="F15" s="3" t="s">
        <v>28</v>
      </c>
      <c r="G15" s="3" t="s">
        <v>29</v>
      </c>
      <c r="H15" s="3" t="s">
        <v>30</v>
      </c>
      <c r="J15" s="3" t="s">
        <v>28</v>
      </c>
      <c r="K15" s="3" t="s">
        <v>29</v>
      </c>
      <c r="L15" s="3" t="s">
        <v>30</v>
      </c>
    </row>
    <row r="16" s="3" customFormat="1" spans="2:17">
      <c r="F16" s="3">
        <f t="array" ref="F16:F85">_xlfn.SEQUENCE(G9,1,1,1)</f>
        <v>1</v>
      </c>
      <c r="G16" s="3">
        <f>$H$3</f>
        <v>0.01</v>
      </c>
      <c r="H16" s="3">
        <f>1-G16</f>
        <v>0.99</v>
      </c>
      <c r="J16" s="3">
        <v>1</v>
      </c>
      <c r="K16" s="3">
        <f>H3+H4</f>
        <v>0.11</v>
      </c>
      <c r="L16" s="3">
        <f>1-K16</f>
        <v>0.89</v>
      </c>
    </row>
    <row r="17" s="3" customFormat="1" spans="6:15">
      <c r="F17" s="3">
        <v>2</v>
      </c>
      <c r="G17" s="3">
        <f t="shared" ref="G17:G80" si="0">$H$3*H16</f>
        <v>0.0099</v>
      </c>
      <c r="H17" s="3">
        <f t="shared" ref="H17:H80" si="1">POWER(1-$H$3,F17)</f>
        <v>0.9801</v>
      </c>
      <c r="J17" s="3">
        <v>2</v>
      </c>
      <c r="K17" s="3">
        <f t="shared" ref="K17:K24" si="2">$K$16*L16</f>
        <v>0.0979</v>
      </c>
      <c r="L17" s="3">
        <f t="shared" ref="L17:L24" si="3">POWER(1-K$16,J17)</f>
        <v>0.7921</v>
      </c>
    </row>
    <row r="18" s="3" customFormat="1" spans="6:15">
      <c r="F18" s="3">
        <v>3</v>
      </c>
      <c r="G18" s="3">
        <f t="shared" si="0"/>
        <v>0.009801</v>
      </c>
      <c r="H18" s="3">
        <f t="shared" si="1"/>
        <v>0.970299</v>
      </c>
      <c r="J18" s="3">
        <v>3</v>
      </c>
      <c r="K18" s="3">
        <f t="shared" si="2"/>
        <v>0.087131</v>
      </c>
      <c r="L18" s="3">
        <f t="shared" si="3"/>
        <v>0.704969</v>
      </c>
    </row>
    <row r="19" s="3" customFormat="1" spans="6:15">
      <c r="F19" s="3">
        <v>4</v>
      </c>
      <c r="G19" s="3">
        <f t="shared" si="0"/>
        <v>0.00970299</v>
      </c>
      <c r="H19" s="3">
        <f t="shared" si="1"/>
        <v>0.96059601</v>
      </c>
      <c r="J19" s="3">
        <v>4</v>
      </c>
      <c r="K19" s="3">
        <f t="shared" si="2"/>
        <v>0.07754659</v>
      </c>
      <c r="L19" s="3">
        <f t="shared" si="3"/>
        <v>0.62742241</v>
      </c>
    </row>
    <row r="20" s="3" customFormat="1" spans="6:15">
      <c r="F20" s="3">
        <v>5</v>
      </c>
      <c r="G20" s="3">
        <f t="shared" si="0"/>
        <v>0.0096059601</v>
      </c>
      <c r="H20" s="3">
        <f t="shared" si="1"/>
        <v>0.9509900499</v>
      </c>
      <c r="J20" s="3">
        <v>5</v>
      </c>
      <c r="K20" s="3">
        <f t="shared" si="2"/>
        <v>0.0690164651</v>
      </c>
      <c r="L20" s="3">
        <f t="shared" si="3"/>
        <v>0.5584059449</v>
      </c>
    </row>
    <row r="21" s="3" customFormat="1" spans="6:15">
      <c r="F21" s="3">
        <v>6</v>
      </c>
      <c r="G21" s="3">
        <f t="shared" si="0"/>
        <v>0.009509900499</v>
      </c>
      <c r="H21" s="3">
        <f t="shared" si="1"/>
        <v>0.941480149401</v>
      </c>
      <c r="J21" s="3">
        <v>6</v>
      </c>
      <c r="K21" s="3">
        <f t="shared" si="2"/>
        <v>0.061424653939</v>
      </c>
      <c r="L21" s="3">
        <f t="shared" si="3"/>
        <v>0.496981290961</v>
      </c>
    </row>
    <row r="22" s="3" customFormat="1" spans="6:15">
      <c r="F22" s="3">
        <v>7</v>
      </c>
      <c r="G22" s="3">
        <f t="shared" si="0"/>
        <v>0.00941480149401</v>
      </c>
      <c r="H22" s="3">
        <f t="shared" si="1"/>
        <v>0.93206534790699</v>
      </c>
      <c r="J22" s="3">
        <v>7</v>
      </c>
      <c r="K22" s="3">
        <f t="shared" si="2"/>
        <v>0.05466794200571</v>
      </c>
      <c r="L22" s="3">
        <f t="shared" si="3"/>
        <v>0.44231334895529</v>
      </c>
      <c r="N22" s="16" t="s">
        <v>31</v>
      </c>
      <c r="O22" s="11"/>
    </row>
    <row r="23" s="3" customFormat="1" spans="6:15">
      <c r="F23" s="3">
        <v>8</v>
      </c>
      <c r="G23" s="3">
        <f t="shared" si="0"/>
        <v>0.0093206534790699</v>
      </c>
      <c r="H23" s="3">
        <f t="shared" si="1"/>
        <v>0.92274469442792</v>
      </c>
      <c r="J23" s="3">
        <v>8</v>
      </c>
      <c r="K23" s="3">
        <f t="shared" si="2"/>
        <v>0.0486544683850819</v>
      </c>
      <c r="L23" s="3">
        <f t="shared" si="3"/>
        <v>0.393658880570208</v>
      </c>
      <c r="M23" s="17"/>
      <c r="N23" s="17" t="s">
        <v>32</v>
      </c>
    </row>
    <row r="24" s="3" customFormat="1" spans="6:15">
      <c r="F24" s="3">
        <v>9</v>
      </c>
      <c r="G24" s="3">
        <f t="shared" si="0"/>
        <v>0.0092274469442792</v>
      </c>
      <c r="H24" s="3">
        <f t="shared" si="1"/>
        <v>0.913517247483641</v>
      </c>
      <c r="J24" s="3">
        <v>9</v>
      </c>
      <c r="K24" s="3">
        <f t="shared" si="2"/>
        <v>0.0433024768627229</v>
      </c>
      <c r="L24" s="3">
        <f t="shared" si="3"/>
        <v>0.350356403707485</v>
      </c>
      <c r="N24" s="17"/>
    </row>
    <row r="25" s="3" customFormat="1" spans="6:15">
      <c r="F25" s="3">
        <v>10</v>
      </c>
      <c r="G25" s="3">
        <f t="shared" si="0"/>
        <v>0.00913517247483641</v>
      </c>
      <c r="H25" s="3">
        <f t="shared" si="1"/>
        <v>0.904382075008804</v>
      </c>
      <c r="J25" s="3">
        <v>10</v>
      </c>
      <c r="K25" s="3">
        <f>1-SUM(K16:K24)</f>
        <v>0.350356403707485</v>
      </c>
      <c r="M25" s="17"/>
      <c r="N25" s="17" t="s">
        <v>33</v>
      </c>
    </row>
    <row r="26" s="3" customFormat="1" spans="6:15">
      <c r="F26" s="3">
        <v>11</v>
      </c>
      <c r="G26" s="3">
        <f t="shared" si="0"/>
        <v>0.00904382075008804</v>
      </c>
      <c r="H26" s="3">
        <f t="shared" si="1"/>
        <v>0.895338254258716</v>
      </c>
    </row>
    <row r="27" s="3" customFormat="1" spans="6:15">
      <c r="F27" s="3">
        <v>12</v>
      </c>
      <c r="G27" s="3">
        <f t="shared" si="0"/>
        <v>0.00895338254258716</v>
      </c>
      <c r="H27" s="3">
        <f t="shared" si="1"/>
        <v>0.886384871716129</v>
      </c>
      <c r="K27" s="3">
        <f t="array" ref="K27">SUMPRODUCT(J16:J25,K16:K25)</f>
        <v>6.25620727909398</v>
      </c>
    </row>
    <row r="28" s="3" customFormat="1" spans="6:15">
      <c r="F28" s="3">
        <v>13</v>
      </c>
      <c r="G28" s="3">
        <f t="shared" si="0"/>
        <v>0.00886384871716129</v>
      </c>
      <c r="H28" s="3">
        <f t="shared" si="1"/>
        <v>0.877521022998968</v>
      </c>
      <c r="K28" s="3">
        <f>1/K27</f>
        <v>0.159841251318773</v>
      </c>
    </row>
    <row r="29" s="3" customFormat="1" spans="6:15">
      <c r="F29" s="3">
        <v>14</v>
      </c>
      <c r="G29" s="3">
        <f t="shared" si="0"/>
        <v>0.00877521022998968</v>
      </c>
      <c r="H29" s="3">
        <f t="shared" si="1"/>
        <v>0.868745812768978</v>
      </c>
    </row>
    <row r="30" s="3" customFormat="1" spans="6:15">
      <c r="F30" s="3">
        <v>15</v>
      </c>
      <c r="G30" s="3">
        <f t="shared" si="0"/>
        <v>0.00868745812768978</v>
      </c>
      <c r="H30" s="3">
        <f t="shared" si="1"/>
        <v>0.860058354641288</v>
      </c>
    </row>
    <row r="31" s="3" customFormat="1" spans="6:15">
      <c r="F31" s="3">
        <v>16</v>
      </c>
      <c r="G31" s="3">
        <f t="shared" si="0"/>
        <v>0.00860058354641288</v>
      </c>
      <c r="H31" s="3">
        <f t="shared" si="1"/>
        <v>0.851457771094876</v>
      </c>
    </row>
    <row r="32" s="3" customFormat="1" spans="6:15">
      <c r="F32" s="3">
        <v>17</v>
      </c>
      <c r="G32" s="3">
        <f t="shared" si="0"/>
        <v>0.00851457771094876</v>
      </c>
      <c r="H32" s="3">
        <f t="shared" si="1"/>
        <v>0.842943193383927</v>
      </c>
    </row>
    <row r="33" s="3" customFormat="1" spans="6:8">
      <c r="F33" s="3">
        <v>18</v>
      </c>
      <c r="G33" s="3">
        <f t="shared" si="0"/>
        <v>0.00842943193383927</v>
      </c>
      <c r="H33" s="3">
        <f t="shared" si="1"/>
        <v>0.834513761450087</v>
      </c>
    </row>
    <row r="34" s="3" customFormat="1" spans="6:8">
      <c r="F34" s="3">
        <v>19</v>
      </c>
      <c r="G34" s="3">
        <f t="shared" si="0"/>
        <v>0.00834513761450087</v>
      </c>
      <c r="H34" s="3">
        <f t="shared" si="1"/>
        <v>0.826168623835587</v>
      </c>
    </row>
    <row r="35" s="3" customFormat="1" spans="6:8">
      <c r="F35" s="3">
        <v>20</v>
      </c>
      <c r="G35" s="3">
        <f t="shared" si="0"/>
        <v>0.00826168623835587</v>
      </c>
      <c r="H35" s="3">
        <f t="shared" si="1"/>
        <v>0.817906937597231</v>
      </c>
    </row>
    <row r="36" s="3" customFormat="1" spans="6:8">
      <c r="F36" s="3">
        <v>21</v>
      </c>
      <c r="G36" s="3">
        <f t="shared" si="0"/>
        <v>0.00817906937597231</v>
      </c>
      <c r="H36" s="3">
        <f t="shared" si="1"/>
        <v>0.809727868221258</v>
      </c>
    </row>
    <row r="37" s="3" customFormat="1" spans="6:8">
      <c r="F37" s="3">
        <v>22</v>
      </c>
      <c r="G37" s="3">
        <f t="shared" si="0"/>
        <v>0.00809727868221258</v>
      </c>
      <c r="H37" s="3">
        <f t="shared" si="1"/>
        <v>0.801630589539046</v>
      </c>
    </row>
    <row r="38" s="3" customFormat="1" spans="6:8">
      <c r="F38" s="3">
        <v>23</v>
      </c>
      <c r="G38" s="3">
        <f t="shared" si="0"/>
        <v>0.00801630589539046</v>
      </c>
      <c r="H38" s="3">
        <f t="shared" si="1"/>
        <v>0.793614283643655</v>
      </c>
    </row>
    <row r="39" s="3" customFormat="1" spans="6:8">
      <c r="F39" s="3">
        <v>24</v>
      </c>
      <c r="G39" s="3">
        <f t="shared" si="0"/>
        <v>0.00793614283643655</v>
      </c>
      <c r="H39" s="3">
        <f t="shared" si="1"/>
        <v>0.785678140807219</v>
      </c>
    </row>
    <row r="40" s="3" customFormat="1" spans="6:8">
      <c r="F40" s="3">
        <v>25</v>
      </c>
      <c r="G40" s="3">
        <f t="shared" si="0"/>
        <v>0.00785678140807219</v>
      </c>
      <c r="H40" s="3">
        <f t="shared" si="1"/>
        <v>0.777821359399147</v>
      </c>
    </row>
    <row r="41" s="3" customFormat="1" spans="6:8">
      <c r="F41" s="3">
        <v>26</v>
      </c>
      <c r="G41" s="3">
        <f t="shared" si="0"/>
        <v>0.00777821359399147</v>
      </c>
      <c r="H41" s="3">
        <f t="shared" si="1"/>
        <v>0.770043145805155</v>
      </c>
    </row>
    <row r="42" s="3" customFormat="1" spans="6:8">
      <c r="F42" s="3">
        <v>27</v>
      </c>
      <c r="G42" s="3">
        <f t="shared" si="0"/>
        <v>0.00770043145805155</v>
      </c>
      <c r="H42" s="3">
        <f t="shared" si="1"/>
        <v>0.762342714347104</v>
      </c>
    </row>
    <row r="43" s="3" customFormat="1" spans="6:8">
      <c r="F43" s="3">
        <v>28</v>
      </c>
      <c r="G43" s="3">
        <f t="shared" si="0"/>
        <v>0.00762342714347104</v>
      </c>
      <c r="H43" s="3">
        <f t="shared" si="1"/>
        <v>0.754719287203633</v>
      </c>
    </row>
    <row r="44" s="3" customFormat="1" spans="6:8">
      <c r="F44" s="3">
        <v>29</v>
      </c>
      <c r="G44" s="3">
        <f t="shared" si="0"/>
        <v>0.00754719287203633</v>
      </c>
      <c r="H44" s="3">
        <f t="shared" si="1"/>
        <v>0.747172094331596</v>
      </c>
    </row>
    <row r="45" s="3" customFormat="1" spans="6:8">
      <c r="F45" s="3">
        <v>30</v>
      </c>
      <c r="G45" s="3">
        <f t="shared" si="0"/>
        <v>0.00747172094331596</v>
      </c>
      <c r="H45" s="3">
        <f t="shared" si="1"/>
        <v>0.73970037338828</v>
      </c>
    </row>
    <row r="46" s="3" customFormat="1" spans="6:8">
      <c r="F46" s="3">
        <v>31</v>
      </c>
      <c r="G46" s="3">
        <f t="shared" si="0"/>
        <v>0.0073970037338828</v>
      </c>
      <c r="H46" s="3">
        <f t="shared" si="1"/>
        <v>0.732303369654397</v>
      </c>
    </row>
    <row r="47" s="3" customFormat="1" spans="6:8">
      <c r="F47" s="3">
        <v>32</v>
      </c>
      <c r="G47" s="3">
        <f t="shared" si="0"/>
        <v>0.00732303369654397</v>
      </c>
      <c r="H47" s="3">
        <f t="shared" si="1"/>
        <v>0.724980335957853</v>
      </c>
    </row>
    <row r="48" s="3" customFormat="1" spans="6:8">
      <c r="F48" s="3">
        <v>33</v>
      </c>
      <c r="G48" s="3">
        <f t="shared" si="0"/>
        <v>0.00724980335957853</v>
      </c>
      <c r="H48" s="3">
        <f t="shared" si="1"/>
        <v>0.717730532598275</v>
      </c>
    </row>
    <row r="49" s="3" customFormat="1" spans="6:8">
      <c r="F49" s="3">
        <v>34</v>
      </c>
      <c r="G49" s="3">
        <f t="shared" si="0"/>
        <v>0.00717730532598275</v>
      </c>
      <c r="H49" s="3">
        <f t="shared" si="1"/>
        <v>0.710553227272292</v>
      </c>
    </row>
    <row r="50" s="3" customFormat="1" spans="6:8">
      <c r="F50" s="3">
        <v>35</v>
      </c>
      <c r="G50" s="3">
        <f t="shared" si="0"/>
        <v>0.00710553227272292</v>
      </c>
      <c r="H50" s="3">
        <f t="shared" si="1"/>
        <v>0.703447694999569</v>
      </c>
    </row>
    <row r="51" s="3" customFormat="1" spans="6:8">
      <c r="F51" s="3">
        <v>36</v>
      </c>
      <c r="G51" s="3">
        <f t="shared" si="0"/>
        <v>0.00703447694999569</v>
      </c>
      <c r="H51" s="3">
        <f t="shared" si="1"/>
        <v>0.696413218049573</v>
      </c>
    </row>
    <row r="52" s="3" customFormat="1" spans="6:8">
      <c r="F52" s="3">
        <v>37</v>
      </c>
      <c r="G52" s="3">
        <f t="shared" si="0"/>
        <v>0.00696413218049573</v>
      </c>
      <c r="H52" s="3">
        <f t="shared" si="1"/>
        <v>0.689449085869078</v>
      </c>
    </row>
    <row r="53" s="3" customFormat="1" spans="6:8">
      <c r="F53" s="3">
        <v>38</v>
      </c>
      <c r="G53" s="3">
        <f t="shared" si="0"/>
        <v>0.00689449085869078</v>
      </c>
      <c r="H53" s="3">
        <f t="shared" si="1"/>
        <v>0.682554595010387</v>
      </c>
    </row>
    <row r="54" s="3" customFormat="1" spans="6:8">
      <c r="F54" s="3">
        <v>39</v>
      </c>
      <c r="G54" s="3">
        <f t="shared" si="0"/>
        <v>0.00682554595010387</v>
      </c>
      <c r="H54" s="3">
        <f t="shared" si="1"/>
        <v>0.675729049060283</v>
      </c>
    </row>
    <row r="55" s="3" customFormat="1" spans="6:8">
      <c r="F55" s="3">
        <v>40</v>
      </c>
      <c r="G55" s="3">
        <f t="shared" si="0"/>
        <v>0.00675729049060283</v>
      </c>
      <c r="H55" s="3">
        <f t="shared" si="1"/>
        <v>0.66897175856968</v>
      </c>
    </row>
    <row r="56" s="3" customFormat="1" spans="6:8">
      <c r="F56" s="3">
        <v>41</v>
      </c>
      <c r="G56" s="3">
        <f t="shared" si="0"/>
        <v>0.0066897175856968</v>
      </c>
      <c r="H56" s="3">
        <f t="shared" si="1"/>
        <v>0.662282040983983</v>
      </c>
    </row>
    <row r="57" s="3" customFormat="1" spans="6:8">
      <c r="F57" s="3">
        <v>42</v>
      </c>
      <c r="G57" s="3">
        <f t="shared" si="0"/>
        <v>0.00662282040983983</v>
      </c>
      <c r="H57" s="3">
        <f t="shared" si="1"/>
        <v>0.655659220574144</v>
      </c>
    </row>
    <row r="58" s="3" customFormat="1" spans="6:8">
      <c r="F58" s="3">
        <v>43</v>
      </c>
      <c r="G58" s="3">
        <f t="shared" si="0"/>
        <v>0.00655659220574144</v>
      </c>
      <c r="H58" s="3">
        <f t="shared" si="1"/>
        <v>0.649102628368402</v>
      </c>
    </row>
    <row r="59" s="3" customFormat="1" spans="6:8">
      <c r="F59" s="3">
        <v>44</v>
      </c>
      <c r="G59" s="3">
        <f t="shared" si="0"/>
        <v>0.00649102628368402</v>
      </c>
      <c r="H59" s="3">
        <f t="shared" si="1"/>
        <v>0.642611602084718</v>
      </c>
    </row>
    <row r="60" s="3" customFormat="1" spans="6:8">
      <c r="F60" s="3">
        <v>45</v>
      </c>
      <c r="G60" s="3">
        <f t="shared" si="0"/>
        <v>0.00642611602084718</v>
      </c>
      <c r="H60" s="3">
        <f t="shared" si="1"/>
        <v>0.636185486063871</v>
      </c>
    </row>
    <row r="61" s="3" customFormat="1" spans="6:8">
      <c r="F61" s="3">
        <v>46</v>
      </c>
      <c r="G61" s="3">
        <f t="shared" si="0"/>
        <v>0.00636185486063871</v>
      </c>
      <c r="H61" s="3">
        <f t="shared" si="1"/>
        <v>0.629823631203232</v>
      </c>
    </row>
    <row r="62" s="3" customFormat="1" spans="6:8">
      <c r="F62" s="3">
        <v>47</v>
      </c>
      <c r="G62" s="3">
        <f t="shared" si="0"/>
        <v>0.00629823631203232</v>
      </c>
      <c r="H62" s="3">
        <f t="shared" si="1"/>
        <v>0.6235253948912</v>
      </c>
    </row>
    <row r="63" s="3" customFormat="1" spans="6:8">
      <c r="F63" s="3">
        <v>48</v>
      </c>
      <c r="G63" s="3">
        <f t="shared" si="0"/>
        <v>0.006235253948912</v>
      </c>
      <c r="H63" s="3">
        <f t="shared" si="1"/>
        <v>0.617290140942288</v>
      </c>
    </row>
    <row r="64" s="3" customFormat="1" spans="6:8">
      <c r="F64" s="3">
        <v>49</v>
      </c>
      <c r="G64" s="3">
        <f t="shared" si="0"/>
        <v>0.00617290140942288</v>
      </c>
      <c r="H64" s="3">
        <f t="shared" si="1"/>
        <v>0.611117239532865</v>
      </c>
    </row>
    <row r="65" s="3" customFormat="1" spans="6:8">
      <c r="F65" s="3">
        <v>50</v>
      </c>
      <c r="G65" s="3">
        <f t="shared" si="0"/>
        <v>0.00611117239532865</v>
      </c>
      <c r="H65" s="3">
        <f t="shared" si="1"/>
        <v>0.605006067137536</v>
      </c>
    </row>
    <row r="66" s="3" customFormat="1" spans="6:8">
      <c r="F66" s="3">
        <v>51</v>
      </c>
      <c r="G66" s="3">
        <f t="shared" si="0"/>
        <v>0.00605006067137536</v>
      </c>
      <c r="H66" s="3">
        <f t="shared" si="1"/>
        <v>0.598956006466161</v>
      </c>
    </row>
    <row r="67" s="3" customFormat="1" spans="6:8">
      <c r="F67" s="3">
        <v>52</v>
      </c>
      <c r="G67" s="3">
        <f t="shared" si="0"/>
        <v>0.00598956006466161</v>
      </c>
      <c r="H67" s="3">
        <f t="shared" si="1"/>
        <v>0.592966446401499</v>
      </c>
    </row>
    <row r="68" s="3" customFormat="1" spans="6:8">
      <c r="F68" s="3">
        <v>53</v>
      </c>
      <c r="G68" s="3">
        <f t="shared" si="0"/>
        <v>0.00592966446401499</v>
      </c>
      <c r="H68" s="3">
        <f t="shared" si="1"/>
        <v>0.587036781937484</v>
      </c>
    </row>
    <row r="69" s="3" customFormat="1" spans="6:8">
      <c r="F69" s="3">
        <v>54</v>
      </c>
      <c r="G69" s="3">
        <f t="shared" si="0"/>
        <v>0.00587036781937484</v>
      </c>
      <c r="H69" s="3">
        <f t="shared" si="1"/>
        <v>0.58116641411811</v>
      </c>
    </row>
    <row r="70" s="3" customFormat="1" spans="6:8">
      <c r="F70" s="3">
        <v>55</v>
      </c>
      <c r="G70" s="3">
        <f t="shared" si="0"/>
        <v>0.0058116641411811</v>
      </c>
      <c r="H70" s="3">
        <f t="shared" si="1"/>
        <v>0.575354749976928</v>
      </c>
    </row>
    <row r="71" s="3" customFormat="1" spans="6:8">
      <c r="F71" s="3">
        <v>56</v>
      </c>
      <c r="G71" s="3">
        <f t="shared" si="0"/>
        <v>0.00575354749976929</v>
      </c>
      <c r="H71" s="3">
        <f t="shared" si="1"/>
        <v>0.569601202477159</v>
      </c>
    </row>
    <row r="72" s="3" customFormat="1" spans="6:8">
      <c r="F72" s="3">
        <v>57</v>
      </c>
      <c r="G72" s="3">
        <f t="shared" si="0"/>
        <v>0.00569601202477159</v>
      </c>
      <c r="H72" s="3">
        <f t="shared" si="1"/>
        <v>0.563905190452388</v>
      </c>
    </row>
    <row r="73" s="3" customFormat="1" spans="6:8">
      <c r="F73" s="3">
        <v>58</v>
      </c>
      <c r="G73" s="3">
        <f t="shared" si="0"/>
        <v>0.00563905190452388</v>
      </c>
      <c r="H73" s="3">
        <f t="shared" si="1"/>
        <v>0.558266138547864</v>
      </c>
    </row>
    <row r="74" s="3" customFormat="1" spans="6:8">
      <c r="F74" s="3">
        <v>59</v>
      </c>
      <c r="G74" s="3">
        <f t="shared" si="0"/>
        <v>0.00558266138547864</v>
      </c>
      <c r="H74" s="3">
        <f t="shared" si="1"/>
        <v>0.552683477162385</v>
      </c>
    </row>
    <row r="75" s="3" customFormat="1" spans="6:8">
      <c r="F75" s="3">
        <v>60</v>
      </c>
      <c r="G75" s="3">
        <f t="shared" si="0"/>
        <v>0.00552683477162385</v>
      </c>
      <c r="H75" s="3">
        <f t="shared" si="1"/>
        <v>0.547156642390761</v>
      </c>
    </row>
    <row r="76" s="3" customFormat="1" spans="6:8">
      <c r="F76" s="3">
        <v>61</v>
      </c>
      <c r="G76" s="3">
        <f t="shared" si="0"/>
        <v>0.00547156642390761</v>
      </c>
      <c r="H76" s="3">
        <f t="shared" si="1"/>
        <v>0.541685075966854</v>
      </c>
    </row>
    <row r="77" s="3" customFormat="1" spans="6:8">
      <c r="F77" s="3">
        <v>62</v>
      </c>
      <c r="G77" s="3">
        <f t="shared" si="0"/>
        <v>0.00541685075966854</v>
      </c>
      <c r="H77" s="3">
        <f t="shared" si="1"/>
        <v>0.536268225207185</v>
      </c>
    </row>
    <row r="78" s="3" customFormat="1" spans="6:8">
      <c r="F78" s="3">
        <v>63</v>
      </c>
      <c r="G78" s="3">
        <f t="shared" si="0"/>
        <v>0.00536268225207185</v>
      </c>
      <c r="H78" s="3">
        <f t="shared" si="1"/>
        <v>0.530905542955113</v>
      </c>
    </row>
    <row r="79" s="3" customFormat="1" spans="6:8">
      <c r="F79" s="3">
        <v>64</v>
      </c>
      <c r="G79" s="3">
        <f t="shared" si="0"/>
        <v>0.00530905542955113</v>
      </c>
      <c r="H79" s="3">
        <f t="shared" si="1"/>
        <v>0.525596487525562</v>
      </c>
    </row>
    <row r="80" s="3" customFormat="1" spans="6:8">
      <c r="F80" s="3">
        <v>65</v>
      </c>
      <c r="G80" s="3">
        <f t="shared" si="0"/>
        <v>0.00525596487525562</v>
      </c>
      <c r="H80" s="3">
        <f t="shared" si="1"/>
        <v>0.520340522650306</v>
      </c>
    </row>
    <row r="81" s="3" customFormat="1" spans="6:8">
      <c r="F81" s="3">
        <v>66</v>
      </c>
      <c r="G81" s="3">
        <f t="shared" ref="G81:G84" si="4">$H$3*H80</f>
        <v>0.00520340522650306</v>
      </c>
      <c r="H81" s="3">
        <f t="shared" ref="H81:H85" si="5">POWER(1-$H$3,F81)</f>
        <v>0.515137117423803</v>
      </c>
    </row>
    <row r="82" s="3" customFormat="1" spans="6:8">
      <c r="F82" s="3">
        <v>67</v>
      </c>
      <c r="G82" s="3">
        <f t="shared" si="4"/>
        <v>0.00515137117423803</v>
      </c>
      <c r="H82" s="3">
        <f t="shared" si="5"/>
        <v>0.509985746249565</v>
      </c>
    </row>
    <row r="83" s="3" customFormat="1" spans="6:8">
      <c r="F83" s="3">
        <v>68</v>
      </c>
      <c r="G83" s="3">
        <f t="shared" si="4"/>
        <v>0.00509985746249565</v>
      </c>
      <c r="H83" s="3">
        <f t="shared" si="5"/>
        <v>0.50488588878707</v>
      </c>
    </row>
    <row r="84" s="3" customFormat="1" spans="6:8">
      <c r="F84" s="3">
        <v>69</v>
      </c>
      <c r="G84" s="3">
        <f t="shared" si="4"/>
        <v>0.0050488588878707</v>
      </c>
      <c r="H84" s="3">
        <f t="shared" si="5"/>
        <v>0.499837029899199</v>
      </c>
    </row>
    <row r="85" s="3" customFormat="1" spans="6:8">
      <c r="F85" s="3">
        <v>70</v>
      </c>
      <c r="G85" s="3">
        <f>1-SUM(G16:G84)</f>
        <v>0.499837029899199</v>
      </c>
      <c r="H85" s="3">
        <f t="shared" si="5"/>
        <v>0.494838659600207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76"/>
  <sheetViews>
    <sheetView tabSelected="1" workbookViewId="0">
      <selection activeCell="G14" sqref="G14"/>
    </sheetView>
  </sheetViews>
  <sheetFormatPr defaultColWidth="9" defaultRowHeight="13.5"/>
  <cols>
    <col min="2" max="2" width="12.625" style="1" customWidth="1"/>
    <col min="5" max="5" width="14.125" style="1" customWidth="1"/>
    <col min="6" max="6" width="12.375" style="1" customWidth="1"/>
    <col min="7" max="8" width="14.125" style="1" customWidth="1"/>
    <col min="10" max="10" width="14.125" style="1" customWidth="1"/>
    <col min="11" max="14" width="18.5" style="1" customWidth="1"/>
  </cols>
  <sheetData>
    <row r="2" customFormat="1" ht="16.5" customHeight="1" spans="2:14">
      <c r="B2" s="1"/>
      <c r="D2" s="2" t="s">
        <v>0</v>
      </c>
      <c r="E2" s="2" t="s">
        <v>1</v>
      </c>
      <c r="F2" s="3"/>
      <c r="G2" s="3" t="s">
        <v>2</v>
      </c>
      <c r="H2" s="3" t="s">
        <v>3</v>
      </c>
      <c r="J2" s="3" t="s">
        <v>4</v>
      </c>
      <c r="K2" s="3" t="s">
        <v>5</v>
      </c>
      <c r="L2" s="4" t="s">
        <v>6</v>
      </c>
      <c r="M2" s="1"/>
      <c r="N2" s="1"/>
    </row>
    <row r="3" customFormat="1" ht="16.5" customHeight="1" spans="2:14">
      <c r="B3" s="5" t="s">
        <v>9</v>
      </c>
      <c r="C3" s="5" t="s">
        <v>10</v>
      </c>
      <c r="D3" s="6">
        <v>0.02</v>
      </c>
      <c r="E3" s="6">
        <f>1/C13</f>
        <v>0.0284719047311989</v>
      </c>
      <c r="F3" s="7" t="s">
        <v>11</v>
      </c>
      <c r="G3" s="8">
        <v>2</v>
      </c>
      <c r="H3" s="8">
        <v>6</v>
      </c>
      <c r="J3" s="3">
        <f>E3*[1]道具定价!$F$15*H3</f>
        <v>2.5624714258079</v>
      </c>
      <c r="K3" s="9">
        <f>H3*E3</f>
        <v>0.170831428387193</v>
      </c>
      <c r="L3" s="9">
        <f>H3*E3</f>
        <v>0.170831428387193</v>
      </c>
      <c r="M3" s="1"/>
      <c r="N3" s="1"/>
    </row>
    <row r="4" customFormat="1" ht="16.5" customHeight="1" spans="2:14">
      <c r="B4" s="5"/>
      <c r="C4" s="5" t="s">
        <v>12</v>
      </c>
      <c r="D4" s="6">
        <v>0.13</v>
      </c>
      <c r="E4" s="6">
        <f>G38*D4/(D3+D4)</f>
        <v>0.161867584226704</v>
      </c>
      <c r="F4" s="7" t="s">
        <v>11</v>
      </c>
      <c r="G4" s="8">
        <v>1</v>
      </c>
      <c r="H4" s="8">
        <v>2</v>
      </c>
      <c r="J4" s="3">
        <f>E4*[1]道具定价!$F$16*H4</f>
        <v>0.485602752680112</v>
      </c>
      <c r="K4" s="9">
        <f>E4*H4</f>
        <v>0.323735168453408</v>
      </c>
      <c r="L4" s="9">
        <f>H4*E4</f>
        <v>0.323735168453408</v>
      </c>
      <c r="M4" s="1"/>
      <c r="N4" s="1"/>
    </row>
    <row r="5" customFormat="1" ht="16.5" customHeight="1" spans="2:14">
      <c r="B5" s="5"/>
      <c r="C5" s="5" t="s">
        <v>13</v>
      </c>
      <c r="D5" s="6">
        <f>1-D4-D3</f>
        <v>0.85</v>
      </c>
      <c r="E5" s="6">
        <f>1-E3-E4</f>
        <v>0.809660511042097</v>
      </c>
      <c r="F5" s="7" t="s">
        <v>14</v>
      </c>
      <c r="G5" s="8">
        <v>1</v>
      </c>
      <c r="H5" s="8">
        <v>4</v>
      </c>
      <c r="J5" s="3">
        <f>E5*[1]道具定价!$F$17*H5</f>
        <v>3.23864204416839</v>
      </c>
      <c r="K5" s="9">
        <f>E5*H5</f>
        <v>3.23864204416839</v>
      </c>
      <c r="L5" s="9">
        <f>H5*E5</f>
        <v>3.23864204416839</v>
      </c>
      <c r="M5" s="1"/>
      <c r="N5" s="1"/>
    </row>
    <row r="6" customFormat="1" ht="16.5" customHeight="1" spans="2:14">
      <c r="B6" s="3"/>
      <c r="C6" s="3"/>
      <c r="D6" s="3"/>
      <c r="E6" s="3"/>
      <c r="F6" s="3"/>
      <c r="G6" s="3"/>
      <c r="H6" s="3"/>
      <c r="J6" s="3">
        <f>SUM(J3:J5)</f>
        <v>6.2867162226564</v>
      </c>
      <c r="K6" s="3"/>
      <c r="L6" s="3"/>
      <c r="M6" s="1"/>
      <c r="N6" s="1"/>
    </row>
    <row r="7" customFormat="1" ht="16.5" customHeight="1" spans="2:14">
      <c r="B7" s="3"/>
      <c r="C7" s="3"/>
      <c r="D7" s="3"/>
      <c r="E7" s="3"/>
      <c r="F7" s="3"/>
      <c r="G7" s="3"/>
      <c r="H7" s="3"/>
      <c r="J7" s="1"/>
      <c r="K7" s="1"/>
      <c r="L7" s="1"/>
      <c r="M7" s="1"/>
      <c r="N7" s="1"/>
    </row>
    <row r="8" customFormat="1" ht="16.5" customHeight="1" spans="2:14">
      <c r="B8" s="3"/>
      <c r="C8" s="3"/>
      <c r="D8" s="3"/>
      <c r="E8" s="3"/>
      <c r="F8" s="3"/>
      <c r="G8" s="3"/>
      <c r="H8" s="3"/>
      <c r="J8" s="10" t="s">
        <v>18</v>
      </c>
      <c r="K8" s="3" t="s">
        <v>19</v>
      </c>
      <c r="L8" s="3" t="s">
        <v>20</v>
      </c>
      <c r="M8" s="3" t="s">
        <v>21</v>
      </c>
      <c r="N8" s="1"/>
    </row>
    <row r="9" customFormat="1" ht="16.5" customHeight="1" spans="2:14">
      <c r="B9" s="3"/>
      <c r="C9" s="3"/>
      <c r="D9" s="3"/>
      <c r="E9" s="3"/>
      <c r="F9" s="3"/>
      <c r="G9" s="3"/>
      <c r="H9" s="3"/>
      <c r="J9" s="7" t="s">
        <v>11</v>
      </c>
      <c r="K9" s="9">
        <f>K4</f>
        <v>0.323735168453408</v>
      </c>
      <c r="L9" s="9">
        <f>L4+K3</f>
        <v>0.494566596840602</v>
      </c>
      <c r="M9" s="9">
        <f>L4+L3</f>
        <v>0.494566596840602</v>
      </c>
      <c r="N9" s="1"/>
    </row>
    <row r="10" customFormat="1" ht="16.5" customHeight="1" spans="2:14">
      <c r="B10" s="3"/>
      <c r="C10" s="3"/>
      <c r="D10" s="3"/>
      <c r="E10" s="3"/>
      <c r="F10" s="3"/>
      <c r="G10" s="3"/>
      <c r="H10" s="3"/>
      <c r="J10" s="7" t="s">
        <v>14</v>
      </c>
      <c r="K10" s="9">
        <f>L5</f>
        <v>3.23864204416839</v>
      </c>
      <c r="L10" s="9">
        <f>L5</f>
        <v>3.23864204416839</v>
      </c>
      <c r="M10" s="9">
        <f>L5</f>
        <v>3.23864204416839</v>
      </c>
      <c r="N10" s="1"/>
    </row>
    <row r="11" customFormat="1" ht="16.5" customHeight="1" spans="2:14">
      <c r="B11" s="3" t="s">
        <v>16</v>
      </c>
      <c r="C11" s="3">
        <v>150</v>
      </c>
      <c r="D11" s="3" t="s">
        <v>17</v>
      </c>
      <c r="E11" s="3"/>
      <c r="F11" s="3"/>
      <c r="G11" s="3"/>
      <c r="H11" s="3"/>
      <c r="J11" s="1"/>
      <c r="K11" s="1"/>
      <c r="L11" s="1"/>
      <c r="M11" s="1"/>
      <c r="N11" s="1"/>
    </row>
    <row r="12" customFormat="1" ht="16.5" customHeight="1" spans="2:14">
      <c r="B12" s="3" t="s">
        <v>22</v>
      </c>
      <c r="C12" s="3">
        <v>60</v>
      </c>
      <c r="D12" s="3"/>
      <c r="E12" s="3"/>
      <c r="F12" s="3"/>
      <c r="G12" s="3"/>
      <c r="H12" s="3"/>
      <c r="J12" s="1"/>
      <c r="K12" s="1"/>
      <c r="L12" s="1"/>
      <c r="M12">
        <v>0.5</v>
      </c>
      <c r="N12">
        <v>0.2</v>
      </c>
    </row>
    <row r="13" customFormat="1" ht="16.5" customHeight="1" spans="2:14">
      <c r="B13" s="3" t="s">
        <v>23</v>
      </c>
      <c r="C13" s="11">
        <f t="array" ref="C13">SUMPRODUCT(_xlfn.ANCHORARRAY(B17),C17:C76)</f>
        <v>35.122342865394</v>
      </c>
      <c r="D13" s="3"/>
      <c r="E13" s="3"/>
      <c r="F13" s="3"/>
      <c r="G13" s="3"/>
      <c r="H13" s="3"/>
      <c r="J13" s="1"/>
      <c r="K13" s="1"/>
      <c r="L13" s="12" t="s">
        <v>10</v>
      </c>
      <c r="M13" s="13" t="s">
        <v>12</v>
      </c>
      <c r="N13" s="14" t="s">
        <v>13</v>
      </c>
    </row>
    <row r="14" customFormat="1" ht="16.5" customHeight="1" spans="2:14">
      <c r="B14" s="3" t="s">
        <v>34</v>
      </c>
      <c r="C14" s="11">
        <f>C11*C13</f>
        <v>5268.3514298091</v>
      </c>
      <c r="D14" s="3" t="s">
        <v>17</v>
      </c>
      <c r="E14" s="3"/>
      <c r="F14" s="3" t="s">
        <v>35</v>
      </c>
      <c r="G14" s="3">
        <f>C14/D4*D3</f>
        <v>810.515604586015</v>
      </c>
      <c r="H14" s="3" t="s">
        <v>17</v>
      </c>
      <c r="J14" s="5" t="s">
        <v>36</v>
      </c>
      <c r="K14" s="5" t="s">
        <v>37</v>
      </c>
      <c r="L14" s="5" t="s">
        <v>38</v>
      </c>
      <c r="M14" s="5" t="s">
        <v>38</v>
      </c>
      <c r="N14" s="5" t="s">
        <v>38</v>
      </c>
    </row>
    <row r="15" customFormat="1" ht="16.5" customHeight="1" spans="2:14">
      <c r="B15" s="3"/>
      <c r="C15" s="3"/>
      <c r="D15" s="3"/>
      <c r="E15" s="3"/>
      <c r="F15" s="3" t="s">
        <v>39</v>
      </c>
      <c r="G15" s="3">
        <f>C14/D5*D3</f>
        <v>123.961210113155</v>
      </c>
      <c r="H15" s="3" t="s">
        <v>17</v>
      </c>
      <c r="J15" s="5">
        <v>1</v>
      </c>
      <c r="K15" s="5">
        <v>1</v>
      </c>
      <c r="L15" s="15">
        <v>10000</v>
      </c>
      <c r="M15">
        <f t="shared" ref="M15:M18" si="0">L15*$M$12</f>
        <v>5000</v>
      </c>
      <c r="N15">
        <f t="shared" ref="N15:N18" si="1">$N$12*L15</f>
        <v>2000</v>
      </c>
    </row>
    <row r="16" customFormat="1" ht="16.5" customHeight="1" spans="2:14">
      <c r="B16" s="3" t="s">
        <v>28</v>
      </c>
      <c r="C16" s="3" t="s">
        <v>29</v>
      </c>
      <c r="D16" s="3" t="s">
        <v>30</v>
      </c>
      <c r="E16" s="3"/>
      <c r="F16" s="3"/>
      <c r="G16" s="3"/>
      <c r="H16" s="3"/>
      <c r="J16" s="5">
        <v>2</v>
      </c>
      <c r="K16" s="5">
        <v>1</v>
      </c>
      <c r="L16" s="15">
        <v>20000</v>
      </c>
      <c r="M16">
        <f t="shared" si="0"/>
        <v>10000</v>
      </c>
      <c r="N16">
        <f t="shared" si="1"/>
        <v>4000</v>
      </c>
    </row>
    <row r="17" customFormat="1" ht="16.5" customHeight="1" spans="2:14">
      <c r="B17" s="3">
        <f t="array" ref="B17:B76">_xlfn.SEQUENCE(C12,1,1,1)</f>
        <v>1</v>
      </c>
      <c r="C17" s="3">
        <f>$D$3</f>
        <v>0.02</v>
      </c>
      <c r="D17" s="3">
        <f>1-C17</f>
        <v>0.98</v>
      </c>
      <c r="E17" s="3"/>
      <c r="F17" s="3"/>
      <c r="G17" s="3"/>
      <c r="H17" s="3"/>
      <c r="J17" s="5">
        <v>3</v>
      </c>
      <c r="K17" s="5">
        <v>1</v>
      </c>
      <c r="L17" s="15">
        <v>50000</v>
      </c>
      <c r="M17">
        <f t="shared" si="0"/>
        <v>25000</v>
      </c>
      <c r="N17">
        <f t="shared" si="1"/>
        <v>10000</v>
      </c>
    </row>
    <row r="18" customFormat="1" ht="16.5" customHeight="1" spans="2:14">
      <c r="B18" s="3">
        <v>2</v>
      </c>
      <c r="C18" s="3">
        <f t="shared" ref="C18:C75" si="2">$D$3*D17</f>
        <v>0.0196</v>
      </c>
      <c r="D18" s="3">
        <f t="shared" ref="D18:D76" si="3">POWER(1-$D$3,B18)</f>
        <v>0.9604</v>
      </c>
      <c r="E18" s="3"/>
      <c r="F18" s="3"/>
      <c r="G18" s="3"/>
      <c r="H18" s="3"/>
      <c r="J18" s="5">
        <v>4</v>
      </c>
      <c r="K18" s="5">
        <v>1</v>
      </c>
      <c r="L18" s="15">
        <v>80000</v>
      </c>
      <c r="M18">
        <f t="shared" si="0"/>
        <v>40000</v>
      </c>
      <c r="N18">
        <f t="shared" si="1"/>
        <v>16000</v>
      </c>
    </row>
    <row r="19" customFormat="1" ht="16.5" customHeight="1" spans="2:14">
      <c r="B19" s="3">
        <v>3</v>
      </c>
      <c r="C19" s="3">
        <f t="shared" si="2"/>
        <v>0.019208</v>
      </c>
      <c r="D19" s="3">
        <f t="shared" si="3"/>
        <v>0.941192</v>
      </c>
      <c r="E19" s="3"/>
      <c r="F19" s="3"/>
      <c r="G19" s="3"/>
      <c r="H19" s="3"/>
      <c r="J19" s="5">
        <v>5</v>
      </c>
      <c r="K19" s="5">
        <v>0</v>
      </c>
      <c r="L19" s="1"/>
      <c r="M19" s="1"/>
      <c r="N19" s="1"/>
    </row>
    <row r="20" customFormat="1" ht="16.5" customHeight="1" spans="2:14">
      <c r="B20" s="3">
        <v>4</v>
      </c>
      <c r="C20" s="3">
        <f t="shared" si="2"/>
        <v>0.01882384</v>
      </c>
      <c r="D20" s="3">
        <f t="shared" si="3"/>
        <v>0.92236816</v>
      </c>
      <c r="E20" s="3"/>
      <c r="F20" s="3"/>
      <c r="G20" s="3"/>
      <c r="H20" s="3"/>
      <c r="J20" s="1"/>
      <c r="K20" s="1"/>
      <c r="L20" s="1"/>
      <c r="M20" s="1"/>
      <c r="N20" s="1"/>
    </row>
    <row r="21" customFormat="1" ht="16.5" customHeight="1" spans="2:14">
      <c r="B21" s="3">
        <v>5</v>
      </c>
      <c r="C21" s="3">
        <f t="shared" si="2"/>
        <v>0.0184473632</v>
      </c>
      <c r="D21" s="3">
        <f t="shared" si="3"/>
        <v>0.9039207968</v>
      </c>
      <c r="E21" s="3"/>
      <c r="F21" s="3"/>
      <c r="G21" s="3"/>
      <c r="H21" s="3"/>
      <c r="J21" s="1"/>
      <c r="K21" s="1"/>
      <c r="L21" s="1"/>
      <c r="M21" s="1"/>
      <c r="N21" s="1"/>
    </row>
    <row r="22" customFormat="1" ht="16.5" customHeight="1" spans="2:14">
      <c r="B22" s="3">
        <v>6</v>
      </c>
      <c r="C22" s="3">
        <f t="shared" si="2"/>
        <v>0.018078415936</v>
      </c>
      <c r="D22" s="3">
        <f t="shared" si="3"/>
        <v>0.885842380864</v>
      </c>
      <c r="E22" s="3"/>
      <c r="F22" s="3"/>
      <c r="G22" s="3"/>
      <c r="H22" s="3"/>
      <c r="J22" s="1"/>
      <c r="K22" s="1"/>
      <c r="L22" s="1"/>
      <c r="M22" s="1"/>
      <c r="N22" s="1"/>
    </row>
    <row r="23" customFormat="1" ht="16.5" customHeight="1" spans="2:14">
      <c r="B23" s="3">
        <v>7</v>
      </c>
      <c r="C23" s="3">
        <f t="shared" si="2"/>
        <v>0.01771684761728</v>
      </c>
      <c r="D23" s="3">
        <f t="shared" si="3"/>
        <v>0.86812553324672</v>
      </c>
      <c r="E23" s="3"/>
      <c r="F23" s="3" t="s">
        <v>27</v>
      </c>
      <c r="G23" s="3"/>
      <c r="H23" s="3"/>
      <c r="J23" s="1"/>
      <c r="K23" s="1"/>
      <c r="L23" t="s">
        <v>40</v>
      </c>
      <c r="M23" s="1"/>
      <c r="N23" s="1"/>
    </row>
    <row r="24" customFormat="1" ht="16.5" customHeight="1" spans="2:14">
      <c r="B24" s="3">
        <v>8</v>
      </c>
      <c r="C24" s="3">
        <f t="shared" si="2"/>
        <v>0.0173625106649344</v>
      </c>
      <c r="D24" s="3">
        <f t="shared" si="3"/>
        <v>0.850763022581785</v>
      </c>
      <c r="E24" s="3"/>
      <c r="F24" s="3"/>
      <c r="G24" s="3"/>
      <c r="H24" s="3"/>
      <c r="J24" s="1"/>
      <c r="K24" s="1"/>
      <c r="L24" t="str">
        <f t="shared" ref="L24:N24" si="4">_xlfn.CONCAT($L$23,L15)</f>
        <v>1,10000</v>
      </c>
      <c r="M24" t="str">
        <f t="shared" si="4"/>
        <v>1,5000</v>
      </c>
      <c r="N24" t="str">
        <f t="shared" si="4"/>
        <v>1,2000</v>
      </c>
    </row>
    <row r="25" customFormat="1" ht="16.5" customHeight="1" spans="2:14">
      <c r="B25" s="3">
        <v>9</v>
      </c>
      <c r="C25" s="3">
        <f t="shared" si="2"/>
        <v>0.0170152604516357</v>
      </c>
      <c r="D25" s="3">
        <f t="shared" si="3"/>
        <v>0.83374776213015</v>
      </c>
      <c r="E25" s="3"/>
      <c r="F25" s="3" t="s">
        <v>28</v>
      </c>
      <c r="G25" s="3" t="s">
        <v>29</v>
      </c>
      <c r="H25" s="3" t="s">
        <v>30</v>
      </c>
      <c r="J25" s="1"/>
      <c r="K25" s="1"/>
      <c r="L25" t="str">
        <f t="shared" ref="L25:N25" si="5">_xlfn.CONCAT($L$23,L16)</f>
        <v>1,20000</v>
      </c>
      <c r="M25" t="str">
        <f t="shared" si="5"/>
        <v>1,10000</v>
      </c>
      <c r="N25" t="str">
        <f t="shared" si="5"/>
        <v>1,4000</v>
      </c>
    </row>
    <row r="26" customFormat="1" ht="16.5" customHeight="1" spans="2:14">
      <c r="B26" s="3">
        <v>10</v>
      </c>
      <c r="C26" s="3">
        <f t="shared" si="2"/>
        <v>0.016674955242603</v>
      </c>
      <c r="D26" s="3">
        <f t="shared" si="3"/>
        <v>0.817072806887547</v>
      </c>
      <c r="E26" s="3"/>
      <c r="F26" s="3">
        <v>1</v>
      </c>
      <c r="G26" s="3">
        <f>D3+D4</f>
        <v>0.15</v>
      </c>
      <c r="H26" s="3">
        <f>1-G26</f>
        <v>0.85</v>
      </c>
      <c r="J26" s="1"/>
      <c r="K26" s="1"/>
      <c r="L26" t="str">
        <f t="shared" ref="L26:N26" si="6">_xlfn.CONCAT($L$23,L17)</f>
        <v>1,50000</v>
      </c>
      <c r="M26" t="str">
        <f t="shared" si="6"/>
        <v>1,25000</v>
      </c>
      <c r="N26" t="str">
        <f t="shared" si="6"/>
        <v>1,10000</v>
      </c>
    </row>
    <row r="27" customFormat="1" ht="16.5" customHeight="1" spans="2:14">
      <c r="B27" s="3">
        <v>11</v>
      </c>
      <c r="C27" s="3">
        <f t="shared" si="2"/>
        <v>0.0163414561377509</v>
      </c>
      <c r="D27" s="3">
        <f t="shared" si="3"/>
        <v>0.800731350749796</v>
      </c>
      <c r="E27" s="3"/>
      <c r="F27" s="3">
        <v>2</v>
      </c>
      <c r="G27" s="3">
        <f t="shared" ref="G27:G34" si="7">$G$26*H26</f>
        <v>0.1275</v>
      </c>
      <c r="H27" s="3">
        <f t="shared" ref="H27:H34" si="8">POWER(1-G$26,F27)</f>
        <v>0.7225</v>
      </c>
      <c r="J27" s="1"/>
      <c r="K27" s="1"/>
      <c r="L27" t="str">
        <f t="shared" ref="L27:N27" si="9">_xlfn.CONCAT($L$23,L18)</f>
        <v>1,80000</v>
      </c>
      <c r="M27" t="str">
        <f t="shared" si="9"/>
        <v>1,40000</v>
      </c>
      <c r="N27" t="str">
        <f t="shared" si="9"/>
        <v>1,16000</v>
      </c>
    </row>
    <row r="28" customFormat="1" ht="16.5" customHeight="1" spans="2:14">
      <c r="B28" s="3">
        <v>12</v>
      </c>
      <c r="C28" s="3">
        <f t="shared" si="2"/>
        <v>0.0160146270149959</v>
      </c>
      <c r="D28" s="3">
        <f t="shared" si="3"/>
        <v>0.7847167237348</v>
      </c>
      <c r="E28" s="3"/>
      <c r="F28" s="3">
        <v>3</v>
      </c>
      <c r="G28" s="3">
        <f t="shared" si="7"/>
        <v>0.108375</v>
      </c>
      <c r="H28" s="3">
        <f t="shared" si="8"/>
        <v>0.614125</v>
      </c>
      <c r="J28" s="1"/>
      <c r="K28" s="1"/>
      <c r="L28" s="1"/>
      <c r="M28" s="1"/>
      <c r="N28" s="1"/>
    </row>
    <row r="29" customFormat="1" ht="16.5" customHeight="1" spans="2:14">
      <c r="B29" s="3">
        <v>13</v>
      </c>
      <c r="C29" s="3">
        <f t="shared" si="2"/>
        <v>0.015694334474696</v>
      </c>
      <c r="D29" s="3">
        <f t="shared" si="3"/>
        <v>0.769022389260104</v>
      </c>
      <c r="E29" s="3"/>
      <c r="F29" s="3">
        <v>4</v>
      </c>
      <c r="G29" s="3">
        <f t="shared" si="7"/>
        <v>0.09211875</v>
      </c>
      <c r="H29" s="3">
        <f t="shared" si="8"/>
        <v>0.52200625</v>
      </c>
      <c r="J29" s="1"/>
      <c r="K29" s="1"/>
      <c r="L29" s="1"/>
      <c r="M29" s="1"/>
      <c r="N29" s="1"/>
    </row>
    <row r="30" customFormat="1" ht="16.5" customHeight="1" spans="2:14">
      <c r="B30" s="3">
        <v>14</v>
      </c>
      <c r="C30" s="3">
        <f t="shared" si="2"/>
        <v>0.0153804477852021</v>
      </c>
      <c r="D30" s="3">
        <f t="shared" si="3"/>
        <v>0.753641941474902</v>
      </c>
      <c r="E30" s="3"/>
      <c r="F30" s="3">
        <v>5</v>
      </c>
      <c r="G30" s="3">
        <f t="shared" si="7"/>
        <v>0.0783009375</v>
      </c>
      <c r="H30" s="3">
        <f t="shared" si="8"/>
        <v>0.4437053125</v>
      </c>
      <c r="J30" s="1"/>
      <c r="K30" s="1"/>
      <c r="L30" s="1"/>
      <c r="M30" s="1"/>
      <c r="N30" s="1"/>
    </row>
    <row r="31" customFormat="1" ht="16.5" customHeight="1" spans="2:14">
      <c r="B31" s="3">
        <v>15</v>
      </c>
      <c r="C31" s="3">
        <f t="shared" si="2"/>
        <v>0.015072838829498</v>
      </c>
      <c r="D31" s="3">
        <f t="shared" si="3"/>
        <v>0.738569102645404</v>
      </c>
      <c r="E31" s="3"/>
      <c r="F31" s="3">
        <v>6</v>
      </c>
      <c r="G31" s="3">
        <f t="shared" si="7"/>
        <v>0.066555796875</v>
      </c>
      <c r="H31" s="3">
        <f t="shared" si="8"/>
        <v>0.377149515625</v>
      </c>
      <c r="J31" s="1"/>
      <c r="K31" s="1"/>
      <c r="L31" s="1"/>
      <c r="M31" s="1"/>
      <c r="N31" s="1"/>
    </row>
    <row r="32" customFormat="1" ht="16.5" customHeight="1" spans="2:14">
      <c r="B32" s="3">
        <v>16</v>
      </c>
      <c r="C32" s="3">
        <f t="shared" si="2"/>
        <v>0.0147713820529081</v>
      </c>
      <c r="D32" s="3">
        <f t="shared" si="3"/>
        <v>0.723797720592496</v>
      </c>
      <c r="E32" s="3"/>
      <c r="F32" s="3">
        <v>7</v>
      </c>
      <c r="G32" s="3">
        <f t="shared" si="7"/>
        <v>0.05657242734375</v>
      </c>
      <c r="H32" s="3">
        <f t="shared" si="8"/>
        <v>0.32057708828125</v>
      </c>
      <c r="J32" s="1"/>
      <c r="K32" s="1"/>
      <c r="L32" s="1"/>
      <c r="M32" s="1"/>
      <c r="N32" s="1"/>
    </row>
    <row r="33" customFormat="1" ht="16.5" customHeight="1" spans="2:14">
      <c r="B33" s="3">
        <v>17</v>
      </c>
      <c r="C33" s="3">
        <f t="shared" si="2"/>
        <v>0.0144759544118499</v>
      </c>
      <c r="D33" s="3">
        <f t="shared" si="3"/>
        <v>0.709321766180646</v>
      </c>
      <c r="E33" s="3"/>
      <c r="F33" s="3">
        <v>8</v>
      </c>
      <c r="G33" s="3">
        <f t="shared" si="7"/>
        <v>0.0480865632421875</v>
      </c>
      <c r="H33" s="3">
        <f t="shared" si="8"/>
        <v>0.272490525039062</v>
      </c>
      <c r="J33" s="1"/>
      <c r="K33" s="1"/>
      <c r="L33" s="1"/>
      <c r="M33" s="1"/>
      <c r="N33" s="1"/>
    </row>
    <row r="34" customFormat="1" ht="16.5" customHeight="1" spans="2:14">
      <c r="B34" s="3">
        <v>18</v>
      </c>
      <c r="C34" s="3">
        <f t="shared" si="2"/>
        <v>0.0141864353236129</v>
      </c>
      <c r="D34" s="3">
        <f t="shared" si="3"/>
        <v>0.695135330857033</v>
      </c>
      <c r="E34" s="3"/>
      <c r="F34" s="3">
        <v>9</v>
      </c>
      <c r="G34" s="3">
        <f t="shared" si="7"/>
        <v>0.0408735787558594</v>
      </c>
      <c r="H34" s="3">
        <f t="shared" si="8"/>
        <v>0.231616946283203</v>
      </c>
      <c r="J34" s="1"/>
      <c r="K34" s="1"/>
      <c r="L34" s="1"/>
      <c r="M34" s="1"/>
      <c r="N34" s="1"/>
    </row>
    <row r="35" customFormat="1" ht="16.5" customHeight="1" spans="2:14">
      <c r="B35" s="3">
        <v>19</v>
      </c>
      <c r="C35" s="3">
        <f t="shared" si="2"/>
        <v>0.0139027066171407</v>
      </c>
      <c r="D35" s="3">
        <f t="shared" si="3"/>
        <v>0.681232624239892</v>
      </c>
      <c r="E35" s="3"/>
      <c r="F35" s="3">
        <v>10</v>
      </c>
      <c r="G35" s="3">
        <f>1-SUM(G26:G34)</f>
        <v>0.231616946283203</v>
      </c>
      <c r="H35" s="3"/>
      <c r="J35" s="1"/>
      <c r="K35" s="1"/>
      <c r="L35" s="1"/>
      <c r="M35" s="1"/>
      <c r="N35" s="1"/>
    </row>
    <row r="36" customFormat="1" ht="16.5" customHeight="1" spans="2:14">
      <c r="B36" s="3">
        <v>20</v>
      </c>
      <c r="C36" s="3">
        <f t="shared" si="2"/>
        <v>0.0136246524847978</v>
      </c>
      <c r="D36" s="3">
        <f t="shared" si="3"/>
        <v>0.667607971755094</v>
      </c>
      <c r="E36" s="3"/>
      <c r="F36" s="3"/>
      <c r="G36" s="3"/>
      <c r="H36" s="3"/>
      <c r="J36" s="1"/>
      <c r="K36" s="1"/>
      <c r="L36" s="1"/>
      <c r="M36" s="1"/>
      <c r="N36" s="1"/>
    </row>
    <row r="37" customFormat="1" ht="16.5" customHeight="1" spans="2:14">
      <c r="B37" s="3">
        <v>21</v>
      </c>
      <c r="C37" s="3">
        <f t="shared" si="2"/>
        <v>0.0133521594351019</v>
      </c>
      <c r="D37" s="3">
        <f t="shared" si="3"/>
        <v>0.654255812319992</v>
      </c>
      <c r="E37" s="3"/>
      <c r="F37" s="3"/>
      <c r="G37" s="3">
        <f t="array" ref="G37">SUMPRODUCT(F26:F35,G26:G35)</f>
        <v>5.35417063772852</v>
      </c>
      <c r="H37" s="3"/>
      <c r="J37" s="1"/>
      <c r="K37" s="1"/>
      <c r="L37" s="1"/>
      <c r="M37" s="1"/>
      <c r="N37" s="1"/>
    </row>
    <row r="38" customFormat="1" ht="16.5" customHeight="1" spans="2:14">
      <c r="B38" s="3">
        <v>22</v>
      </c>
      <c r="C38" s="3">
        <f t="shared" si="2"/>
        <v>0.0130851162463998</v>
      </c>
      <c r="D38" s="3">
        <f t="shared" si="3"/>
        <v>0.641170696073592</v>
      </c>
      <c r="E38" s="3"/>
      <c r="F38" s="3"/>
      <c r="G38" s="3">
        <f>1/G37</f>
        <v>0.186770289492351</v>
      </c>
      <c r="H38" s="3"/>
      <c r="J38" s="1"/>
      <c r="K38" s="1"/>
      <c r="L38" s="1"/>
      <c r="M38" s="1"/>
      <c r="N38" s="1"/>
    </row>
    <row r="39" customFormat="1" ht="16.5" customHeight="1" spans="2:14">
      <c r="B39" s="3">
        <v>23</v>
      </c>
      <c r="C39" s="3">
        <f t="shared" si="2"/>
        <v>0.0128234139214718</v>
      </c>
      <c r="D39" s="3">
        <f t="shared" si="3"/>
        <v>0.628347282152121</v>
      </c>
      <c r="E39" s="3"/>
      <c r="F39" s="3"/>
      <c r="G39" s="3"/>
      <c r="H39" s="3"/>
      <c r="J39" s="1"/>
      <c r="K39" s="1"/>
      <c r="L39" s="1"/>
      <c r="M39" s="1"/>
      <c r="N39" s="1"/>
    </row>
    <row r="40" customFormat="1" ht="16.5" customHeight="1" spans="2:14">
      <c r="B40" s="3">
        <v>24</v>
      </c>
      <c r="C40" s="3">
        <f t="shared" si="2"/>
        <v>0.0125669456430424</v>
      </c>
      <c r="D40" s="3">
        <f t="shared" si="3"/>
        <v>0.615780336509078</v>
      </c>
      <c r="E40" s="3"/>
      <c r="F40" s="3"/>
      <c r="G40" s="3"/>
      <c r="H40" s="3"/>
      <c r="J40" s="1"/>
      <c r="K40" s="1"/>
      <c r="L40" s="1"/>
      <c r="M40" s="1"/>
      <c r="N40" s="1"/>
    </row>
    <row r="41" customFormat="1" ht="16.5" customHeight="1" spans="2:14">
      <c r="B41" s="3">
        <v>25</v>
      </c>
      <c r="C41" s="3">
        <f t="shared" si="2"/>
        <v>0.0123156067301816</v>
      </c>
      <c r="D41" s="3">
        <f t="shared" si="3"/>
        <v>0.603464729778897</v>
      </c>
      <c r="E41" s="3"/>
      <c r="F41" s="3"/>
      <c r="G41" s="3"/>
      <c r="H41" s="3"/>
      <c r="J41" s="1"/>
      <c r="K41" s="1"/>
      <c r="L41" s="1"/>
      <c r="M41" s="1"/>
      <c r="N41" s="1"/>
    </row>
    <row r="42" customFormat="1" ht="16.5" customHeight="1" spans="2:14">
      <c r="B42" s="3">
        <v>26</v>
      </c>
      <c r="C42" s="3">
        <f t="shared" si="2"/>
        <v>0.0120692945955779</v>
      </c>
      <c r="D42" s="3">
        <f t="shared" si="3"/>
        <v>0.591395435183319</v>
      </c>
      <c r="E42" s="3"/>
      <c r="F42" s="3"/>
      <c r="G42" s="3"/>
      <c r="H42" s="3"/>
      <c r="J42" s="1"/>
      <c r="K42" s="1"/>
      <c r="L42" s="1"/>
      <c r="M42" s="1"/>
      <c r="N42" s="1"/>
    </row>
    <row r="43" customFormat="1" ht="16.5" customHeight="1" spans="2:14">
      <c r="B43" s="3">
        <v>27</v>
      </c>
      <c r="C43" s="3">
        <f t="shared" si="2"/>
        <v>0.0118279087036664</v>
      </c>
      <c r="D43" s="3">
        <f t="shared" si="3"/>
        <v>0.579567526479652</v>
      </c>
      <c r="E43" s="3"/>
      <c r="F43" s="3"/>
      <c r="G43" s="3"/>
      <c r="H43" s="3"/>
      <c r="J43" s="1"/>
      <c r="K43" s="1"/>
      <c r="L43" s="1"/>
      <c r="M43" s="1"/>
      <c r="N43" s="1"/>
    </row>
    <row r="44" customFormat="1" ht="16.5" customHeight="1" spans="2:14">
      <c r="B44" s="3">
        <v>28</v>
      </c>
      <c r="C44" s="3">
        <f t="shared" si="2"/>
        <v>0.011591350529593</v>
      </c>
      <c r="D44" s="3">
        <f t="shared" si="3"/>
        <v>0.567976175950059</v>
      </c>
      <c r="E44" s="3"/>
      <c r="F44" s="3"/>
      <c r="G44" s="3"/>
      <c r="H44" s="3"/>
      <c r="J44" s="1"/>
      <c r="K44" s="1"/>
      <c r="L44" s="1"/>
      <c r="M44" s="1"/>
      <c r="N44" s="1"/>
    </row>
    <row r="45" customFormat="1" ht="16.5" customHeight="1" spans="2:14">
      <c r="B45" s="3">
        <v>29</v>
      </c>
      <c r="C45" s="3">
        <f t="shared" si="2"/>
        <v>0.0113595235190012</v>
      </c>
      <c r="D45" s="3">
        <f t="shared" si="3"/>
        <v>0.556616652431058</v>
      </c>
      <c r="E45" s="3"/>
      <c r="F45" s="3"/>
      <c r="G45" s="3"/>
      <c r="H45" s="3"/>
      <c r="J45" s="1"/>
      <c r="K45" s="1"/>
      <c r="L45" s="1"/>
      <c r="M45" s="1"/>
      <c r="N45" s="1"/>
    </row>
    <row r="46" customFormat="1" ht="16.5" customHeight="1" spans="2:14">
      <c r="B46" s="3">
        <v>30</v>
      </c>
      <c r="C46" s="3">
        <f t="shared" si="2"/>
        <v>0.0111323330486212</v>
      </c>
      <c r="D46" s="3">
        <f t="shared" si="3"/>
        <v>0.545484319382437</v>
      </c>
      <c r="E46" s="3"/>
      <c r="F46" s="3"/>
      <c r="G46" s="3"/>
      <c r="H46" s="3"/>
      <c r="J46" s="1"/>
      <c r="K46" s="1"/>
      <c r="L46" s="1"/>
      <c r="M46" s="1"/>
      <c r="N46" s="1"/>
    </row>
    <row r="47" customFormat="1" ht="16.5" customHeight="1" spans="2:14">
      <c r="B47" s="3">
        <v>31</v>
      </c>
      <c r="C47" s="3">
        <f t="shared" si="2"/>
        <v>0.0109096863876487</v>
      </c>
      <c r="D47" s="3">
        <f t="shared" si="3"/>
        <v>0.534574632994788</v>
      </c>
      <c r="E47" s="3"/>
      <c r="F47" s="3"/>
      <c r="G47" s="3"/>
      <c r="H47" s="3"/>
      <c r="J47" s="1"/>
      <c r="K47" s="1"/>
      <c r="L47" s="1"/>
      <c r="M47" s="1"/>
      <c r="N47" s="1"/>
    </row>
    <row r="48" customFormat="1" ht="16.5" customHeight="1" spans="2:14">
      <c r="B48" s="3">
        <v>32</v>
      </c>
      <c r="C48" s="3">
        <f t="shared" si="2"/>
        <v>0.0106914926598958</v>
      </c>
      <c r="D48" s="3">
        <f t="shared" si="3"/>
        <v>0.523883140334892</v>
      </c>
      <c r="E48" s="3"/>
      <c r="F48" s="3"/>
      <c r="G48" s="3"/>
      <c r="H48" s="3"/>
      <c r="J48" s="1"/>
      <c r="K48" s="1"/>
      <c r="L48" s="1"/>
      <c r="M48" s="1"/>
      <c r="N48" s="1"/>
    </row>
    <row r="49" customFormat="1" ht="16.5" customHeight="1" spans="2:14">
      <c r="B49" s="3">
        <v>33</v>
      </c>
      <c r="C49" s="3">
        <f t="shared" si="2"/>
        <v>0.0104776628066978</v>
      </c>
      <c r="D49" s="3">
        <f t="shared" si="3"/>
        <v>0.513405477528195</v>
      </c>
      <c r="E49" s="3"/>
      <c r="F49" s="3"/>
      <c r="G49" s="3"/>
      <c r="H49" s="3"/>
      <c r="J49" s="1"/>
      <c r="K49" s="1"/>
      <c r="L49" s="1"/>
      <c r="M49" s="1"/>
      <c r="N49" s="1"/>
    </row>
    <row r="50" customFormat="1" ht="16.5" customHeight="1" spans="2:14">
      <c r="B50" s="3">
        <v>34</v>
      </c>
      <c r="C50" s="3">
        <f t="shared" si="2"/>
        <v>0.0102681095505639</v>
      </c>
      <c r="D50" s="3">
        <f t="shared" si="3"/>
        <v>0.503137367977631</v>
      </c>
      <c r="E50" s="3"/>
      <c r="F50" s="3"/>
      <c r="G50" s="3"/>
      <c r="H50" s="3"/>
      <c r="J50" s="1"/>
      <c r="K50" s="1"/>
      <c r="L50" s="1"/>
      <c r="M50" s="1"/>
      <c r="N50" s="1"/>
    </row>
    <row r="51" customFormat="1" ht="16.5" customHeight="1" spans="2:14">
      <c r="B51" s="3">
        <v>35</v>
      </c>
      <c r="C51" s="3">
        <f t="shared" si="2"/>
        <v>0.0100627473595526</v>
      </c>
      <c r="D51" s="3">
        <f t="shared" si="3"/>
        <v>0.493074620618078</v>
      </c>
      <c r="E51" s="3"/>
      <c r="F51" s="3"/>
      <c r="G51" s="3"/>
      <c r="H51" s="3"/>
      <c r="J51" s="1"/>
      <c r="K51" s="1"/>
      <c r="L51" s="1"/>
      <c r="M51" s="1"/>
      <c r="N51" s="1"/>
    </row>
    <row r="52" customFormat="1" ht="16.5" customHeight="1" spans="2:14">
      <c r="B52" s="3">
        <v>36</v>
      </c>
      <c r="C52" s="3">
        <f t="shared" si="2"/>
        <v>0.00986149241236156</v>
      </c>
      <c r="D52" s="3">
        <f t="shared" si="3"/>
        <v>0.483213128205716</v>
      </c>
      <c r="E52" s="3"/>
      <c r="F52" s="3"/>
      <c r="G52" s="3"/>
      <c r="H52" s="3"/>
      <c r="J52" s="1"/>
      <c r="K52" s="1"/>
      <c r="L52" s="1"/>
      <c r="M52" s="1"/>
      <c r="N52" s="1"/>
    </row>
    <row r="53" customFormat="1" ht="16.5" customHeight="1" spans="2:14">
      <c r="B53" s="3">
        <v>37</v>
      </c>
      <c r="C53" s="3">
        <f t="shared" si="2"/>
        <v>0.00966426256411433</v>
      </c>
      <c r="D53" s="3">
        <f t="shared" si="3"/>
        <v>0.473548865641602</v>
      </c>
      <c r="E53" s="3"/>
      <c r="F53" s="3"/>
      <c r="G53" s="3"/>
      <c r="H53" s="3"/>
      <c r="J53" s="1"/>
      <c r="K53" s="1"/>
      <c r="L53" s="1"/>
      <c r="M53" s="1"/>
      <c r="N53" s="1"/>
    </row>
    <row r="54" customFormat="1" ht="16.5" customHeight="1" spans="2:14">
      <c r="B54" s="3">
        <v>38</v>
      </c>
      <c r="C54" s="3">
        <f t="shared" si="2"/>
        <v>0.00947097731283204</v>
      </c>
      <c r="D54" s="3">
        <f t="shared" si="3"/>
        <v>0.46407788832877</v>
      </c>
      <c r="E54" s="3"/>
      <c r="F54" s="3"/>
      <c r="G54" s="3"/>
      <c r="H54" s="3"/>
      <c r="J54" s="1"/>
      <c r="K54" s="1"/>
      <c r="L54" s="1"/>
      <c r="M54" s="1"/>
      <c r="N54" s="1"/>
    </row>
    <row r="55" customFormat="1" ht="16.5" customHeight="1" spans="2:14">
      <c r="B55" s="3">
        <v>39</v>
      </c>
      <c r="C55" s="3">
        <f t="shared" si="2"/>
        <v>0.0092815577665754</v>
      </c>
      <c r="D55" s="3">
        <f t="shared" si="3"/>
        <v>0.454796330562195</v>
      </c>
      <c r="E55" s="3"/>
      <c r="F55" s="3"/>
      <c r="G55" s="3"/>
      <c r="H55" s="3"/>
      <c r="J55" s="1"/>
      <c r="K55" s="1"/>
      <c r="L55" s="1"/>
      <c r="M55" s="1"/>
      <c r="N55" s="1"/>
    </row>
    <row r="56" customFormat="1" ht="16.5" customHeight="1" spans="2:14">
      <c r="B56" s="3">
        <v>40</v>
      </c>
      <c r="C56" s="3">
        <f t="shared" si="2"/>
        <v>0.00909592661124389</v>
      </c>
      <c r="D56" s="3">
        <f t="shared" si="3"/>
        <v>0.445700403950951</v>
      </c>
      <c r="E56" s="3"/>
      <c r="F56" s="3"/>
      <c r="G56" s="3"/>
      <c r="H56" s="3"/>
      <c r="J56" s="1"/>
      <c r="K56" s="1"/>
      <c r="L56" s="1"/>
      <c r="M56" s="1"/>
      <c r="N56" s="1"/>
    </row>
    <row r="57" customFormat="1" ht="16.5" customHeight="1" spans="2:14">
      <c r="B57" s="3">
        <v>41</v>
      </c>
      <c r="C57" s="3">
        <f t="shared" si="2"/>
        <v>0.00891400807901901</v>
      </c>
      <c r="D57" s="3">
        <f t="shared" si="3"/>
        <v>0.436786395871932</v>
      </c>
      <c r="E57" s="3"/>
      <c r="F57" s="3"/>
      <c r="G57" s="3"/>
      <c r="H57" s="3"/>
      <c r="J57" s="1"/>
      <c r="K57" s="1"/>
      <c r="L57" s="1"/>
      <c r="M57" s="1"/>
      <c r="N57" s="1"/>
    </row>
    <row r="58" customFormat="1" ht="16.5" customHeight="1" spans="2:14">
      <c r="B58" s="3">
        <v>42</v>
      </c>
      <c r="C58" s="3">
        <f t="shared" si="2"/>
        <v>0.00873572791743863</v>
      </c>
      <c r="D58" s="3">
        <f t="shared" si="3"/>
        <v>0.428050667954493</v>
      </c>
      <c r="E58" s="3"/>
      <c r="F58" s="3"/>
      <c r="G58" s="3"/>
      <c r="H58" s="3"/>
      <c r="J58" s="1"/>
      <c r="K58" s="1"/>
      <c r="L58" s="1"/>
      <c r="M58" s="1"/>
      <c r="N58" s="1"/>
    </row>
    <row r="59" customFormat="1" ht="16.5" customHeight="1" spans="2:14">
      <c r="B59" s="3">
        <v>43</v>
      </c>
      <c r="C59" s="3">
        <f t="shared" si="2"/>
        <v>0.00856101335908986</v>
      </c>
      <c r="D59" s="3">
        <f t="shared" si="3"/>
        <v>0.419489654595403</v>
      </c>
      <c r="E59" s="3"/>
      <c r="F59" s="3"/>
      <c r="G59" s="3"/>
      <c r="H59" s="3"/>
      <c r="J59" s="1"/>
      <c r="K59" s="1"/>
      <c r="L59" s="1"/>
      <c r="M59" s="1"/>
      <c r="N59" s="1"/>
    </row>
    <row r="60" customFormat="1" ht="16.5" customHeight="1" spans="2:14">
      <c r="B60" s="3">
        <v>44</v>
      </c>
      <c r="C60" s="3">
        <f t="shared" si="2"/>
        <v>0.00838979309190806</v>
      </c>
      <c r="D60" s="3">
        <f t="shared" si="3"/>
        <v>0.411099861503495</v>
      </c>
      <c r="E60" s="3"/>
      <c r="F60" s="3"/>
      <c r="G60" s="3"/>
      <c r="H60" s="3"/>
      <c r="J60" s="1"/>
      <c r="K60" s="1"/>
      <c r="L60" s="1"/>
      <c r="M60" s="1"/>
      <c r="N60" s="1"/>
    </row>
    <row r="61" customFormat="1" ht="16.5" customHeight="1" spans="2:14">
      <c r="B61" s="3">
        <v>45</v>
      </c>
      <c r="C61" s="3">
        <f t="shared" si="2"/>
        <v>0.0082219972300699</v>
      </c>
      <c r="D61" s="3">
        <f t="shared" si="3"/>
        <v>0.402877864273425</v>
      </c>
      <c r="E61" s="3"/>
      <c r="F61" s="3"/>
      <c r="G61" s="3"/>
      <c r="H61" s="3"/>
      <c r="J61" s="1"/>
      <c r="K61" s="1"/>
      <c r="L61" s="1"/>
      <c r="M61" s="1"/>
      <c r="N61" s="1"/>
    </row>
    <row r="62" customFormat="1" ht="16.5" customHeight="1" spans="2:14">
      <c r="B62" s="3">
        <v>46</v>
      </c>
      <c r="C62" s="3">
        <f t="shared" si="2"/>
        <v>0.0080575572854685</v>
      </c>
      <c r="D62" s="3">
        <f t="shared" si="3"/>
        <v>0.394820306987957</v>
      </c>
      <c r="E62" s="3"/>
      <c r="F62" s="3"/>
      <c r="G62" s="3"/>
      <c r="H62" s="3"/>
      <c r="J62" s="1"/>
      <c r="K62" s="1"/>
      <c r="L62" s="1"/>
      <c r="M62" s="1"/>
      <c r="N62" s="1"/>
    </row>
    <row r="63" customFormat="1" ht="16.5" customHeight="1" spans="2:14">
      <c r="B63" s="3">
        <v>47</v>
      </c>
      <c r="C63" s="3">
        <f t="shared" si="2"/>
        <v>0.00789640613975913</v>
      </c>
      <c r="D63" s="3">
        <f t="shared" si="3"/>
        <v>0.386923900848198</v>
      </c>
      <c r="E63" s="3"/>
      <c r="F63" s="3"/>
      <c r="G63" s="3"/>
      <c r="H63" s="3"/>
      <c r="J63" s="1"/>
      <c r="K63" s="1"/>
      <c r="L63" s="1"/>
      <c r="M63" s="1"/>
      <c r="N63" s="1"/>
    </row>
    <row r="64" customFormat="1" ht="16.5" customHeight="1" spans="2:14">
      <c r="B64" s="3">
        <v>48</v>
      </c>
      <c r="C64" s="3">
        <f t="shared" si="2"/>
        <v>0.00773847801696395</v>
      </c>
      <c r="D64" s="3">
        <f t="shared" si="3"/>
        <v>0.379185422831234</v>
      </c>
      <c r="E64" s="3"/>
      <c r="F64" s="3"/>
      <c r="G64" s="3"/>
      <c r="H64" s="3"/>
      <c r="J64" s="1"/>
      <c r="K64" s="1"/>
      <c r="L64" s="1"/>
      <c r="M64" s="1"/>
      <c r="N64" s="1"/>
    </row>
    <row r="65" customFormat="1" ht="16.5" customHeight="1" spans="2:14">
      <c r="B65" s="3">
        <v>49</v>
      </c>
      <c r="C65" s="3">
        <f t="shared" si="2"/>
        <v>0.00758370845662467</v>
      </c>
      <c r="D65" s="3">
        <f t="shared" si="3"/>
        <v>0.371601714374609</v>
      </c>
      <c r="E65" s="3"/>
      <c r="F65" s="3"/>
      <c r="G65" s="3"/>
      <c r="H65" s="3"/>
      <c r="J65" s="1"/>
      <c r="K65" s="1"/>
      <c r="L65" s="1"/>
      <c r="M65" s="1"/>
      <c r="N65" s="1"/>
    </row>
    <row r="66" customFormat="1" ht="16.5" customHeight="1" spans="2:14">
      <c r="B66" s="3">
        <v>50</v>
      </c>
      <c r="C66" s="3">
        <f t="shared" si="2"/>
        <v>0.00743203428749218</v>
      </c>
      <c r="D66" s="3">
        <f t="shared" si="3"/>
        <v>0.364169680087117</v>
      </c>
      <c r="E66" s="3"/>
      <c r="F66" s="3"/>
      <c r="G66" s="3"/>
      <c r="H66" s="3"/>
      <c r="J66" s="1"/>
      <c r="K66" s="1"/>
      <c r="L66" s="1"/>
      <c r="M66" s="1"/>
      <c r="N66" s="1"/>
    </row>
    <row r="67" customFormat="1" ht="16.5" customHeight="1" spans="2:14">
      <c r="B67" s="3">
        <v>51</v>
      </c>
      <c r="C67" s="3">
        <f t="shared" si="2"/>
        <v>0.00728339360174234</v>
      </c>
      <c r="D67" s="3">
        <f t="shared" si="3"/>
        <v>0.356886286485374</v>
      </c>
      <c r="E67" s="3"/>
      <c r="F67" s="3"/>
      <c r="G67" s="3"/>
      <c r="H67" s="3"/>
      <c r="J67" s="1"/>
      <c r="K67" s="1"/>
      <c r="L67" s="1"/>
      <c r="M67" s="1"/>
      <c r="N67" s="1"/>
    </row>
    <row r="68" customFormat="1" ht="16.5" customHeight="1" spans="2:14">
      <c r="B68" s="3">
        <v>52</v>
      </c>
      <c r="C68" s="3">
        <f t="shared" si="2"/>
        <v>0.00713772572970749</v>
      </c>
      <c r="D68" s="3">
        <f t="shared" si="3"/>
        <v>0.349748560755667</v>
      </c>
      <c r="E68" s="3"/>
      <c r="F68" s="3"/>
      <c r="G68" s="3"/>
      <c r="H68" s="3"/>
      <c r="J68" s="1"/>
      <c r="K68" s="1"/>
      <c r="L68" s="1"/>
      <c r="M68" s="1"/>
      <c r="N68" s="1"/>
    </row>
    <row r="69" customFormat="1" ht="16.5" customHeight="1" spans="2:14">
      <c r="B69" s="3">
        <v>53</v>
      </c>
      <c r="C69" s="3">
        <f t="shared" si="2"/>
        <v>0.00699497121511334</v>
      </c>
      <c r="D69" s="3">
        <f t="shared" si="3"/>
        <v>0.342753589540554</v>
      </c>
      <c r="E69" s="3"/>
      <c r="F69" s="3"/>
      <c r="G69" s="3"/>
      <c r="H69" s="3"/>
      <c r="J69" s="1"/>
      <c r="K69" s="1"/>
      <c r="L69" s="1"/>
      <c r="M69" s="1"/>
      <c r="N69" s="1"/>
    </row>
    <row r="70" customFormat="1" ht="16.5" customHeight="1" spans="2:14">
      <c r="B70" s="3">
        <v>54</v>
      </c>
      <c r="C70" s="3">
        <f t="shared" si="2"/>
        <v>0.00685507179081107</v>
      </c>
      <c r="D70" s="3">
        <f t="shared" si="3"/>
        <v>0.335898517749742</v>
      </c>
      <c r="E70" s="3"/>
      <c r="F70" s="3"/>
      <c r="G70" s="3"/>
      <c r="H70" s="3"/>
      <c r="J70" s="1"/>
      <c r="K70" s="1"/>
      <c r="L70" s="1"/>
      <c r="M70" s="1"/>
      <c r="N70" s="1"/>
    </row>
    <row r="71" customFormat="1" ht="16.5" customHeight="1" spans="2:14">
      <c r="B71" s="3">
        <v>55</v>
      </c>
      <c r="C71" s="3">
        <f t="shared" si="2"/>
        <v>0.00671797035499485</v>
      </c>
      <c r="D71" s="3">
        <f t="shared" si="3"/>
        <v>0.329180547394748</v>
      </c>
      <c r="E71" s="3"/>
      <c r="F71" s="3"/>
      <c r="G71" s="3"/>
      <c r="H71" s="3"/>
      <c r="J71" s="1"/>
      <c r="K71" s="1"/>
      <c r="L71" s="1"/>
      <c r="M71" s="1"/>
      <c r="N71" s="1"/>
    </row>
    <row r="72" customFormat="1" ht="16.5" customHeight="1" spans="2:14">
      <c r="B72" s="3">
        <v>56</v>
      </c>
      <c r="C72" s="3">
        <f t="shared" si="2"/>
        <v>0.00658361094789495</v>
      </c>
      <c r="D72" s="3">
        <f t="shared" si="3"/>
        <v>0.322596936446853</v>
      </c>
      <c r="E72" s="3"/>
      <c r="F72" s="3"/>
      <c r="G72" s="3"/>
      <c r="H72" s="3"/>
      <c r="J72" s="1"/>
      <c r="K72" s="1"/>
      <c r="L72" s="1"/>
      <c r="M72" s="1"/>
      <c r="N72" s="1"/>
    </row>
    <row r="73" customFormat="1" ht="16.5" customHeight="1" spans="2:14">
      <c r="B73" s="3">
        <v>57</v>
      </c>
      <c r="C73" s="3">
        <f t="shared" si="2"/>
        <v>0.00645193872893705</v>
      </c>
      <c r="D73" s="3">
        <f t="shared" si="3"/>
        <v>0.316144997717916</v>
      </c>
      <c r="E73" s="3"/>
      <c r="F73" s="3"/>
      <c r="G73" s="3"/>
      <c r="H73" s="3"/>
      <c r="J73" s="1"/>
      <c r="K73" s="1"/>
      <c r="L73" s="1"/>
      <c r="M73" s="1"/>
      <c r="N73" s="1"/>
    </row>
    <row r="74" customFormat="1" ht="16.5" customHeight="1" spans="2:14">
      <c r="B74" s="3">
        <v>58</v>
      </c>
      <c r="C74" s="3">
        <f t="shared" si="2"/>
        <v>0.00632289995435831</v>
      </c>
      <c r="D74" s="3">
        <f t="shared" si="3"/>
        <v>0.309822097763557</v>
      </c>
      <c r="E74" s="3"/>
      <c r="F74" s="3"/>
      <c r="G74" s="3"/>
      <c r="H74" s="3"/>
      <c r="J74" s="1"/>
      <c r="K74" s="1"/>
      <c r="L74" s="1"/>
      <c r="M74" s="1"/>
      <c r="N74" s="1"/>
    </row>
    <row r="75" customFormat="1" ht="16.5" customHeight="1" spans="2:14">
      <c r="B75" s="3">
        <v>59</v>
      </c>
      <c r="C75" s="3">
        <f t="shared" si="2"/>
        <v>0.00619644195527115</v>
      </c>
      <c r="D75" s="3">
        <f t="shared" si="3"/>
        <v>0.303625655808286</v>
      </c>
      <c r="E75" s="3"/>
      <c r="F75" s="3"/>
      <c r="G75" s="3"/>
      <c r="H75" s="3"/>
      <c r="J75" s="1"/>
      <c r="K75" s="1"/>
      <c r="L75" s="1"/>
      <c r="M75" s="1"/>
      <c r="N75" s="1"/>
    </row>
    <row r="76" customFormat="1" ht="16.5" customHeight="1" spans="2:14">
      <c r="B76" s="3">
        <v>60</v>
      </c>
      <c r="C76" s="3">
        <f>1-SUM(C17:C75)</f>
        <v>0.303625655808287</v>
      </c>
      <c r="D76" s="3">
        <f t="shared" si="3"/>
        <v>0.29755314269212</v>
      </c>
      <c r="E76" s="3"/>
      <c r="F76" s="3"/>
      <c r="G76" s="3"/>
      <c r="H76" s="3"/>
      <c r="J76" s="1"/>
      <c r="K76" s="1"/>
      <c r="L76" s="1"/>
      <c r="M76" s="1"/>
      <c r="N76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角色抽卡概率</vt:lpstr>
      <vt:lpstr>专武抽卡概率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企业用户_251728386</cp:lastModifiedBy>
  <dcterms:created xsi:type="dcterms:W3CDTF">2023-05-12T11:15:00Z</dcterms:created>
  <dcterms:modified xsi:type="dcterms:W3CDTF">2026-07-09T07:24:33Z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630A37BE6D284B14BEA83C00C0F52C8D_12</vt:lpwstr>
  </property>
  <property fmtid="{D5CDD505-2E9C-101B-9397-08002B2CF9AE}" pid="4" name="CalculationRule">
    <vt:i4>0</vt:i4>
  </property>
</Properties>
</file>